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55" tabRatio="774" firstSheet="1" activeTab="1"/>
  </bookViews>
  <sheets>
    <sheet name="泡泡国际IP一级分类统计-金额维度" sheetId="10" state="hidden" r:id="rId1"/>
    <sheet name="泡泡国际IP统计-金额维度 深度" sheetId="1" r:id="rId2"/>
    <sheet name="泡泡国际IP统计-SKU维度 宽度" sheetId="6" state="hidden" r:id="rId3"/>
    <sheet name="泡泡国际IP分级统计-金额维度 深度" sheetId="8" state="hidden" r:id="rId4"/>
    <sheet name="泡泡国际IP分级统计-SKU维度 宽度" sheetId="9" state="hidden" r:id="rId5"/>
    <sheet name="泡泡国际品类统计-金额维度 深度" sheetId="18" r:id="rId6"/>
    <sheet name="summary目标渠道值" sheetId="4" state="hidden" r:id="rId7"/>
  </sheets>
  <definedNames>
    <definedName name="_xlnm._FilterDatabase" localSheetId="0" hidden="1">'泡泡国际IP一级分类统计-金额维度'!$A$2:$CI$323</definedName>
    <definedName name="_xlnm._FilterDatabase" localSheetId="1" hidden="1">'泡泡国际IP统计-金额维度 深度'!$A$2:$AF$211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<sst xmlns="http://schemas.openxmlformats.org/spreadsheetml/2006/main" count="1790" uniqueCount="446">
  <si>
    <t>销售业绩金额</t>
  </si>
  <si>
    <t>POP国际</t>
  </si>
  <si>
    <t>亚太区域</t>
  </si>
  <si>
    <t>日本</t>
  </si>
  <si>
    <t>韩国</t>
  </si>
  <si>
    <t>印尼</t>
  </si>
  <si>
    <t>新加坡</t>
  </si>
  <si>
    <t>泰国</t>
  </si>
  <si>
    <t>越南</t>
  </si>
  <si>
    <t>马来西亚</t>
  </si>
  <si>
    <t>新西兰</t>
  </si>
  <si>
    <t>澳大利亚</t>
  </si>
  <si>
    <t>欧洲区域</t>
  </si>
  <si>
    <t>意大利</t>
  </si>
  <si>
    <t>法国</t>
  </si>
  <si>
    <t>英国</t>
  </si>
  <si>
    <t>荷兰</t>
  </si>
  <si>
    <t>西班牙</t>
  </si>
  <si>
    <t>IP</t>
  </si>
  <si>
    <t>商业一级</t>
  </si>
  <si>
    <t>2025-01</t>
  </si>
  <si>
    <t>2025-02</t>
  </si>
  <si>
    <t>2025-03</t>
  </si>
  <si>
    <t>2025-04</t>
  </si>
  <si>
    <t>汇总</t>
  </si>
  <si>
    <t>LABUBU</t>
  </si>
  <si>
    <t>潮流玩具</t>
  </si>
  <si>
    <t>潮流周边</t>
  </si>
  <si>
    <t>毛绒玩具</t>
  </si>
  <si>
    <t>收藏玩具</t>
  </si>
  <si>
    <t>LABUBU 汇总</t>
  </si>
  <si>
    <t>CRYBABY</t>
  </si>
  <si>
    <t>CRYBABY 汇总</t>
  </si>
  <si>
    <t>MOLLY</t>
  </si>
  <si>
    <t>MOLLY 汇总</t>
  </si>
  <si>
    <t>DIMOO</t>
  </si>
  <si>
    <t>DIMOO 汇总</t>
  </si>
  <si>
    <t>SKULLPANDA</t>
  </si>
  <si>
    <t>珠宝首饰</t>
  </si>
  <si>
    <t>SKULLPANDA 汇总</t>
  </si>
  <si>
    <t>HIRONO</t>
  </si>
  <si>
    <t>组合产品</t>
  </si>
  <si>
    <t>HIRONO 汇总</t>
  </si>
  <si>
    <t>DISNEY</t>
  </si>
  <si>
    <t>DISNEY 汇总</t>
  </si>
  <si>
    <t>HACIPUPU</t>
  </si>
  <si>
    <t>HACIPUPU 汇总</t>
  </si>
  <si>
    <t>MIX IP</t>
  </si>
  <si>
    <t>MIX IP 汇总</t>
  </si>
  <si>
    <t>星星人</t>
  </si>
  <si>
    <t>星星人 汇总</t>
  </si>
  <si>
    <t>PUCKY</t>
  </si>
  <si>
    <t>PUCKY 汇总</t>
  </si>
  <si>
    <t>叛桃</t>
  </si>
  <si>
    <t>叛桃 汇总</t>
  </si>
  <si>
    <t>华纳</t>
  </si>
  <si>
    <t>华纳 汇总</t>
  </si>
  <si>
    <t>Nyota</t>
  </si>
  <si>
    <t>Nyota 汇总</t>
  </si>
  <si>
    <t>三丽鸥</t>
  </si>
  <si>
    <t>三丽鸥 汇总</t>
  </si>
  <si>
    <t>PINO JELLY</t>
  </si>
  <si>
    <t>PINO JELLY 汇总</t>
  </si>
  <si>
    <t>英雄联盟</t>
  </si>
  <si>
    <t>英雄联盟 汇总</t>
  </si>
  <si>
    <t>AZURA</t>
  </si>
  <si>
    <t>AZURA 汇总</t>
  </si>
  <si>
    <t>咒术回战</t>
  </si>
  <si>
    <t>咒术回战 汇总</t>
  </si>
  <si>
    <t>鬼灭之刃</t>
  </si>
  <si>
    <t>鬼灭之刃 汇总</t>
  </si>
  <si>
    <t>ZSIGA</t>
  </si>
  <si>
    <t>ZSIGA 汇总</t>
  </si>
  <si>
    <t>KUBO</t>
  </si>
  <si>
    <t>KUBO 汇总</t>
  </si>
  <si>
    <t>火影忍者</t>
  </si>
  <si>
    <t>火影忍者 汇总</t>
  </si>
  <si>
    <t>天线宝宝</t>
  </si>
  <si>
    <t>天线宝宝 汇总</t>
  </si>
  <si>
    <t>爱心熊</t>
  </si>
  <si>
    <t>爱心熊 汇总</t>
  </si>
  <si>
    <t>TinyTiny</t>
  </si>
  <si>
    <t>TinyTiny 汇总</t>
  </si>
  <si>
    <t>海绵宝宝</t>
  </si>
  <si>
    <t>海绵宝宝 汇总</t>
  </si>
  <si>
    <t>芭比</t>
  </si>
  <si>
    <t>芭比 汇总</t>
  </si>
  <si>
    <t>小甜豆</t>
  </si>
  <si>
    <t>小甜豆 汇总</t>
  </si>
  <si>
    <t>泰迪熊</t>
  </si>
  <si>
    <t>泰迪熊 汇总</t>
  </si>
  <si>
    <t>YUKI</t>
  </si>
  <si>
    <t>YUKI 汇总</t>
  </si>
  <si>
    <t>原神</t>
  </si>
  <si>
    <t>原神 汇总</t>
  </si>
  <si>
    <t>CHAKA</t>
  </si>
  <si>
    <t>CHAKA 汇总</t>
  </si>
  <si>
    <t>蜡笔小新</t>
  </si>
  <si>
    <t>蜡笔小新 汇总</t>
  </si>
  <si>
    <t>LOOPY</t>
  </si>
  <si>
    <t>LOOPY 汇总</t>
  </si>
  <si>
    <t>无IP</t>
  </si>
  <si>
    <t>无IP 汇总</t>
  </si>
  <si>
    <t>数码宝贝</t>
  </si>
  <si>
    <t>数码宝贝 汇总</t>
  </si>
  <si>
    <t>INSTINCTOY</t>
  </si>
  <si>
    <t>INSTINCTOY 汇总</t>
  </si>
  <si>
    <t>DUCKOO</t>
  </si>
  <si>
    <t>DUCKOO 汇总</t>
  </si>
  <si>
    <t>POP MART</t>
  </si>
  <si>
    <t>POP MART 汇总</t>
  </si>
  <si>
    <t>间谍过家家</t>
  </si>
  <si>
    <t>间谍过家家 汇总</t>
  </si>
  <si>
    <t>环球</t>
  </si>
  <si>
    <t>环球 汇总</t>
  </si>
  <si>
    <t>Polar</t>
  </si>
  <si>
    <t>Polar 汇总</t>
  </si>
  <si>
    <t>小刘鸭</t>
  </si>
  <si>
    <t>小刘鸭 汇总</t>
  </si>
  <si>
    <t>奥特曼</t>
  </si>
  <si>
    <t>奥特曼 汇总</t>
  </si>
  <si>
    <t>inosoul</t>
  </si>
  <si>
    <t>inosoul 汇总</t>
  </si>
  <si>
    <t>柿子椒熊</t>
  </si>
  <si>
    <t>柿子椒熊 汇总</t>
  </si>
  <si>
    <t>王者荣耀</t>
  </si>
  <si>
    <t>王者荣耀 汇总</t>
  </si>
  <si>
    <t>小马宝莉</t>
  </si>
  <si>
    <t>小马宝莉 汇总</t>
  </si>
  <si>
    <t>变形金刚</t>
  </si>
  <si>
    <t>变形金刚 汇总</t>
  </si>
  <si>
    <t>王嘉尔</t>
  </si>
  <si>
    <t>王嘉尔 汇总</t>
  </si>
  <si>
    <t>柯南</t>
  </si>
  <si>
    <t>柯南 汇总</t>
  </si>
  <si>
    <t>铁臂阿童木</t>
  </si>
  <si>
    <t>铁臂阿童木 汇总</t>
  </si>
  <si>
    <t>樱桃小丸子</t>
  </si>
  <si>
    <t>樱桃小丸子 汇总</t>
  </si>
  <si>
    <t>仙剑奇侠传</t>
  </si>
  <si>
    <t>仙剑奇侠传 汇总</t>
  </si>
  <si>
    <t>魔兽世界</t>
  </si>
  <si>
    <t>魔兽世界 汇总</t>
  </si>
  <si>
    <t>蛋仔派对</t>
  </si>
  <si>
    <t>蛋仔派对 汇总</t>
  </si>
  <si>
    <t>加菲猫</t>
  </si>
  <si>
    <t>加菲猫 汇总</t>
  </si>
  <si>
    <t>时光代理人</t>
  </si>
  <si>
    <t>时光代理人 汇总</t>
  </si>
  <si>
    <t>共鸣车</t>
  </si>
  <si>
    <t>共鸣车 汇总</t>
  </si>
  <si>
    <t>BAZBON</t>
  </si>
  <si>
    <t>BAZBON 汇总</t>
  </si>
  <si>
    <t>LiLiOS</t>
  </si>
  <si>
    <t>LiLiOS 汇总</t>
  </si>
  <si>
    <t>圣斗士星矢</t>
  </si>
  <si>
    <t>圣斗士星矢 汇总</t>
  </si>
  <si>
    <t>JUST A GIRL</t>
  </si>
  <si>
    <t>JUST A GIRL 汇总</t>
  </si>
  <si>
    <t>BUNNY</t>
  </si>
  <si>
    <t>BUNNY 汇总</t>
  </si>
  <si>
    <t>BOBO&amp;COCO</t>
  </si>
  <si>
    <t>BOBO&amp;COCO 汇总</t>
  </si>
  <si>
    <t>OIPIPPI</t>
  </si>
  <si>
    <t>OIPIPPI 汇总</t>
  </si>
  <si>
    <t>跃动青春</t>
  </si>
  <si>
    <t>跃动青春 汇总</t>
  </si>
  <si>
    <t>VITA</t>
  </si>
  <si>
    <t>VITA 汇总</t>
  </si>
  <si>
    <t>小猪佩奇</t>
  </si>
  <si>
    <t>小猪佩奇 汇总</t>
  </si>
  <si>
    <t>山海经</t>
  </si>
  <si>
    <t>山海经 汇总</t>
  </si>
  <si>
    <t>MINICO</t>
  </si>
  <si>
    <t>MINICO 汇总</t>
  </si>
  <si>
    <t>TAPOO</t>
  </si>
  <si>
    <t>TAPOO 汇总</t>
  </si>
  <si>
    <t>福饱饱</t>
  </si>
  <si>
    <t>福饱饱 汇总</t>
  </si>
  <si>
    <t>COOLABO</t>
  </si>
  <si>
    <t>COOLABO 汇总</t>
  </si>
  <si>
    <t>YOKI</t>
  </si>
  <si>
    <t>YOKI 汇总</t>
  </si>
  <si>
    <t>FLABJACKS</t>
  </si>
  <si>
    <t>FLABJACKS 汇总</t>
  </si>
  <si>
    <t>双人成行</t>
  </si>
  <si>
    <t>双人成行 汇总</t>
  </si>
  <si>
    <t>SATYR RORY</t>
  </si>
  <si>
    <t>SATYR RORY 汇总</t>
  </si>
  <si>
    <t>ZOE</t>
  </si>
  <si>
    <t>ZOE 汇总</t>
  </si>
  <si>
    <t>上野阳介</t>
  </si>
  <si>
    <t>上野阳介 汇总</t>
  </si>
  <si>
    <t>GUMMY</t>
  </si>
  <si>
    <t>GUMMY 汇总</t>
  </si>
  <si>
    <t>Trevor Andrew</t>
  </si>
  <si>
    <t>Trevor Andrew 汇总</t>
  </si>
  <si>
    <t>史努比</t>
  </si>
  <si>
    <t>史努比 汇总</t>
  </si>
  <si>
    <t>Hyde</t>
  </si>
  <si>
    <t>Hyde 汇总</t>
  </si>
  <si>
    <t>MOMIJI</t>
  </si>
  <si>
    <t>MOMIJI 汇总</t>
  </si>
  <si>
    <t>HANDS IN FACTORY</t>
  </si>
  <si>
    <t>HANDS IN FACTORY 汇总</t>
  </si>
  <si>
    <t>Green Cow Garden</t>
  </si>
  <si>
    <t>Green Cow Garden 汇总</t>
  </si>
  <si>
    <t>可口可乐</t>
  </si>
  <si>
    <t>可口可乐 汇总</t>
  </si>
  <si>
    <t>非人哉</t>
  </si>
  <si>
    <t>非人哉 汇总</t>
  </si>
  <si>
    <t>光年正传</t>
  </si>
  <si>
    <t>光年正传 汇总</t>
  </si>
  <si>
    <t>MIGO</t>
  </si>
  <si>
    <t>MIGO 汇总</t>
  </si>
  <si>
    <t>009</t>
  </si>
  <si>
    <t>009 汇总</t>
  </si>
  <si>
    <t>CHERRYPIE</t>
  </si>
  <si>
    <t>CHERRYPIE 汇总</t>
  </si>
  <si>
    <t>鲔鱼</t>
  </si>
  <si>
    <t>鲔鱼 汇总</t>
  </si>
  <si>
    <t>MODOLI</t>
  </si>
  <si>
    <t>MODOLI 汇总</t>
  </si>
  <si>
    <t>DearRo</t>
  </si>
  <si>
    <t>DearRo 汇总</t>
  </si>
  <si>
    <t>Flying DongDong</t>
  </si>
  <si>
    <t>Flying DongDong 汇总</t>
  </si>
  <si>
    <t>KENNETH</t>
  </si>
  <si>
    <t>KENNETH 汇总</t>
  </si>
  <si>
    <t>Blythe</t>
  </si>
  <si>
    <t>Blythe 汇总</t>
  </si>
  <si>
    <t>STAYREAL</t>
  </si>
  <si>
    <t>STAYREAL 汇总</t>
  </si>
  <si>
    <t>名侦探柯南</t>
  </si>
  <si>
    <t>名侦探柯南 汇总</t>
  </si>
  <si>
    <t>AVOFRIENDS</t>
  </si>
  <si>
    <t>AVOFRIENDS 汇总</t>
  </si>
  <si>
    <t>一禅小和尚</t>
  </si>
  <si>
    <t>一禅小和尚 汇总</t>
  </si>
  <si>
    <t>九尾狐</t>
  </si>
  <si>
    <t>九尾狐 汇总</t>
  </si>
  <si>
    <t>VIYA DOLL</t>
  </si>
  <si>
    <t>VIYA DOLL 汇总</t>
  </si>
  <si>
    <t>SUSUMI</t>
  </si>
  <si>
    <t>SUSUMI 汇总</t>
  </si>
  <si>
    <t>VIVICAT</t>
  </si>
  <si>
    <t>VIVICAT 汇总</t>
  </si>
  <si>
    <t>阿巳与小铃铛</t>
  </si>
  <si>
    <t>阿巳与小铃铛 汇总</t>
  </si>
  <si>
    <t>北海怪兽</t>
  </si>
  <si>
    <t>北海怪兽 汇总</t>
  </si>
  <si>
    <t>COARSE</t>
  </si>
  <si>
    <t>COARSE 汇总</t>
  </si>
  <si>
    <t>KIWIWI</t>
  </si>
  <si>
    <t>KIWIWI 汇总</t>
  </si>
  <si>
    <t>BIRD MAN</t>
  </si>
  <si>
    <t>BIRD MAN 汇总</t>
  </si>
  <si>
    <t>咕叽</t>
  </si>
  <si>
    <t>咕叽 汇总</t>
  </si>
  <si>
    <t>IXDOLL</t>
  </si>
  <si>
    <t>IXDOLL 汇总</t>
  </si>
  <si>
    <t>LINE FRIENDS</t>
  </si>
  <si>
    <t>LINE FRIENDS 汇总</t>
  </si>
  <si>
    <t>小林家的龙女仆</t>
  </si>
  <si>
    <t>小林家的龙女仆 汇总</t>
  </si>
  <si>
    <t>巴斯奎特</t>
  </si>
  <si>
    <t>巴斯奎特 汇总</t>
  </si>
  <si>
    <t>OKLUNA</t>
  </si>
  <si>
    <t>OKLUNA 汇总</t>
  </si>
  <si>
    <t>姆明</t>
  </si>
  <si>
    <t>姆明 汇总</t>
  </si>
  <si>
    <t>小曲奇</t>
  </si>
  <si>
    <t>小曲奇 汇总</t>
  </si>
  <si>
    <t>穿越火线</t>
  </si>
  <si>
    <t>穿越火线 汇总</t>
  </si>
  <si>
    <t>粉红豹</t>
  </si>
  <si>
    <t>粉红豹 汇总</t>
  </si>
  <si>
    <t>KUMO</t>
  </si>
  <si>
    <t>KUMO 汇总</t>
  </si>
  <si>
    <t>Underverse</t>
  </si>
  <si>
    <t>Underverse 汇总</t>
  </si>
  <si>
    <t>蜜蜂贝蒂</t>
  </si>
  <si>
    <t>蜜蜂贝蒂 汇总</t>
  </si>
  <si>
    <t>PHILIP COLBERT</t>
  </si>
  <si>
    <t>PHILIP COLBERT 汇总</t>
  </si>
  <si>
    <t>汉斯</t>
  </si>
  <si>
    <t>汉斯 汇总</t>
  </si>
  <si>
    <t>KONATSUYA</t>
  </si>
  <si>
    <t>KONATSUYA 汇总</t>
  </si>
  <si>
    <t>鱼化猫</t>
  </si>
  <si>
    <t>鱼化猫 汇总</t>
  </si>
  <si>
    <t>伍六七</t>
  </si>
  <si>
    <t>伍六七 汇总</t>
  </si>
  <si>
    <t>郝朗</t>
  </si>
  <si>
    <t>郝朗 汇总</t>
  </si>
  <si>
    <t>KOUYA</t>
  </si>
  <si>
    <t>KOUYA 汇总</t>
  </si>
  <si>
    <t>光与夜之恋</t>
  </si>
  <si>
    <t>光与夜之恋 汇总</t>
  </si>
  <si>
    <t>阿联酋</t>
  </si>
  <si>
    <t>菲律宾+文莱</t>
  </si>
  <si>
    <t>卡塔尔</t>
  </si>
  <si>
    <t>亚太电商</t>
  </si>
  <si>
    <t>YOY 2025</t>
  </si>
  <si>
    <t>ZIMOMO</t>
  </si>
  <si>
    <t>SNOOPY</t>
  </si>
  <si>
    <t>BIRDMAN</t>
  </si>
  <si>
    <t>GARFIELD</t>
  </si>
  <si>
    <t>HAMS</t>
  </si>
  <si>
    <t>KOOKY</t>
  </si>
  <si>
    <t>SATYR</t>
  </si>
  <si>
    <t>YUMIAO</t>
  </si>
  <si>
    <t>变色龙</t>
  </si>
  <si>
    <t>环太平洋</t>
  </si>
  <si>
    <t>零作</t>
  </si>
  <si>
    <t>明日方舟</t>
  </si>
  <si>
    <t>魔卡少女樱</t>
  </si>
  <si>
    <t>殷越</t>
  </si>
  <si>
    <t>葬送的芙莉莲</t>
  </si>
  <si>
    <t>A仔</t>
  </si>
  <si>
    <t>Coogi&amp;Foody</t>
  </si>
  <si>
    <t>EVA</t>
  </si>
  <si>
    <t>JOJO的奇妙冒险</t>
  </si>
  <si>
    <t>KEY-A</t>
  </si>
  <si>
    <t>Merodi</t>
  </si>
  <si>
    <t>MINIONS</t>
  </si>
  <si>
    <t>ONE PIECE</t>
  </si>
  <si>
    <t>TRANSFORMERS</t>
  </si>
  <si>
    <t>TUTU</t>
  </si>
  <si>
    <t>UPANDA</t>
  </si>
  <si>
    <t>第五人格</t>
  </si>
  <si>
    <t>怪物猎人</t>
  </si>
  <si>
    <t>海德</t>
  </si>
  <si>
    <t>皇室战争</t>
  </si>
  <si>
    <t>假面骑士</t>
  </si>
  <si>
    <t>九尾狐列传</t>
  </si>
  <si>
    <t>绝区零</t>
  </si>
  <si>
    <t>龙珠</t>
  </si>
  <si>
    <t>炉石传说</t>
  </si>
  <si>
    <t>蜜糖</t>
  </si>
  <si>
    <t>哪吒</t>
  </si>
  <si>
    <t>排球少年</t>
  </si>
  <si>
    <t>犬夜叉</t>
  </si>
  <si>
    <t>守望先锋</t>
  </si>
  <si>
    <t>唐宫夜宴</t>
  </si>
  <si>
    <t>银魂</t>
  </si>
  <si>
    <t>芝麻街</t>
  </si>
  <si>
    <t>怪奇物语</t>
  </si>
  <si>
    <t>SUPERTUTU</t>
  </si>
  <si>
    <t>魔法少女小圆</t>
  </si>
  <si>
    <t>Ribo</t>
  </si>
  <si>
    <t>文豪野犬</t>
  </si>
  <si>
    <t>赛博朋克</t>
  </si>
  <si>
    <t>MOKOKO</t>
  </si>
  <si>
    <t>PANTONE</t>
  </si>
  <si>
    <t>KeyA</t>
  </si>
  <si>
    <t>航海王</t>
  </si>
  <si>
    <t>蓝色禁区</t>
  </si>
  <si>
    <t>宝可梦</t>
  </si>
  <si>
    <t>阿童木</t>
  </si>
  <si>
    <t>小肥鱼The ELF</t>
  </si>
  <si>
    <t>家庭教师</t>
  </si>
  <si>
    <t>精灵宝可梦</t>
  </si>
  <si>
    <t>aespa</t>
  </si>
  <si>
    <t>SEVENTEEN</t>
  </si>
  <si>
    <t>角落生物</t>
  </si>
  <si>
    <t>初音未来</t>
  </si>
  <si>
    <t>全职猎人</t>
  </si>
  <si>
    <t>RIIZE</t>
  </si>
  <si>
    <t>TXT</t>
  </si>
  <si>
    <t>蘸酱狗</t>
  </si>
  <si>
    <t>无畏契约</t>
  </si>
  <si>
    <t>索尼克</t>
  </si>
  <si>
    <t>哆啦A梦</t>
  </si>
  <si>
    <t>樱兰高校男公关部</t>
  </si>
  <si>
    <t>RiboDiary</t>
  </si>
  <si>
    <t>Shaun the Sheep</t>
  </si>
  <si>
    <t>IVE</t>
  </si>
  <si>
    <t>ENHYPEN</t>
  </si>
  <si>
    <t>合计</t>
  </si>
  <si>
    <t>销售业绩金额占比</t>
  </si>
  <si>
    <t>YOY% 2025</t>
  </si>
  <si>
    <t>总计</t>
  </si>
  <si>
    <t>销售SKU数量</t>
  </si>
  <si>
    <t>平均值</t>
  </si>
  <si>
    <t>销售SKU数量占比</t>
  </si>
  <si>
    <t>印度尼西亚</t>
  </si>
  <si>
    <t>月平均占比</t>
  </si>
  <si>
    <t>S+</t>
  </si>
  <si>
    <t>S</t>
  </si>
  <si>
    <t>A</t>
  </si>
  <si>
    <t>B</t>
  </si>
  <si>
    <t>C</t>
  </si>
  <si>
    <t>销售业绩金额（实际达成业绩+DP金额*溢价）</t>
  </si>
  <si>
    <t>商业二级</t>
  </si>
  <si>
    <t>POP BEAN</t>
  </si>
  <si>
    <t>场景玩具</t>
  </si>
  <si>
    <t>大号</t>
  </si>
  <si>
    <t>吊卡</t>
  </si>
  <si>
    <t>积木</t>
  </si>
  <si>
    <t>可动人偶</t>
  </si>
  <si>
    <t>硬线公仔盲盒</t>
  </si>
  <si>
    <t>外采</t>
  </si>
  <si>
    <t>载具模型</t>
  </si>
  <si>
    <t>手办模型</t>
  </si>
  <si>
    <t>桌游卡牌</t>
  </si>
  <si>
    <t>潮流玩具 汇总</t>
  </si>
  <si>
    <t>3C及周边</t>
  </si>
  <si>
    <t>包品</t>
  </si>
  <si>
    <t>陈列展示</t>
  </si>
  <si>
    <t>服鞋配饰</t>
  </si>
  <si>
    <t>挂件挂饰</t>
  </si>
  <si>
    <t>家居生活</t>
  </si>
  <si>
    <t>礼品包装</t>
  </si>
  <si>
    <t>萌粒周边</t>
  </si>
  <si>
    <t>宠物周边</t>
  </si>
  <si>
    <t>香氛类</t>
  </si>
  <si>
    <t>文创</t>
  </si>
  <si>
    <t>潮流周边 汇总</t>
  </si>
  <si>
    <t>软脸毛绒玩偶</t>
  </si>
  <si>
    <t>硬脸毛绒玩偶</t>
  </si>
  <si>
    <t>毛绒玩具 汇总</t>
  </si>
  <si>
    <t>MEGA</t>
  </si>
  <si>
    <t>MEGA 周边</t>
  </si>
  <si>
    <t>外部收藏</t>
  </si>
  <si>
    <t>收藏玩具 汇总</t>
  </si>
  <si>
    <t>首饰</t>
  </si>
  <si>
    <t>珠宝首饰 汇总</t>
  </si>
  <si>
    <t>定制礼盒</t>
  </si>
  <si>
    <t>福袋</t>
  </si>
  <si>
    <t>组合产品 汇总</t>
  </si>
  <si>
    <t>泡泡中国</t>
  </si>
  <si>
    <t>泡泡国际</t>
  </si>
  <si>
    <t>东亚</t>
  </si>
  <si>
    <t>澳门</t>
  </si>
  <si>
    <t>欧洲</t>
  </si>
  <si>
    <t>东南亚</t>
  </si>
  <si>
    <t>澳新</t>
  </si>
  <si>
    <t>盲盒手办</t>
  </si>
  <si>
    <t>搪胶毛绒</t>
  </si>
  <si>
    <t>毛绒玩偶</t>
  </si>
  <si>
    <t>棉花娃娃</t>
  </si>
  <si>
    <t>娃衣</t>
  </si>
  <si>
    <t>运营资财</t>
  </si>
  <si>
    <t>样品道具</t>
  </si>
  <si>
    <t>资财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</si>
</sst>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yyyy\-mm"/>
    <numFmt numFmtId="178" formatCode="_ * #,##0_ ;_ * \-#,##0_ ;_ * &quot;-&quot;??_ ;_ @_ "/>
    <numFmt numFmtId="179" formatCode="_ * #,##0.00000000_ ;_ * \-#,##0.00000000_ ;_ * &quot;-&quot;??_ ;_ @_ "/>
  </numFmts>
  <fonts count="35">
    <font>
      <sz val="11"/>
      <color indexed="8"/>
      <name val="宋体"/>
      <charset val="134"/>
      <scheme val="minor"/>
    </font>
    <font>
      <sz val="11"/>
      <color indexed="8"/>
      <name val="微软雅黑"/>
      <charset val="134"/>
    </font>
    <font>
      <b/>
      <sz val="9.5"/>
      <color theme="0"/>
      <name val="微软雅黑"/>
      <charset val="134"/>
    </font>
    <font>
      <sz val="9.5"/>
      <color indexed="8"/>
      <name val="微软雅黑"/>
      <charset val="134"/>
    </font>
    <font>
      <b/>
      <sz val="9.5"/>
      <color rgb="FFFF0000"/>
      <name val="微软雅黑"/>
      <charset val="134"/>
    </font>
    <font>
      <sz val="11"/>
      <color theme="0"/>
      <name val="微软雅黑"/>
      <charset val="134"/>
    </font>
    <font>
      <b/>
      <sz val="11"/>
      <color indexed="8"/>
      <name val="微软雅黑"/>
      <charset val="134"/>
    </font>
    <font>
      <b/>
      <sz val="11"/>
      <name val="微软雅黑"/>
      <charset val="134"/>
    </font>
    <font>
      <b/>
      <sz val="11"/>
      <color theme="0"/>
      <name val="微软雅黑"/>
      <charset val="134"/>
    </font>
    <font>
      <b/>
      <sz val="11"/>
      <color rgb="FFFFFFFF"/>
      <name val="微软雅黑"/>
      <charset val="134"/>
    </font>
    <font>
      <b/>
      <sz val="10"/>
      <color indexed="8"/>
      <name val="微软雅黑"/>
      <charset val="134"/>
    </font>
    <font>
      <sz val="10"/>
      <color indexed="8"/>
      <name val="微软雅黑"/>
      <charset val="134"/>
    </font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宋体"/>
      <charset val="134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76B7B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1F7F7"/>
        <bgColor indexed="64"/>
      </patternFill>
    </fill>
    <fill>
      <patternFill patternType="solid">
        <fgColor rgb="FFF8FBFB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DCECE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DB1B1"/>
        <bgColor indexed="64"/>
      </patternFill>
    </fill>
    <fill>
      <patternFill patternType="solid">
        <fgColor rgb="FFACD3D0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16" borderId="24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25" applyNumberFormat="0" applyFill="0" applyAlignment="0" applyProtection="0">
      <alignment vertical="center"/>
    </xf>
    <xf numFmtId="0" fontId="21" fillId="0" borderId="25" applyNumberFormat="0" applyFill="0" applyAlignment="0" applyProtection="0">
      <alignment vertical="center"/>
    </xf>
    <xf numFmtId="0" fontId="22" fillId="0" borderId="26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7" borderId="27" applyNumberFormat="0" applyAlignment="0" applyProtection="0">
      <alignment vertical="center"/>
    </xf>
    <xf numFmtId="0" fontId="24" fillId="18" borderId="28" applyNumberFormat="0" applyAlignment="0" applyProtection="0">
      <alignment vertical="center"/>
    </xf>
    <xf numFmtId="0" fontId="25" fillId="18" borderId="27" applyNumberFormat="0" applyAlignment="0" applyProtection="0">
      <alignment vertical="center"/>
    </xf>
    <xf numFmtId="0" fontId="26" fillId="19" borderId="29" applyNumberFormat="0" applyAlignment="0" applyProtection="0">
      <alignment vertical="center"/>
    </xf>
    <xf numFmtId="0" fontId="27" fillId="0" borderId="30" applyNumberFormat="0" applyFill="0" applyAlignment="0" applyProtection="0">
      <alignment vertical="center"/>
    </xf>
    <xf numFmtId="0" fontId="28" fillId="0" borderId="31" applyNumberFormat="0" applyFill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4" fillId="0" borderId="0" applyNumberFormat="0" applyFont="0" applyFill="0" applyBorder="0" applyProtection="0"/>
    <xf numFmtId="0" fontId="34" fillId="0" borderId="0" applyNumberFormat="0" applyFont="0" applyFill="0" applyBorder="0" applyProtection="0"/>
    <xf numFmtId="0" fontId="14" fillId="0" borderId="0"/>
    <xf numFmtId="0" fontId="14" fillId="0" borderId="0">
      <alignment vertical="center"/>
    </xf>
    <xf numFmtId="43" fontId="14" fillId="0" borderId="0" applyFont="0" applyFill="0" applyBorder="0" applyAlignment="0" applyProtection="0">
      <alignment vertical="center"/>
    </xf>
  </cellStyleXfs>
  <cellXfs count="18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2" fillId="2" borderId="2" xfId="0" applyFont="1" applyFill="1" applyBorder="1">
      <alignment vertical="center"/>
    </xf>
    <xf numFmtId="0" fontId="2" fillId="3" borderId="2" xfId="0" applyFont="1" applyFill="1" applyBorder="1">
      <alignment vertical="center"/>
    </xf>
    <xf numFmtId="0" fontId="2" fillId="4" borderId="2" xfId="0" applyFont="1" applyFill="1" applyBorder="1">
      <alignment vertical="center"/>
    </xf>
    <xf numFmtId="0" fontId="2" fillId="5" borderId="2" xfId="0" applyFont="1" applyFill="1" applyBorder="1">
      <alignment vertical="center"/>
    </xf>
    <xf numFmtId="0" fontId="3" fillId="6" borderId="3" xfId="0" applyFont="1" applyFill="1" applyBorder="1">
      <alignment vertical="center"/>
    </xf>
    <xf numFmtId="0" fontId="3" fillId="6" borderId="4" xfId="0" applyFont="1" applyFill="1" applyBorder="1">
      <alignment vertical="center"/>
    </xf>
    <xf numFmtId="9" fontId="1" fillId="6" borderId="4" xfId="3" applyFont="1" applyFill="1" applyBorder="1" applyAlignment="1">
      <alignment horizontal="right" vertical="center"/>
    </xf>
    <xf numFmtId="9" fontId="3" fillId="6" borderId="4" xfId="3" applyFont="1" applyFill="1" applyBorder="1" applyAlignment="1">
      <alignment vertical="center"/>
    </xf>
    <xf numFmtId="0" fontId="3" fillId="7" borderId="4" xfId="0" applyFont="1" applyFill="1" applyBorder="1">
      <alignment vertical="center"/>
    </xf>
    <xf numFmtId="9" fontId="1" fillId="7" borderId="4" xfId="3" applyFont="1" applyFill="1" applyBorder="1" applyAlignment="1">
      <alignment horizontal="right" vertical="center"/>
    </xf>
    <xf numFmtId="9" fontId="3" fillId="7" borderId="4" xfId="3" applyFont="1" applyFill="1" applyBorder="1" applyAlignment="1">
      <alignment vertical="center"/>
    </xf>
    <xf numFmtId="9" fontId="1" fillId="8" borderId="4" xfId="3" applyFont="1" applyFill="1" applyBorder="1" applyAlignment="1">
      <alignment horizontal="right" vertical="center"/>
    </xf>
    <xf numFmtId="9" fontId="3" fillId="8" borderId="4" xfId="3" applyFont="1" applyFill="1" applyBorder="1" applyAlignment="1">
      <alignment vertical="center"/>
    </xf>
    <xf numFmtId="0" fontId="3" fillId="7" borderId="3" xfId="0" applyFont="1" applyFill="1" applyBorder="1">
      <alignment vertical="center"/>
    </xf>
    <xf numFmtId="0" fontId="3" fillId="0" borderId="4" xfId="0" applyFont="1" applyBorder="1">
      <alignment vertical="center"/>
    </xf>
    <xf numFmtId="9" fontId="1" fillId="8" borderId="5" xfId="3" applyFont="1" applyFill="1" applyBorder="1" applyAlignment="1">
      <alignment horizontal="right" vertical="center"/>
    </xf>
    <xf numFmtId="0" fontId="3" fillId="7" borderId="6" xfId="0" applyFont="1" applyFill="1" applyBorder="1">
      <alignment vertical="center"/>
    </xf>
    <xf numFmtId="0" fontId="3" fillId="6" borderId="7" xfId="0" applyFont="1" applyFill="1" applyBorder="1">
      <alignment vertical="center"/>
    </xf>
    <xf numFmtId="176" fontId="3" fillId="6" borderId="7" xfId="3" applyNumberFormat="1" applyFont="1" applyFill="1" applyBorder="1" applyAlignment="1">
      <alignment vertical="center"/>
    </xf>
    <xf numFmtId="176" fontId="3" fillId="7" borderId="4" xfId="3" applyNumberFormat="1" applyFont="1" applyFill="1" applyBorder="1" applyAlignment="1">
      <alignment vertical="center"/>
    </xf>
    <xf numFmtId="176" fontId="3" fillId="6" borderId="4" xfId="3" applyNumberFormat="1" applyFont="1" applyFill="1" applyBorder="1" applyAlignment="1">
      <alignment vertical="center"/>
    </xf>
    <xf numFmtId="0" fontId="3" fillId="7" borderId="8" xfId="0" applyFont="1" applyFill="1" applyBorder="1">
      <alignment vertical="center"/>
    </xf>
    <xf numFmtId="0" fontId="3" fillId="9" borderId="5" xfId="0" applyFont="1" applyFill="1" applyBorder="1">
      <alignment vertical="center"/>
    </xf>
    <xf numFmtId="9" fontId="1" fillId="10" borderId="5" xfId="3" applyFont="1" applyFill="1" applyBorder="1" applyAlignment="1">
      <alignment horizontal="right" vertical="center"/>
    </xf>
    <xf numFmtId="9" fontId="4" fillId="8" borderId="5" xfId="3" applyFont="1" applyFill="1" applyBorder="1" applyAlignment="1">
      <alignment vertical="center"/>
    </xf>
    <xf numFmtId="9" fontId="4" fillId="11" borderId="5" xfId="3" applyFont="1" applyFill="1" applyBorder="1" applyAlignment="1">
      <alignment vertical="center"/>
    </xf>
    <xf numFmtId="9" fontId="1" fillId="12" borderId="5" xfId="3" applyFont="1" applyFill="1" applyBorder="1" applyAlignment="1">
      <alignment horizontal="right" vertical="center"/>
    </xf>
    <xf numFmtId="9" fontId="3" fillId="9" borderId="4" xfId="3" applyFont="1" applyFill="1" applyBorder="1" applyAlignment="1">
      <alignment vertical="center"/>
    </xf>
    <xf numFmtId="0" fontId="3" fillId="13" borderId="9" xfId="0" applyFont="1" applyFill="1" applyBorder="1">
      <alignment vertical="center"/>
    </xf>
    <xf numFmtId="0" fontId="3" fillId="13" borderId="10" xfId="0" applyFont="1" applyFill="1" applyBorder="1">
      <alignment vertical="center"/>
    </xf>
    <xf numFmtId="9" fontId="1" fillId="13" borderId="10" xfId="3" applyFont="1" applyFill="1" applyBorder="1" applyAlignment="1">
      <alignment horizontal="right" vertical="center"/>
    </xf>
    <xf numFmtId="9" fontId="3" fillId="13" borderId="10" xfId="3" applyFont="1" applyFill="1" applyBorder="1" applyAlignment="1">
      <alignment vertical="center"/>
    </xf>
    <xf numFmtId="0" fontId="2" fillId="2" borderId="11" xfId="0" applyFont="1" applyFill="1" applyBorder="1">
      <alignment vertical="center"/>
    </xf>
    <xf numFmtId="0" fontId="3" fillId="6" borderId="1" xfId="0" applyFont="1" applyFill="1" applyBorder="1">
      <alignment vertical="center"/>
    </xf>
    <xf numFmtId="9" fontId="3" fillId="6" borderId="11" xfId="3" applyFont="1" applyFill="1" applyBorder="1" applyAlignment="1">
      <alignment vertical="center"/>
    </xf>
    <xf numFmtId="9" fontId="3" fillId="6" borderId="12" xfId="3" applyFont="1" applyFill="1" applyBorder="1" applyAlignment="1">
      <alignment vertical="center"/>
    </xf>
    <xf numFmtId="9" fontId="3" fillId="6" borderId="2" xfId="3" applyFont="1" applyFill="1" applyBorder="1" applyAlignment="1">
      <alignment vertical="center"/>
    </xf>
    <xf numFmtId="9" fontId="3" fillId="6" borderId="0" xfId="3" applyFont="1" applyFill="1" applyBorder="1" applyAlignment="1">
      <alignment vertical="center"/>
    </xf>
    <xf numFmtId="9" fontId="3" fillId="7" borderId="13" xfId="3" applyFont="1" applyFill="1" applyBorder="1" applyAlignment="1">
      <alignment vertical="center"/>
    </xf>
    <xf numFmtId="9" fontId="3" fillId="6" borderId="13" xfId="3" applyFont="1" applyFill="1" applyBorder="1" applyAlignment="1">
      <alignment vertical="center"/>
    </xf>
    <xf numFmtId="9" fontId="3" fillId="8" borderId="13" xfId="3" applyFont="1" applyFill="1" applyBorder="1" applyAlignment="1">
      <alignment vertical="center"/>
    </xf>
    <xf numFmtId="0" fontId="3" fillId="6" borderId="14" xfId="0" applyFont="1" applyFill="1" applyBorder="1">
      <alignment vertical="center"/>
    </xf>
    <xf numFmtId="176" fontId="3" fillId="6" borderId="15" xfId="3" applyNumberFormat="1" applyFont="1" applyFill="1" applyBorder="1" applyAlignment="1">
      <alignment vertical="center"/>
    </xf>
    <xf numFmtId="0" fontId="3" fillId="7" borderId="0" xfId="0" applyFont="1" applyFill="1">
      <alignment vertical="center"/>
    </xf>
    <xf numFmtId="176" fontId="3" fillId="7" borderId="13" xfId="3" applyNumberFormat="1" applyFont="1" applyFill="1" applyBorder="1" applyAlignment="1">
      <alignment vertical="center"/>
    </xf>
    <xf numFmtId="0" fontId="3" fillId="6" borderId="0" xfId="0" applyFont="1" applyFill="1">
      <alignment vertical="center"/>
    </xf>
    <xf numFmtId="176" fontId="3" fillId="6" borderId="13" xfId="3" applyNumberFormat="1" applyFont="1" applyFill="1" applyBorder="1" applyAlignment="1">
      <alignment vertical="center"/>
    </xf>
    <xf numFmtId="0" fontId="3" fillId="9" borderId="16" xfId="0" applyFont="1" applyFill="1" applyBorder="1">
      <alignment vertical="center"/>
    </xf>
    <xf numFmtId="9" fontId="4" fillId="8" borderId="17" xfId="3" applyFont="1" applyFill="1" applyBorder="1" applyAlignment="1">
      <alignment vertical="center"/>
    </xf>
    <xf numFmtId="9" fontId="3" fillId="13" borderId="18" xfId="3" applyFont="1" applyFill="1" applyBorder="1" applyAlignment="1">
      <alignment vertical="center"/>
    </xf>
    <xf numFmtId="9" fontId="3" fillId="13" borderId="19" xfId="3" applyFont="1" applyFill="1" applyBorder="1" applyAlignment="1">
      <alignment vertical="center"/>
    </xf>
    <xf numFmtId="9" fontId="1" fillId="6" borderId="0" xfId="3" applyFont="1" applyFill="1" applyBorder="1" applyAlignme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1" fillId="0" borderId="3" xfId="0" applyFont="1" applyBorder="1">
      <alignment vertical="center"/>
    </xf>
    <xf numFmtId="0" fontId="1" fillId="0" borderId="0" xfId="0" applyFont="1" applyBorder="1">
      <alignment vertical="center"/>
    </xf>
    <xf numFmtId="0" fontId="7" fillId="0" borderId="11" xfId="0" applyFont="1" applyBorder="1" applyAlignment="1">
      <alignment vertical="center"/>
    </xf>
    <xf numFmtId="0" fontId="8" fillId="4" borderId="11" xfId="0" applyFont="1" applyFill="1" applyBorder="1" applyAlignment="1">
      <alignment horizontal="centerContinuous" vertical="center"/>
    </xf>
    <xf numFmtId="0" fontId="5" fillId="2" borderId="11" xfId="0" applyFont="1" applyFill="1" applyBorder="1" applyAlignment="1">
      <alignment horizontal="centerContinuous" vertical="center"/>
    </xf>
    <xf numFmtId="0" fontId="5" fillId="2" borderId="1" xfId="0" applyFont="1" applyFill="1" applyBorder="1" applyAlignment="1">
      <alignment horizontal="centerContinuous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177" fontId="8" fillId="4" borderId="11" xfId="0" applyNumberFormat="1" applyFont="1" applyFill="1" applyBorder="1" applyAlignment="1">
      <alignment horizontal="center" vertical="center"/>
    </xf>
    <xf numFmtId="177" fontId="5" fillId="2" borderId="0" xfId="0" applyNumberFormat="1" applyFont="1" applyFill="1" applyAlignment="1">
      <alignment horizontal="center" vertical="center"/>
    </xf>
    <xf numFmtId="177" fontId="5" fillId="2" borderId="3" xfId="0" applyNumberFormat="1" applyFont="1" applyFill="1" applyBorder="1" applyAlignment="1">
      <alignment horizontal="center" vertical="center"/>
    </xf>
    <xf numFmtId="177" fontId="5" fillId="2" borderId="0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left" vertical="center"/>
    </xf>
    <xf numFmtId="178" fontId="1" fillId="6" borderId="12" xfId="1" applyNumberFormat="1" applyFont="1" applyFill="1" applyBorder="1" applyAlignment="1">
      <alignment horizontal="left" vertical="center"/>
    </xf>
    <xf numFmtId="178" fontId="1" fillId="6" borderId="11" xfId="1" applyNumberFormat="1" applyFont="1" applyFill="1" applyBorder="1" applyAlignment="1">
      <alignment horizontal="right" vertical="center"/>
    </xf>
    <xf numFmtId="178" fontId="1" fillId="6" borderId="1" xfId="1" applyNumberFormat="1" applyFont="1" applyFill="1" applyBorder="1" applyAlignment="1">
      <alignment horizontal="right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left" vertical="center"/>
    </xf>
    <xf numFmtId="178" fontId="1" fillId="6" borderId="13" xfId="1" applyNumberFormat="1" applyFont="1" applyFill="1" applyBorder="1" applyAlignment="1">
      <alignment horizontal="left" vertical="center"/>
    </xf>
    <xf numFmtId="178" fontId="1" fillId="6" borderId="0" xfId="1" applyNumberFormat="1" applyFont="1" applyFill="1" applyBorder="1" applyAlignment="1">
      <alignment horizontal="right" vertical="center"/>
    </xf>
    <xf numFmtId="178" fontId="1" fillId="6" borderId="3" xfId="1" applyNumberFormat="1" applyFont="1" applyFill="1" applyBorder="1" applyAlignment="1">
      <alignment horizontal="right" vertical="center"/>
    </xf>
    <xf numFmtId="0" fontId="6" fillId="6" borderId="9" xfId="0" applyFont="1" applyFill="1" applyBorder="1" applyAlignment="1">
      <alignment horizontal="centerContinuous" vertical="center"/>
    </xf>
    <xf numFmtId="0" fontId="6" fillId="6" borderId="10" xfId="0" applyFont="1" applyFill="1" applyBorder="1" applyAlignment="1">
      <alignment horizontal="centerContinuous" vertical="center"/>
    </xf>
    <xf numFmtId="178" fontId="6" fillId="6" borderId="19" xfId="1" applyNumberFormat="1" applyFont="1" applyFill="1" applyBorder="1" applyAlignment="1">
      <alignment horizontal="centerContinuous" vertical="center"/>
    </xf>
    <xf numFmtId="178" fontId="6" fillId="6" borderId="18" xfId="1" applyNumberFormat="1" applyFont="1" applyFill="1" applyBorder="1" applyAlignment="1">
      <alignment horizontal="right" vertical="center"/>
    </xf>
    <xf numFmtId="178" fontId="6" fillId="6" borderId="9" xfId="1" applyNumberFormat="1" applyFont="1" applyFill="1" applyBorder="1" applyAlignment="1">
      <alignment horizontal="right" vertical="center"/>
    </xf>
    <xf numFmtId="0" fontId="6" fillId="0" borderId="9" xfId="0" applyFont="1" applyBorder="1" applyAlignment="1">
      <alignment horizontal="centerContinuous" vertical="center"/>
    </xf>
    <xf numFmtId="0" fontId="6" fillId="0" borderId="10" xfId="0" applyFont="1" applyBorder="1" applyAlignment="1">
      <alignment horizontal="centerContinuous" vertical="center"/>
    </xf>
    <xf numFmtId="178" fontId="6" fillId="0" borderId="19" xfId="1" applyNumberFormat="1" applyFont="1" applyBorder="1" applyAlignment="1">
      <alignment horizontal="centerContinuous" vertical="center"/>
    </xf>
    <xf numFmtId="178" fontId="6" fillId="13" borderId="18" xfId="1" applyNumberFormat="1" applyFont="1" applyFill="1" applyBorder="1" applyAlignment="1">
      <alignment horizontal="right" vertical="center"/>
    </xf>
    <xf numFmtId="178" fontId="6" fillId="13" borderId="9" xfId="1" applyNumberFormat="1" applyFont="1" applyFill="1" applyBorder="1" applyAlignment="1">
      <alignment horizontal="right" vertical="center"/>
    </xf>
    <xf numFmtId="178" fontId="1" fillId="0" borderId="0" xfId="1" applyNumberFormat="1" applyFont="1">
      <alignment vertical="center"/>
    </xf>
    <xf numFmtId="178" fontId="1" fillId="0" borderId="0" xfId="1" applyNumberFormat="1" applyFont="1" applyBorder="1">
      <alignment vertical="center"/>
    </xf>
    <xf numFmtId="178" fontId="1" fillId="0" borderId="3" xfId="1" applyNumberFormat="1" applyFont="1" applyBorder="1">
      <alignment vertical="center"/>
    </xf>
    <xf numFmtId="0" fontId="6" fillId="0" borderId="11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left" vertical="center"/>
    </xf>
    <xf numFmtId="9" fontId="1" fillId="6" borderId="12" xfId="3" applyFont="1" applyFill="1" applyBorder="1" applyAlignment="1">
      <alignment horizontal="right" vertical="center"/>
    </xf>
    <xf numFmtId="9" fontId="1" fillId="6" borderId="11" xfId="3" applyFont="1" applyFill="1" applyBorder="1" applyAlignment="1">
      <alignment horizontal="right" vertical="center"/>
    </xf>
    <xf numFmtId="9" fontId="1" fillId="6" borderId="1" xfId="3" applyFont="1" applyFill="1" applyBorder="1" applyAlignment="1">
      <alignment horizontal="right" vertical="center"/>
    </xf>
    <xf numFmtId="0" fontId="6" fillId="6" borderId="3" xfId="0" applyFont="1" applyFill="1" applyBorder="1" applyAlignment="1">
      <alignment horizontal="center" vertical="center"/>
    </xf>
    <xf numFmtId="0" fontId="1" fillId="6" borderId="0" xfId="0" applyFont="1" applyFill="1" applyBorder="1" applyAlignment="1">
      <alignment horizontal="left" vertical="center"/>
    </xf>
    <xf numFmtId="9" fontId="1" fillId="6" borderId="13" xfId="3" applyFont="1" applyFill="1" applyBorder="1" applyAlignment="1">
      <alignment horizontal="right" vertical="center"/>
    </xf>
    <xf numFmtId="9" fontId="1" fillId="6" borderId="0" xfId="3" applyFont="1" applyFill="1" applyBorder="1" applyAlignment="1">
      <alignment horizontal="right" vertical="center"/>
    </xf>
    <xf numFmtId="9" fontId="1" fillId="6" borderId="3" xfId="3" applyFont="1" applyFill="1" applyBorder="1" applyAlignment="1">
      <alignment horizontal="right" vertical="center"/>
    </xf>
    <xf numFmtId="0" fontId="6" fillId="6" borderId="18" xfId="0" applyFont="1" applyFill="1" applyBorder="1" applyAlignment="1">
      <alignment horizontal="centerContinuous" vertical="center"/>
    </xf>
    <xf numFmtId="9" fontId="6" fillId="6" borderId="19" xfId="3" applyFont="1" applyFill="1" applyBorder="1" applyAlignment="1">
      <alignment horizontal="right" vertical="center"/>
    </xf>
    <xf numFmtId="9" fontId="6" fillId="6" borderId="18" xfId="3" applyFont="1" applyFill="1" applyBorder="1" applyAlignment="1">
      <alignment horizontal="right" vertical="center"/>
    </xf>
    <xf numFmtId="9" fontId="6" fillId="6" borderId="9" xfId="3" applyFont="1" applyFill="1" applyBorder="1" applyAlignment="1">
      <alignment horizontal="right" vertical="center"/>
    </xf>
    <xf numFmtId="0" fontId="6" fillId="0" borderId="18" xfId="0" applyFont="1" applyBorder="1" applyAlignment="1">
      <alignment horizontal="centerContinuous" vertical="center"/>
    </xf>
    <xf numFmtId="9" fontId="6" fillId="0" borderId="19" xfId="3" applyFont="1" applyBorder="1" applyAlignment="1">
      <alignment horizontal="right" vertical="center"/>
    </xf>
    <xf numFmtId="9" fontId="1" fillId="13" borderId="18" xfId="3" applyFont="1" applyFill="1" applyBorder="1" applyAlignment="1">
      <alignment horizontal="right" vertical="center"/>
    </xf>
    <xf numFmtId="9" fontId="1" fillId="13" borderId="9" xfId="3" applyFont="1" applyFill="1" applyBorder="1" applyAlignment="1">
      <alignment horizontal="right" vertical="center"/>
    </xf>
    <xf numFmtId="179" fontId="1" fillId="0" borderId="0" xfId="1" applyNumberFormat="1" applyFont="1">
      <alignment vertical="center"/>
    </xf>
    <xf numFmtId="0" fontId="8" fillId="3" borderId="11" xfId="0" applyFont="1" applyFill="1" applyBorder="1" applyAlignment="1">
      <alignment horizontal="centerContinuous" vertical="center"/>
    </xf>
    <xf numFmtId="0" fontId="8" fillId="3" borderId="2" xfId="0" applyFont="1" applyFill="1" applyBorder="1" applyAlignment="1">
      <alignment horizontal="centerContinuous" vertical="center"/>
    </xf>
    <xf numFmtId="0" fontId="8" fillId="4" borderId="2" xfId="0" applyFont="1" applyFill="1" applyBorder="1" applyAlignment="1">
      <alignment horizontal="centerContinuous" vertical="center"/>
    </xf>
    <xf numFmtId="0" fontId="5" fillId="2" borderId="2" xfId="0" applyFont="1" applyFill="1" applyBorder="1" applyAlignment="1">
      <alignment horizontal="centerContinuous" vertical="center"/>
    </xf>
    <xf numFmtId="0" fontId="8" fillId="2" borderId="4" xfId="0" applyFont="1" applyFill="1" applyBorder="1" applyAlignment="1">
      <alignment horizontal="center" vertical="center"/>
    </xf>
    <xf numFmtId="177" fontId="8" fillId="3" borderId="0" xfId="0" applyNumberFormat="1" applyFont="1" applyFill="1" applyAlignment="1">
      <alignment horizontal="center" vertical="center"/>
    </xf>
    <xf numFmtId="177" fontId="8" fillId="3" borderId="4" xfId="0" applyNumberFormat="1" applyFont="1" applyFill="1" applyBorder="1" applyAlignment="1">
      <alignment horizontal="center" vertical="center"/>
    </xf>
    <xf numFmtId="177" fontId="8" fillId="4" borderId="21" xfId="0" applyNumberFormat="1" applyFont="1" applyFill="1" applyBorder="1" applyAlignment="1">
      <alignment horizontal="center" vertical="center"/>
    </xf>
    <xf numFmtId="177" fontId="8" fillId="4" borderId="23" xfId="0" applyNumberFormat="1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left" vertical="center"/>
    </xf>
    <xf numFmtId="178" fontId="1" fillId="6" borderId="0" xfId="1" applyNumberFormat="1" applyFont="1" applyFill="1" applyAlignment="1">
      <alignment horizontal="right" vertical="center"/>
    </xf>
    <xf numFmtId="178" fontId="1" fillId="6" borderId="4" xfId="1" applyNumberFormat="1" applyFont="1" applyFill="1" applyBorder="1" applyAlignment="1">
      <alignment horizontal="right" vertical="center"/>
    </xf>
    <xf numFmtId="0" fontId="6" fillId="0" borderId="10" xfId="0" applyFont="1" applyBorder="1">
      <alignment vertical="center"/>
    </xf>
    <xf numFmtId="178" fontId="1" fillId="13" borderId="18" xfId="1" applyNumberFormat="1" applyFont="1" applyFill="1" applyBorder="1" applyAlignment="1">
      <alignment horizontal="right" vertical="center"/>
    </xf>
    <xf numFmtId="178" fontId="1" fillId="13" borderId="10" xfId="1" applyNumberFormat="1" applyFont="1" applyFill="1" applyBorder="1" applyAlignment="1">
      <alignment horizontal="right" vertical="center"/>
    </xf>
    <xf numFmtId="0" fontId="9" fillId="2" borderId="0" xfId="0" applyFont="1" applyFill="1" applyAlignment="1">
      <alignment horizontal="center" vertical="center"/>
    </xf>
    <xf numFmtId="177" fontId="8" fillId="3" borderId="18" xfId="0" applyNumberFormat="1" applyFont="1" applyFill="1" applyBorder="1" applyAlignment="1">
      <alignment horizontal="center" vertical="center"/>
    </xf>
    <xf numFmtId="177" fontId="8" fillId="4" borderId="2" xfId="0" applyNumberFormat="1" applyFont="1" applyFill="1" applyBorder="1" applyAlignment="1">
      <alignment horizontal="center" vertical="center"/>
    </xf>
    <xf numFmtId="9" fontId="1" fillId="6" borderId="0" xfId="3" applyFont="1" applyFill="1" applyAlignment="1">
      <alignment horizontal="right" vertical="center"/>
    </xf>
    <xf numFmtId="9" fontId="1" fillId="6" borderId="2" xfId="3" applyFont="1" applyFill="1" applyBorder="1" applyAlignment="1">
      <alignment horizontal="right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6" fillId="6" borderId="0" xfId="0" applyFont="1" applyFill="1" applyBorder="1" applyAlignment="1">
      <alignment horizontal="left" vertical="center"/>
    </xf>
    <xf numFmtId="0" fontId="6" fillId="0" borderId="18" xfId="0" applyFont="1" applyBorder="1">
      <alignment vertical="center"/>
    </xf>
    <xf numFmtId="178" fontId="6" fillId="6" borderId="13" xfId="1" applyNumberFormat="1" applyFont="1" applyFill="1" applyBorder="1" applyAlignment="1">
      <alignment horizontal="left" vertical="center"/>
    </xf>
    <xf numFmtId="178" fontId="1" fillId="0" borderId="0" xfId="0" applyNumberFormat="1" applyFont="1">
      <alignment vertical="center"/>
    </xf>
    <xf numFmtId="178" fontId="6" fillId="0" borderId="19" xfId="1" applyNumberFormat="1" applyFont="1" applyBorder="1">
      <alignment vertical="center"/>
    </xf>
    <xf numFmtId="9" fontId="6" fillId="6" borderId="13" xfId="3" applyFont="1" applyFill="1" applyBorder="1" applyAlignment="1">
      <alignment horizontal="right" vertical="center"/>
    </xf>
    <xf numFmtId="0" fontId="10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>
      <alignment vertical="center"/>
    </xf>
    <xf numFmtId="0" fontId="10" fillId="0" borderId="1" xfId="0" applyFont="1" applyBorder="1">
      <alignment vertical="center"/>
    </xf>
    <xf numFmtId="0" fontId="10" fillId="0" borderId="2" xfId="0" applyFont="1" applyBorder="1">
      <alignment vertical="center"/>
    </xf>
    <xf numFmtId="0" fontId="10" fillId="11" borderId="1" xfId="0" applyFont="1" applyFill="1" applyBorder="1" applyAlignment="1">
      <alignment horizontal="centerContinuous" vertical="center"/>
    </xf>
    <xf numFmtId="0" fontId="10" fillId="11" borderId="11" xfId="0" applyFont="1" applyFill="1" applyBorder="1" applyAlignment="1">
      <alignment horizontal="centerContinuous" vertical="center"/>
    </xf>
    <xf numFmtId="0" fontId="10" fillId="11" borderId="2" xfId="0" applyFont="1" applyFill="1" applyBorder="1" applyAlignment="1">
      <alignment horizontal="centerContinuous" vertical="center"/>
    </xf>
    <xf numFmtId="0" fontId="10" fillId="14" borderId="1" xfId="0" applyFont="1" applyFill="1" applyBorder="1" applyAlignment="1">
      <alignment horizontal="centerContinuous" vertical="center"/>
    </xf>
    <xf numFmtId="0" fontId="10" fillId="14" borderId="11" xfId="0" applyFont="1" applyFill="1" applyBorder="1" applyAlignment="1">
      <alignment horizontal="centerContinuous" vertical="center"/>
    </xf>
    <xf numFmtId="0" fontId="10" fillId="14" borderId="2" xfId="0" applyFont="1" applyFill="1" applyBorder="1" applyAlignment="1">
      <alignment horizontal="centerContinuous" vertical="center"/>
    </xf>
    <xf numFmtId="0" fontId="10" fillId="15" borderId="1" xfId="0" applyFont="1" applyFill="1" applyBorder="1" applyAlignment="1">
      <alignment horizontal="centerContinuous" vertical="center"/>
    </xf>
    <xf numFmtId="0" fontId="10" fillId="15" borderId="11" xfId="0" applyFont="1" applyFill="1" applyBorder="1" applyAlignment="1">
      <alignment horizontal="centerContinuous" vertical="center"/>
    </xf>
    <xf numFmtId="0" fontId="10" fillId="15" borderId="2" xfId="0" applyFont="1" applyFill="1" applyBorder="1" applyAlignment="1">
      <alignment horizontal="centerContinuous" vertical="center"/>
    </xf>
    <xf numFmtId="0" fontId="10" fillId="15" borderId="3" xfId="0" applyFont="1" applyFill="1" applyBorder="1" applyAlignment="1">
      <alignment horizontal="center" vertical="center"/>
    </xf>
    <xf numFmtId="0" fontId="10" fillId="15" borderId="4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center" vertical="center"/>
    </xf>
    <xf numFmtId="0" fontId="10" fillId="11" borderId="0" xfId="0" applyFont="1" applyFill="1" applyBorder="1" applyAlignment="1">
      <alignment horizontal="center" vertical="center"/>
    </xf>
    <xf numFmtId="0" fontId="10" fillId="11" borderId="4" xfId="0" applyFont="1" applyFill="1" applyBorder="1" applyAlignment="1">
      <alignment horizontal="center" vertical="center"/>
    </xf>
    <xf numFmtId="0" fontId="10" fillId="14" borderId="3" xfId="0" applyFont="1" applyFill="1" applyBorder="1" applyAlignment="1">
      <alignment horizontal="center" vertical="center"/>
    </xf>
    <xf numFmtId="0" fontId="10" fillId="14" borderId="0" xfId="0" applyFont="1" applyFill="1" applyBorder="1" applyAlignment="1">
      <alignment horizontal="center" vertical="center"/>
    </xf>
    <xf numFmtId="0" fontId="10" fillId="14" borderId="4" xfId="0" applyFont="1" applyFill="1" applyBorder="1" applyAlignment="1">
      <alignment horizontal="center" vertical="center"/>
    </xf>
    <xf numFmtId="0" fontId="10" fillId="15" borderId="0" xfId="0" applyFont="1" applyFill="1" applyBorder="1" applyAlignment="1">
      <alignment horizontal="center" vertical="center"/>
    </xf>
    <xf numFmtId="0" fontId="11" fillId="0" borderId="3" xfId="0" applyFont="1" applyBorder="1">
      <alignment vertical="center"/>
    </xf>
    <xf numFmtId="0" fontId="11" fillId="0" borderId="4" xfId="0" applyFont="1" applyBorder="1">
      <alignment vertical="center"/>
    </xf>
    <xf numFmtId="178" fontId="11" fillId="0" borderId="3" xfId="1" applyNumberFormat="1" applyFont="1" applyBorder="1">
      <alignment vertical="center"/>
    </xf>
    <xf numFmtId="178" fontId="11" fillId="0" borderId="0" xfId="1" applyNumberFormat="1" applyFont="1" applyBorder="1">
      <alignment vertical="center"/>
    </xf>
    <xf numFmtId="178" fontId="11" fillId="0" borderId="4" xfId="1" applyNumberFormat="1" applyFont="1" applyBorder="1">
      <alignment vertical="center"/>
    </xf>
    <xf numFmtId="0" fontId="10" fillId="0" borderId="3" xfId="0" applyFont="1" applyBorder="1">
      <alignment vertical="center"/>
    </xf>
    <xf numFmtId="0" fontId="10" fillId="0" borderId="4" xfId="0" applyFont="1" applyBorder="1">
      <alignment vertical="center"/>
    </xf>
    <xf numFmtId="178" fontId="10" fillId="0" borderId="3" xfId="1" applyNumberFormat="1" applyFont="1" applyBorder="1">
      <alignment vertical="center"/>
    </xf>
    <xf numFmtId="178" fontId="10" fillId="0" borderId="0" xfId="1" applyNumberFormat="1" applyFont="1" applyBorder="1">
      <alignment vertical="center"/>
    </xf>
    <xf numFmtId="178" fontId="10" fillId="0" borderId="4" xfId="1" applyNumberFormat="1" applyFont="1" applyBorder="1">
      <alignment vertical="center"/>
    </xf>
    <xf numFmtId="0" fontId="10" fillId="0" borderId="9" xfId="0" applyFont="1" applyBorder="1">
      <alignment vertical="center"/>
    </xf>
    <xf numFmtId="0" fontId="10" fillId="0" borderId="10" xfId="0" applyFont="1" applyBorder="1">
      <alignment vertical="center"/>
    </xf>
    <xf numFmtId="178" fontId="10" fillId="0" borderId="9" xfId="1" applyNumberFormat="1" applyFont="1" applyBorder="1">
      <alignment vertical="center"/>
    </xf>
    <xf numFmtId="178" fontId="10" fillId="0" borderId="18" xfId="1" applyNumberFormat="1" applyFont="1" applyBorder="1">
      <alignment vertical="center"/>
    </xf>
    <xf numFmtId="178" fontId="10" fillId="0" borderId="10" xfId="1" applyNumberFormat="1" applyFont="1" applyBorder="1">
      <alignment vertical="center"/>
    </xf>
    <xf numFmtId="0" fontId="10" fillId="0" borderId="9" xfId="0" applyFont="1" applyBorder="1" applyAlignment="1">
      <alignment horizontal="centerContinuous" vertical="center"/>
    </xf>
    <xf numFmtId="0" fontId="10" fillId="0" borderId="10" xfId="0" applyFont="1" applyBorder="1" applyAlignment="1">
      <alignment horizontal="centerContinuous" vertical="center"/>
    </xf>
    <xf numFmtId="178" fontId="11" fillId="0" borderId="0" xfId="1" applyNumberFormat="1" applyFont="1">
      <alignment vertical="center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標準 2" xfId="49"/>
    <cellStyle name="標準 3" xfId="50"/>
    <cellStyle name="常规 2" xfId="51"/>
    <cellStyle name="常规 4" xfId="52"/>
    <cellStyle name="千位分隔 2" xfId="53"/>
  </cellStyles>
  <tableStyles count="0" defaultTableStyle="TableStyleMedium2" defaultPivotStyle="PivotStyleLight16"/>
  <colors>
    <mruColors>
      <color rgb="00CE292F"/>
      <color rgb="00F50701"/>
      <color rgb="00FDB1B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I324"/>
  <sheetViews>
    <sheetView zoomScale="85" zoomScaleNormal="85" workbookViewId="0">
      <pane xSplit="2" ySplit="7" topLeftCell="C8" activePane="bottomRight" state="frozen"/>
      <selection/>
      <selection pane="topRight"/>
      <selection pane="bottomLeft"/>
      <selection pane="bottomRight" activeCell="N34" sqref="N34"/>
    </sheetView>
  </sheetViews>
  <sheetFormatPr defaultColWidth="9" defaultRowHeight="13.85"/>
  <cols>
    <col min="1" max="1" width="18.8672566371681" style="149" customWidth="1"/>
    <col min="2" max="2" width="12.070796460177" style="149" customWidth="1"/>
    <col min="3" max="3" width="13" style="149" customWidth="1"/>
    <col min="4" max="4" width="13.6637168141593" style="149" customWidth="1"/>
    <col min="5" max="6" width="13" style="149" customWidth="1"/>
    <col min="7" max="7" width="14.2035398230088" style="149" customWidth="1"/>
    <col min="8" max="11" width="13" style="149" customWidth="1"/>
    <col min="12" max="12" width="14.070796460177" style="149" customWidth="1"/>
    <col min="13" max="17" width="15.5309734513274" style="149" customWidth="1"/>
    <col min="18" max="18" width="14.3362831858407" style="149" customWidth="1"/>
    <col min="19" max="23" width="15.5309734513274" style="149" customWidth="1"/>
    <col min="24" max="24" width="14.3362831858407" style="149" customWidth="1"/>
    <col min="25" max="27" width="15.5309734513274" style="149" customWidth="1"/>
    <col min="28" max="31" width="14.3362831858407" style="149" customWidth="1"/>
    <col min="32" max="37" width="15.5309734513274" style="149" customWidth="1"/>
    <col min="38" max="41" width="14.3362831858407" style="149" customWidth="1"/>
    <col min="42" max="42" width="15.5309734513274" style="149" customWidth="1"/>
    <col min="43" max="45" width="14.3362831858407" style="149" customWidth="1"/>
    <col min="46" max="47" width="15.5309734513274" style="149" customWidth="1"/>
    <col min="48" max="49" width="12.5309734513274" style="149" customWidth="1"/>
    <col min="50" max="56" width="14.3362831858407" style="149" customWidth="1"/>
    <col min="57" max="57" width="15.5309734513274" style="149" customWidth="1"/>
    <col min="58" max="62" width="14.7345132743363" style="149" customWidth="1"/>
    <col min="63" max="71" width="14.3362831858407" style="149" customWidth="1"/>
    <col min="72" max="72" width="15.5309734513274" style="149" customWidth="1"/>
    <col min="73" max="75" width="14.3362831858407" style="149" customWidth="1"/>
    <col min="76" max="77" width="15.5309734513274" style="149" customWidth="1"/>
    <col min="78" max="82" width="14.3362831858407" style="149" customWidth="1"/>
    <col min="83" max="85" width="12.5309734513274" style="149" customWidth="1"/>
    <col min="86" max="87" width="14.3362831858407" style="149" customWidth="1"/>
    <col min="88" max="16384" width="9.07079646017699" style="149"/>
  </cols>
  <sheetData>
    <row r="1" s="147" customFormat="1" ht="14.6" spans="1:87">
      <c r="A1" s="150" t="s">
        <v>0</v>
      </c>
      <c r="B1" s="151"/>
      <c r="C1" s="152" t="s">
        <v>1</v>
      </c>
      <c r="D1" s="153"/>
      <c r="E1" s="153"/>
      <c r="F1" s="153"/>
      <c r="G1" s="154"/>
      <c r="H1" s="155" t="s">
        <v>2</v>
      </c>
      <c r="I1" s="156"/>
      <c r="J1" s="156"/>
      <c r="K1" s="156"/>
      <c r="L1" s="157"/>
      <c r="M1" s="158" t="s">
        <v>3</v>
      </c>
      <c r="N1" s="159"/>
      <c r="O1" s="159"/>
      <c r="P1" s="159"/>
      <c r="Q1" s="160"/>
      <c r="R1" s="158" t="s">
        <v>4</v>
      </c>
      <c r="S1" s="159"/>
      <c r="T1" s="159"/>
      <c r="U1" s="159"/>
      <c r="V1" s="160"/>
      <c r="W1" s="158" t="s">
        <v>5</v>
      </c>
      <c r="X1" s="159"/>
      <c r="Y1" s="159"/>
      <c r="Z1" s="159"/>
      <c r="AA1" s="160"/>
      <c r="AB1" s="158" t="s">
        <v>6</v>
      </c>
      <c r="AC1" s="159"/>
      <c r="AD1" s="159"/>
      <c r="AE1" s="159"/>
      <c r="AF1" s="160"/>
      <c r="AG1" s="158" t="s">
        <v>7</v>
      </c>
      <c r="AH1" s="159"/>
      <c r="AI1" s="159"/>
      <c r="AJ1" s="159"/>
      <c r="AK1" s="160"/>
      <c r="AL1" s="158" t="s">
        <v>8</v>
      </c>
      <c r="AM1" s="159"/>
      <c r="AN1" s="159"/>
      <c r="AO1" s="159"/>
      <c r="AP1" s="160"/>
      <c r="AQ1" s="158" t="s">
        <v>9</v>
      </c>
      <c r="AR1" s="159"/>
      <c r="AS1" s="159"/>
      <c r="AT1" s="159"/>
      <c r="AU1" s="160"/>
      <c r="AV1" s="158" t="s">
        <v>10</v>
      </c>
      <c r="AW1" s="159"/>
      <c r="AX1" s="159"/>
      <c r="AY1" s="159"/>
      <c r="AZ1" s="160"/>
      <c r="BA1" s="158" t="s">
        <v>11</v>
      </c>
      <c r="BB1" s="159"/>
      <c r="BC1" s="159"/>
      <c r="BD1" s="159"/>
      <c r="BE1" s="160"/>
      <c r="BF1" s="155" t="s">
        <v>12</v>
      </c>
      <c r="BG1" s="156"/>
      <c r="BH1" s="156"/>
      <c r="BI1" s="156"/>
      <c r="BJ1" s="157"/>
      <c r="BK1" s="158" t="s">
        <v>13</v>
      </c>
      <c r="BL1" s="159"/>
      <c r="BM1" s="159"/>
      <c r="BN1" s="159"/>
      <c r="BO1" s="160"/>
      <c r="BP1" s="158" t="s">
        <v>14</v>
      </c>
      <c r="BQ1" s="159"/>
      <c r="BR1" s="159"/>
      <c r="BS1" s="159"/>
      <c r="BT1" s="160"/>
      <c r="BU1" s="158" t="s">
        <v>15</v>
      </c>
      <c r="BV1" s="159"/>
      <c r="BW1" s="159"/>
      <c r="BX1" s="159"/>
      <c r="BY1" s="160"/>
      <c r="BZ1" s="158" t="s">
        <v>16</v>
      </c>
      <c r="CA1" s="159"/>
      <c r="CB1" s="159"/>
      <c r="CC1" s="159"/>
      <c r="CD1" s="160"/>
      <c r="CE1" s="158" t="s">
        <v>17</v>
      </c>
      <c r="CF1" s="159"/>
      <c r="CG1" s="159"/>
      <c r="CH1" s="159"/>
      <c r="CI1" s="160"/>
    </row>
    <row r="2" s="148" customFormat="1" ht="14.6" spans="1:87">
      <c r="A2" s="161" t="s">
        <v>18</v>
      </c>
      <c r="B2" s="162" t="s">
        <v>19</v>
      </c>
      <c r="C2" s="163" t="s">
        <v>20</v>
      </c>
      <c r="D2" s="164" t="s">
        <v>21</v>
      </c>
      <c r="E2" s="164" t="s">
        <v>22</v>
      </c>
      <c r="F2" s="164" t="s">
        <v>23</v>
      </c>
      <c r="G2" s="165" t="s">
        <v>24</v>
      </c>
      <c r="H2" s="166" t="s">
        <v>20</v>
      </c>
      <c r="I2" s="167" t="s">
        <v>21</v>
      </c>
      <c r="J2" s="167" t="s">
        <v>22</v>
      </c>
      <c r="K2" s="167" t="s">
        <v>23</v>
      </c>
      <c r="L2" s="168" t="s">
        <v>24</v>
      </c>
      <c r="M2" s="161" t="s">
        <v>20</v>
      </c>
      <c r="N2" s="169" t="s">
        <v>21</v>
      </c>
      <c r="O2" s="169" t="s">
        <v>22</v>
      </c>
      <c r="P2" s="169" t="s">
        <v>23</v>
      </c>
      <c r="Q2" s="162" t="s">
        <v>24</v>
      </c>
      <c r="R2" s="161" t="s">
        <v>20</v>
      </c>
      <c r="S2" s="169" t="s">
        <v>21</v>
      </c>
      <c r="T2" s="169" t="s">
        <v>22</v>
      </c>
      <c r="U2" s="169" t="s">
        <v>23</v>
      </c>
      <c r="V2" s="162" t="s">
        <v>24</v>
      </c>
      <c r="W2" s="161" t="s">
        <v>20</v>
      </c>
      <c r="X2" s="169" t="s">
        <v>21</v>
      </c>
      <c r="Y2" s="169" t="s">
        <v>22</v>
      </c>
      <c r="Z2" s="169" t="s">
        <v>23</v>
      </c>
      <c r="AA2" s="162" t="s">
        <v>24</v>
      </c>
      <c r="AB2" s="161" t="s">
        <v>20</v>
      </c>
      <c r="AC2" s="169" t="s">
        <v>21</v>
      </c>
      <c r="AD2" s="169" t="s">
        <v>22</v>
      </c>
      <c r="AE2" s="169" t="s">
        <v>23</v>
      </c>
      <c r="AF2" s="162" t="s">
        <v>24</v>
      </c>
      <c r="AG2" s="161" t="s">
        <v>20</v>
      </c>
      <c r="AH2" s="169" t="s">
        <v>21</v>
      </c>
      <c r="AI2" s="169" t="s">
        <v>22</v>
      </c>
      <c r="AJ2" s="169" t="s">
        <v>23</v>
      </c>
      <c r="AK2" s="162" t="s">
        <v>24</v>
      </c>
      <c r="AL2" s="161" t="s">
        <v>20</v>
      </c>
      <c r="AM2" s="169" t="s">
        <v>21</v>
      </c>
      <c r="AN2" s="169" t="s">
        <v>22</v>
      </c>
      <c r="AO2" s="169" t="s">
        <v>23</v>
      </c>
      <c r="AP2" s="162" t="s">
        <v>24</v>
      </c>
      <c r="AQ2" s="161" t="s">
        <v>20</v>
      </c>
      <c r="AR2" s="169" t="s">
        <v>21</v>
      </c>
      <c r="AS2" s="169" t="s">
        <v>22</v>
      </c>
      <c r="AT2" s="169" t="s">
        <v>23</v>
      </c>
      <c r="AU2" s="162" t="s">
        <v>24</v>
      </c>
      <c r="AV2" s="161" t="s">
        <v>20</v>
      </c>
      <c r="AW2" s="169" t="s">
        <v>21</v>
      </c>
      <c r="AX2" s="169" t="s">
        <v>22</v>
      </c>
      <c r="AY2" s="169" t="s">
        <v>23</v>
      </c>
      <c r="AZ2" s="162" t="s">
        <v>24</v>
      </c>
      <c r="BA2" s="161" t="s">
        <v>20</v>
      </c>
      <c r="BB2" s="169" t="s">
        <v>21</v>
      </c>
      <c r="BC2" s="169" t="s">
        <v>22</v>
      </c>
      <c r="BD2" s="169" t="s">
        <v>23</v>
      </c>
      <c r="BE2" s="162" t="s">
        <v>24</v>
      </c>
      <c r="BF2" s="166" t="s">
        <v>20</v>
      </c>
      <c r="BG2" s="167" t="s">
        <v>21</v>
      </c>
      <c r="BH2" s="167" t="s">
        <v>22</v>
      </c>
      <c r="BI2" s="167" t="s">
        <v>23</v>
      </c>
      <c r="BJ2" s="168" t="s">
        <v>24</v>
      </c>
      <c r="BK2" s="161" t="s">
        <v>20</v>
      </c>
      <c r="BL2" s="169" t="s">
        <v>21</v>
      </c>
      <c r="BM2" s="169" t="s">
        <v>22</v>
      </c>
      <c r="BN2" s="169" t="s">
        <v>23</v>
      </c>
      <c r="BO2" s="162" t="s">
        <v>24</v>
      </c>
      <c r="BP2" s="161" t="s">
        <v>20</v>
      </c>
      <c r="BQ2" s="169" t="s">
        <v>21</v>
      </c>
      <c r="BR2" s="169" t="s">
        <v>22</v>
      </c>
      <c r="BS2" s="169" t="s">
        <v>23</v>
      </c>
      <c r="BT2" s="162" t="s">
        <v>24</v>
      </c>
      <c r="BU2" s="161" t="s">
        <v>20</v>
      </c>
      <c r="BV2" s="169" t="s">
        <v>21</v>
      </c>
      <c r="BW2" s="169" t="s">
        <v>22</v>
      </c>
      <c r="BX2" s="169" t="s">
        <v>23</v>
      </c>
      <c r="BY2" s="162" t="s">
        <v>24</v>
      </c>
      <c r="BZ2" s="161" t="s">
        <v>20</v>
      </c>
      <c r="CA2" s="169" t="s">
        <v>21</v>
      </c>
      <c r="CB2" s="169" t="s">
        <v>22</v>
      </c>
      <c r="CC2" s="169" t="s">
        <v>23</v>
      </c>
      <c r="CD2" s="162" t="s">
        <v>24</v>
      </c>
      <c r="CE2" s="161" t="s">
        <v>20</v>
      </c>
      <c r="CF2" s="169" t="s">
        <v>21</v>
      </c>
      <c r="CG2" s="169" t="s">
        <v>22</v>
      </c>
      <c r="CH2" s="169" t="s">
        <v>23</v>
      </c>
      <c r="CI2" s="162" t="s">
        <v>24</v>
      </c>
    </row>
    <row r="3" spans="1:87">
      <c r="A3" s="170" t="s">
        <v>25</v>
      </c>
      <c r="B3" s="171" t="s">
        <v>26</v>
      </c>
      <c r="C3" s="172">
        <f>H3+BF3</f>
        <v>9478303</v>
      </c>
      <c r="D3" s="173">
        <f t="shared" ref="D3:D66" si="0">I3+BG3</f>
        <v>9306257</v>
      </c>
      <c r="E3" s="173">
        <f t="shared" ref="E3:E66" si="1">J3+BH3</f>
        <v>18194811</v>
      </c>
      <c r="F3" s="173">
        <f t="shared" ref="F3:F66" si="2">K3+BI3</f>
        <v>14516537</v>
      </c>
      <c r="G3" s="174">
        <f t="shared" ref="G3:G66" si="3">L3+BJ3</f>
        <v>51495908</v>
      </c>
      <c r="H3" s="172">
        <f>M3+R3+W3+AB3+AG3+AL3+AQ3+AV3+BA3</f>
        <v>8491534</v>
      </c>
      <c r="I3" s="173">
        <f t="shared" ref="I3:I66" si="4">N3+S3+X3+AC3+AH3+AM3+AR3+AW3+BB3</f>
        <v>8335758</v>
      </c>
      <c r="J3" s="173">
        <f t="shared" ref="J3:J66" si="5">O3+T3+Y3+AD3+AI3+AN3+AS3+AX3+BC3</f>
        <v>16678229</v>
      </c>
      <c r="K3" s="173">
        <f t="shared" ref="K3:K66" si="6">P3+U3+Z3+AE3+AJ3+AO3+AT3+AY3+BD3</f>
        <v>12936351</v>
      </c>
      <c r="L3" s="174">
        <f t="shared" ref="L3:L66" si="7">Q3+V3+AA3+AF3+AK3+AP3+AU3+AZ3+BE3</f>
        <v>46441872</v>
      </c>
      <c r="M3" s="172">
        <v>1797817</v>
      </c>
      <c r="N3" s="173">
        <v>1761726</v>
      </c>
      <c r="O3" s="173">
        <v>1898495</v>
      </c>
      <c r="P3" s="173">
        <v>1940600</v>
      </c>
      <c r="Q3" s="174">
        <v>7398638</v>
      </c>
      <c r="R3" s="172">
        <v>899980</v>
      </c>
      <c r="S3" s="173">
        <v>727987</v>
      </c>
      <c r="T3" s="173">
        <v>2060878</v>
      </c>
      <c r="U3" s="173">
        <v>1727693</v>
      </c>
      <c r="V3" s="174">
        <v>5416538</v>
      </c>
      <c r="W3" s="172">
        <v>597249</v>
      </c>
      <c r="X3" s="173">
        <v>311139</v>
      </c>
      <c r="Y3" s="173">
        <v>1011851</v>
      </c>
      <c r="Z3" s="173">
        <v>919971</v>
      </c>
      <c r="AA3" s="174">
        <v>2840210</v>
      </c>
      <c r="AB3" s="172">
        <v>93500</v>
      </c>
      <c r="AC3" s="173">
        <v>608464</v>
      </c>
      <c r="AD3" s="173">
        <v>1535825</v>
      </c>
      <c r="AE3" s="173">
        <v>1980556</v>
      </c>
      <c r="AF3" s="174">
        <v>4218345</v>
      </c>
      <c r="AG3" s="172">
        <v>2455646</v>
      </c>
      <c r="AH3" s="173">
        <v>2563438</v>
      </c>
      <c r="AI3" s="173">
        <v>7326830</v>
      </c>
      <c r="AJ3" s="173">
        <v>3465125</v>
      </c>
      <c r="AK3" s="174">
        <v>15811039</v>
      </c>
      <c r="AL3" s="172">
        <v>199380</v>
      </c>
      <c r="AM3" s="173">
        <v>253983</v>
      </c>
      <c r="AN3" s="173">
        <v>239760</v>
      </c>
      <c r="AO3" s="173">
        <v>284458</v>
      </c>
      <c r="AP3" s="174">
        <v>977581</v>
      </c>
      <c r="AQ3" s="172">
        <v>1067830</v>
      </c>
      <c r="AR3" s="173">
        <v>935926</v>
      </c>
      <c r="AS3" s="173">
        <v>1437306</v>
      </c>
      <c r="AT3" s="173">
        <v>1199817</v>
      </c>
      <c r="AU3" s="174">
        <v>4640879</v>
      </c>
      <c r="AV3" s="172">
        <v>142573</v>
      </c>
      <c r="AW3" s="173">
        <v>125094</v>
      </c>
      <c r="AX3" s="173">
        <v>141896</v>
      </c>
      <c r="AY3" s="173">
        <v>124035</v>
      </c>
      <c r="AZ3" s="174">
        <v>533598</v>
      </c>
      <c r="BA3" s="172">
        <v>1237559</v>
      </c>
      <c r="BB3" s="173">
        <v>1048001</v>
      </c>
      <c r="BC3" s="173">
        <v>1025388</v>
      </c>
      <c r="BD3" s="173">
        <v>1294096</v>
      </c>
      <c r="BE3" s="174">
        <v>4605044</v>
      </c>
      <c r="BF3" s="172">
        <f>BK3+BP3+BU3+BZ3+CE3</f>
        <v>986769</v>
      </c>
      <c r="BG3" s="173">
        <f t="shared" ref="BG3:BG66" si="8">BL3+BQ3+BV3+CA3+CF3</f>
        <v>970499</v>
      </c>
      <c r="BH3" s="173">
        <f t="shared" ref="BH3:BH66" si="9">BM3+BR3+BW3+CB3+CG3</f>
        <v>1516582</v>
      </c>
      <c r="BI3" s="173">
        <f t="shared" ref="BI3:BI66" si="10">BN3+BS3+BX3+CC3+CH3</f>
        <v>1580186</v>
      </c>
      <c r="BJ3" s="174">
        <f t="shared" ref="BJ3:BJ66" si="11">BO3+BT3+BY3+CD3+CI3</f>
        <v>5054036</v>
      </c>
      <c r="BK3" s="172">
        <v>47967</v>
      </c>
      <c r="BL3" s="173">
        <v>49326</v>
      </c>
      <c r="BM3" s="173">
        <v>84565</v>
      </c>
      <c r="BN3" s="173">
        <v>70610</v>
      </c>
      <c r="BO3" s="174">
        <v>252468</v>
      </c>
      <c r="BP3" s="172">
        <v>562537</v>
      </c>
      <c r="BQ3" s="173">
        <v>499432</v>
      </c>
      <c r="BR3" s="173">
        <v>729499</v>
      </c>
      <c r="BS3" s="173">
        <v>669547</v>
      </c>
      <c r="BT3" s="174">
        <v>2461015</v>
      </c>
      <c r="BU3" s="172">
        <v>281719</v>
      </c>
      <c r="BV3" s="173">
        <v>350351</v>
      </c>
      <c r="BW3" s="173">
        <v>463981</v>
      </c>
      <c r="BX3" s="173">
        <v>664926</v>
      </c>
      <c r="BY3" s="174">
        <v>1760977</v>
      </c>
      <c r="BZ3" s="172">
        <v>60455</v>
      </c>
      <c r="CA3" s="173">
        <v>49698</v>
      </c>
      <c r="CB3" s="173">
        <v>181387</v>
      </c>
      <c r="CC3" s="173">
        <v>102232</v>
      </c>
      <c r="CD3" s="174">
        <v>393772</v>
      </c>
      <c r="CE3" s="172">
        <v>34091</v>
      </c>
      <c r="CF3" s="173">
        <v>21692</v>
      </c>
      <c r="CG3" s="173">
        <v>57150</v>
      </c>
      <c r="CH3" s="173">
        <v>72871</v>
      </c>
      <c r="CI3" s="174">
        <v>185804</v>
      </c>
    </row>
    <row r="4" spans="1:87">
      <c r="A4" s="170"/>
      <c r="B4" s="171" t="s">
        <v>27</v>
      </c>
      <c r="C4" s="172">
        <f t="shared" ref="C4:C67" si="12">H4+BF4</f>
        <v>4794329</v>
      </c>
      <c r="D4" s="173">
        <f t="shared" si="0"/>
        <v>4351959</v>
      </c>
      <c r="E4" s="173">
        <f t="shared" si="1"/>
        <v>3959718</v>
      </c>
      <c r="F4" s="173">
        <f t="shared" si="2"/>
        <v>3706022</v>
      </c>
      <c r="G4" s="174">
        <f t="shared" si="3"/>
        <v>16812028</v>
      </c>
      <c r="H4" s="172">
        <f t="shared" ref="H4:H67" si="13">M4+R4+W4+AB4+AG4+AL4+AQ4+AV4+BA4</f>
        <v>4129619</v>
      </c>
      <c r="I4" s="173">
        <f t="shared" si="4"/>
        <v>3885219</v>
      </c>
      <c r="J4" s="173">
        <f t="shared" si="5"/>
        <v>3366022</v>
      </c>
      <c r="K4" s="173">
        <f t="shared" si="6"/>
        <v>2936465</v>
      </c>
      <c r="L4" s="174">
        <f t="shared" si="7"/>
        <v>14317325</v>
      </c>
      <c r="M4" s="172">
        <v>70739</v>
      </c>
      <c r="N4" s="173">
        <v>215877</v>
      </c>
      <c r="O4" s="173">
        <v>233057</v>
      </c>
      <c r="P4" s="173">
        <v>206888</v>
      </c>
      <c r="Q4" s="174">
        <v>726561</v>
      </c>
      <c r="R4" s="172">
        <v>77340</v>
      </c>
      <c r="S4" s="173">
        <v>137066</v>
      </c>
      <c r="T4" s="173">
        <v>90651</v>
      </c>
      <c r="U4" s="173">
        <v>153588</v>
      </c>
      <c r="V4" s="174">
        <v>458645</v>
      </c>
      <c r="W4" s="172">
        <v>722035</v>
      </c>
      <c r="X4" s="173">
        <v>255143</v>
      </c>
      <c r="Y4" s="173">
        <v>429135</v>
      </c>
      <c r="Z4" s="173">
        <v>155324</v>
      </c>
      <c r="AA4" s="174">
        <v>1561637</v>
      </c>
      <c r="AB4" s="172">
        <v>13981</v>
      </c>
      <c r="AC4" s="173">
        <v>276192</v>
      </c>
      <c r="AD4" s="173">
        <v>239716</v>
      </c>
      <c r="AE4" s="173">
        <v>83146</v>
      </c>
      <c r="AF4" s="174">
        <v>613035</v>
      </c>
      <c r="AG4" s="172">
        <v>2886639</v>
      </c>
      <c r="AH4" s="173">
        <v>2687781</v>
      </c>
      <c r="AI4" s="173">
        <v>1757918</v>
      </c>
      <c r="AJ4" s="173">
        <v>1978360</v>
      </c>
      <c r="AK4" s="174">
        <v>9310698</v>
      </c>
      <c r="AL4" s="172">
        <v>72829</v>
      </c>
      <c r="AM4" s="173">
        <v>59637</v>
      </c>
      <c r="AN4" s="173">
        <v>89950</v>
      </c>
      <c r="AO4" s="173">
        <v>41020</v>
      </c>
      <c r="AP4" s="174">
        <v>263436</v>
      </c>
      <c r="AQ4" s="172">
        <v>97306</v>
      </c>
      <c r="AR4" s="173">
        <v>138478</v>
      </c>
      <c r="AS4" s="173">
        <v>132616</v>
      </c>
      <c r="AT4" s="173">
        <v>111514</v>
      </c>
      <c r="AU4" s="174">
        <v>479914</v>
      </c>
      <c r="AV4" s="172">
        <v>15221</v>
      </c>
      <c r="AW4" s="173">
        <v>10648</v>
      </c>
      <c r="AX4" s="173">
        <v>46905</v>
      </c>
      <c r="AY4" s="173">
        <v>20098</v>
      </c>
      <c r="AZ4" s="174">
        <v>92872</v>
      </c>
      <c r="BA4" s="172">
        <v>173529</v>
      </c>
      <c r="BB4" s="173">
        <v>104397</v>
      </c>
      <c r="BC4" s="173">
        <v>346074</v>
      </c>
      <c r="BD4" s="173">
        <v>186527</v>
      </c>
      <c r="BE4" s="174">
        <v>810527</v>
      </c>
      <c r="BF4" s="172">
        <f t="shared" ref="BF4:BF67" si="14">BK4+BP4+BU4+BZ4+CE4</f>
        <v>664710</v>
      </c>
      <c r="BG4" s="173">
        <f t="shared" si="8"/>
        <v>466740</v>
      </c>
      <c r="BH4" s="173">
        <f t="shared" si="9"/>
        <v>593696</v>
      </c>
      <c r="BI4" s="173">
        <f t="shared" si="10"/>
        <v>769557</v>
      </c>
      <c r="BJ4" s="174">
        <f t="shared" si="11"/>
        <v>2494703</v>
      </c>
      <c r="BK4" s="172">
        <v>15550</v>
      </c>
      <c r="BL4" s="173">
        <v>19718</v>
      </c>
      <c r="BM4" s="173">
        <v>9053</v>
      </c>
      <c r="BN4" s="173">
        <v>10861</v>
      </c>
      <c r="BO4" s="174">
        <v>55182</v>
      </c>
      <c r="BP4" s="172">
        <v>473249</v>
      </c>
      <c r="BQ4" s="173">
        <v>324062</v>
      </c>
      <c r="BR4" s="173">
        <v>435697</v>
      </c>
      <c r="BS4" s="173">
        <v>580419</v>
      </c>
      <c r="BT4" s="174">
        <v>1813427</v>
      </c>
      <c r="BU4" s="172">
        <v>145878</v>
      </c>
      <c r="BV4" s="173">
        <v>89940</v>
      </c>
      <c r="BW4" s="173">
        <v>122879</v>
      </c>
      <c r="BX4" s="173">
        <v>163539</v>
      </c>
      <c r="BY4" s="174">
        <v>522236</v>
      </c>
      <c r="BZ4" s="172">
        <v>18181</v>
      </c>
      <c r="CA4" s="173">
        <v>14344</v>
      </c>
      <c r="CB4" s="173">
        <v>9531</v>
      </c>
      <c r="CC4" s="173">
        <v>11346</v>
      </c>
      <c r="CD4" s="174">
        <v>53402</v>
      </c>
      <c r="CE4" s="172">
        <v>11852</v>
      </c>
      <c r="CF4" s="173">
        <v>18676</v>
      </c>
      <c r="CG4" s="173">
        <v>16536</v>
      </c>
      <c r="CH4" s="173">
        <v>3392</v>
      </c>
      <c r="CI4" s="174">
        <v>50456</v>
      </c>
    </row>
    <row r="5" spans="1:87">
      <c r="A5" s="170"/>
      <c r="B5" s="171" t="s">
        <v>28</v>
      </c>
      <c r="C5" s="172">
        <f t="shared" si="12"/>
        <v>65588169</v>
      </c>
      <c r="D5" s="173">
        <f t="shared" si="0"/>
        <v>75958711</v>
      </c>
      <c r="E5" s="173">
        <f t="shared" si="1"/>
        <v>86707200</v>
      </c>
      <c r="F5" s="173">
        <f t="shared" si="2"/>
        <v>125625471</v>
      </c>
      <c r="G5" s="174">
        <f t="shared" si="3"/>
        <v>353879551</v>
      </c>
      <c r="H5" s="172">
        <f t="shared" si="13"/>
        <v>57242034</v>
      </c>
      <c r="I5" s="173">
        <f t="shared" si="4"/>
        <v>66437798</v>
      </c>
      <c r="J5" s="173">
        <f t="shared" si="5"/>
        <v>71481038</v>
      </c>
      <c r="K5" s="173">
        <f t="shared" si="6"/>
        <v>100297506</v>
      </c>
      <c r="L5" s="174">
        <f t="shared" si="7"/>
        <v>295458376</v>
      </c>
      <c r="M5" s="172">
        <v>8807748</v>
      </c>
      <c r="N5" s="173">
        <v>11931036</v>
      </c>
      <c r="O5" s="173">
        <v>12591448</v>
      </c>
      <c r="P5" s="173">
        <v>14940410</v>
      </c>
      <c r="Q5" s="174">
        <v>48270642</v>
      </c>
      <c r="R5" s="172">
        <v>7358076</v>
      </c>
      <c r="S5" s="173">
        <v>11633993</v>
      </c>
      <c r="T5" s="173">
        <v>12733767</v>
      </c>
      <c r="U5" s="173">
        <v>21752440</v>
      </c>
      <c r="V5" s="174">
        <v>53478276</v>
      </c>
      <c r="W5" s="172">
        <v>10030322</v>
      </c>
      <c r="X5" s="173">
        <v>8885306</v>
      </c>
      <c r="Y5" s="173">
        <v>9116203</v>
      </c>
      <c r="Z5" s="173">
        <v>9254383</v>
      </c>
      <c r="AA5" s="174">
        <v>37286214</v>
      </c>
      <c r="AB5" s="172">
        <v>480920</v>
      </c>
      <c r="AC5" s="173">
        <v>1303902</v>
      </c>
      <c r="AD5" s="173">
        <v>1986698</v>
      </c>
      <c r="AE5" s="173">
        <v>4052115</v>
      </c>
      <c r="AF5" s="174">
        <v>7823635</v>
      </c>
      <c r="AG5" s="172">
        <v>13862893</v>
      </c>
      <c r="AH5" s="173">
        <v>17027415</v>
      </c>
      <c r="AI5" s="173">
        <v>14002116</v>
      </c>
      <c r="AJ5" s="173">
        <v>28271758</v>
      </c>
      <c r="AK5" s="174">
        <v>73164182</v>
      </c>
      <c r="AL5" s="172">
        <v>3139019</v>
      </c>
      <c r="AM5" s="173">
        <v>2973564</v>
      </c>
      <c r="AN5" s="173">
        <v>5259535</v>
      </c>
      <c r="AO5" s="173">
        <v>4845129</v>
      </c>
      <c r="AP5" s="174">
        <v>16217247</v>
      </c>
      <c r="AQ5" s="172">
        <v>8703811</v>
      </c>
      <c r="AR5" s="173">
        <v>6762917</v>
      </c>
      <c r="AS5" s="173">
        <v>7086366</v>
      </c>
      <c r="AT5" s="173">
        <v>8594316</v>
      </c>
      <c r="AU5" s="174">
        <v>31147410</v>
      </c>
      <c r="AV5" s="172">
        <v>396571</v>
      </c>
      <c r="AW5" s="173">
        <v>763215</v>
      </c>
      <c r="AX5" s="173">
        <v>931503</v>
      </c>
      <c r="AY5" s="173">
        <v>1096976</v>
      </c>
      <c r="AZ5" s="174">
        <v>3188265</v>
      </c>
      <c r="BA5" s="172">
        <v>4462674</v>
      </c>
      <c r="BB5" s="173">
        <v>5156450</v>
      </c>
      <c r="BC5" s="173">
        <v>7773402</v>
      </c>
      <c r="BD5" s="173">
        <v>7489979</v>
      </c>
      <c r="BE5" s="174">
        <v>24882505</v>
      </c>
      <c r="BF5" s="172">
        <f t="shared" si="14"/>
        <v>8346135</v>
      </c>
      <c r="BG5" s="173">
        <f t="shared" si="8"/>
        <v>9520913</v>
      </c>
      <c r="BH5" s="173">
        <f t="shared" si="9"/>
        <v>15226162</v>
      </c>
      <c r="BI5" s="173">
        <f t="shared" si="10"/>
        <v>25327965</v>
      </c>
      <c r="BJ5" s="174">
        <f t="shared" si="11"/>
        <v>58421175</v>
      </c>
      <c r="BK5" s="172">
        <v>1230775</v>
      </c>
      <c r="BL5" s="173">
        <v>1560434</v>
      </c>
      <c r="BM5" s="173">
        <v>1677632</v>
      </c>
      <c r="BN5" s="173">
        <v>2374817</v>
      </c>
      <c r="BO5" s="174">
        <v>6843658</v>
      </c>
      <c r="BP5" s="172">
        <v>2362284</v>
      </c>
      <c r="BQ5" s="173">
        <v>1950459</v>
      </c>
      <c r="BR5" s="173">
        <v>3208479</v>
      </c>
      <c r="BS5" s="173">
        <v>6090525</v>
      </c>
      <c r="BT5" s="174">
        <v>13611747</v>
      </c>
      <c r="BU5" s="172">
        <v>2934187</v>
      </c>
      <c r="BV5" s="173">
        <v>4109336</v>
      </c>
      <c r="BW5" s="173">
        <v>7766206</v>
      </c>
      <c r="BX5" s="173">
        <v>13147872</v>
      </c>
      <c r="BY5" s="174">
        <v>27957601</v>
      </c>
      <c r="BZ5" s="172">
        <v>980638</v>
      </c>
      <c r="CA5" s="173">
        <v>1061057</v>
      </c>
      <c r="CB5" s="173">
        <v>1654684</v>
      </c>
      <c r="CC5" s="173">
        <v>2412042</v>
      </c>
      <c r="CD5" s="174">
        <v>6108421</v>
      </c>
      <c r="CE5" s="172">
        <v>838251</v>
      </c>
      <c r="CF5" s="173">
        <v>839627</v>
      </c>
      <c r="CG5" s="173">
        <v>919161</v>
      </c>
      <c r="CH5" s="173">
        <v>1302709</v>
      </c>
      <c r="CI5" s="174">
        <v>3899748</v>
      </c>
    </row>
    <row r="6" spans="1:87">
      <c r="A6" s="170"/>
      <c r="B6" s="171" t="s">
        <v>29</v>
      </c>
      <c r="C6" s="172">
        <f t="shared" si="12"/>
        <v>533818</v>
      </c>
      <c r="D6" s="173">
        <f t="shared" si="0"/>
        <v>196456</v>
      </c>
      <c r="E6" s="173">
        <f t="shared" si="1"/>
        <v>222058</v>
      </c>
      <c r="F6" s="173">
        <f t="shared" si="2"/>
        <v>1673630</v>
      </c>
      <c r="G6" s="174">
        <f t="shared" si="3"/>
        <v>2625962</v>
      </c>
      <c r="H6" s="172">
        <f t="shared" si="13"/>
        <v>487739</v>
      </c>
      <c r="I6" s="173">
        <f t="shared" si="4"/>
        <v>140292</v>
      </c>
      <c r="J6" s="173">
        <f t="shared" si="5"/>
        <v>124515</v>
      </c>
      <c r="K6" s="173">
        <f t="shared" si="6"/>
        <v>1620560</v>
      </c>
      <c r="L6" s="174">
        <f t="shared" si="7"/>
        <v>2373106</v>
      </c>
      <c r="M6" s="172">
        <v>207344</v>
      </c>
      <c r="N6" s="173">
        <v>44166</v>
      </c>
      <c r="O6" s="173">
        <v>6495</v>
      </c>
      <c r="P6" s="173"/>
      <c r="Q6" s="174">
        <v>258005</v>
      </c>
      <c r="R6" s="172">
        <v>24681</v>
      </c>
      <c r="S6" s="173">
        <v>11691</v>
      </c>
      <c r="T6" s="173">
        <v>20784</v>
      </c>
      <c r="U6" s="173">
        <v>222365</v>
      </c>
      <c r="V6" s="174">
        <v>279521</v>
      </c>
      <c r="W6" s="172">
        <v>50165</v>
      </c>
      <c r="X6" s="173">
        <v>22083</v>
      </c>
      <c r="Y6" s="173">
        <v>19485</v>
      </c>
      <c r="Z6" s="173">
        <v>35876</v>
      </c>
      <c r="AA6" s="174">
        <v>127609</v>
      </c>
      <c r="AB6" s="172"/>
      <c r="AC6" s="173"/>
      <c r="AD6" s="173"/>
      <c r="AE6" s="173"/>
      <c r="AF6" s="174"/>
      <c r="AG6" s="172">
        <v>96126</v>
      </c>
      <c r="AH6" s="173">
        <v>35073</v>
      </c>
      <c r="AI6" s="173">
        <v>10392</v>
      </c>
      <c r="AJ6" s="173">
        <v>1228900</v>
      </c>
      <c r="AK6" s="174">
        <v>1370491</v>
      </c>
      <c r="AL6" s="172">
        <v>33278</v>
      </c>
      <c r="AM6" s="173">
        <v>25980</v>
      </c>
      <c r="AN6" s="173">
        <v>24681</v>
      </c>
      <c r="AO6" s="173">
        <v>33278</v>
      </c>
      <c r="AP6" s="174">
        <v>117217</v>
      </c>
      <c r="AQ6" s="172"/>
      <c r="AR6" s="173"/>
      <c r="AS6" s="173"/>
      <c r="AT6" s="173">
        <v>100141</v>
      </c>
      <c r="AU6" s="174">
        <v>100141</v>
      </c>
      <c r="AV6" s="172">
        <v>16391</v>
      </c>
      <c r="AW6" s="173"/>
      <c r="AX6" s="173">
        <v>17997</v>
      </c>
      <c r="AY6" s="173"/>
      <c r="AZ6" s="174">
        <v>34388</v>
      </c>
      <c r="BA6" s="172">
        <v>59754</v>
      </c>
      <c r="BB6" s="173">
        <v>1299</v>
      </c>
      <c r="BC6" s="173">
        <v>24681</v>
      </c>
      <c r="BD6" s="173"/>
      <c r="BE6" s="174">
        <v>85734</v>
      </c>
      <c r="BF6" s="172">
        <f t="shared" si="14"/>
        <v>46079</v>
      </c>
      <c r="BG6" s="173">
        <f t="shared" si="8"/>
        <v>56164</v>
      </c>
      <c r="BH6" s="173">
        <f t="shared" si="9"/>
        <v>97543</v>
      </c>
      <c r="BI6" s="173">
        <f t="shared" si="10"/>
        <v>53070</v>
      </c>
      <c r="BJ6" s="174">
        <f t="shared" si="11"/>
        <v>252856</v>
      </c>
      <c r="BK6" s="172">
        <v>12494</v>
      </c>
      <c r="BL6" s="173">
        <v>22886</v>
      </c>
      <c r="BM6" s="173">
        <v>17690</v>
      </c>
      <c r="BN6" s="173">
        <v>16391</v>
      </c>
      <c r="BO6" s="174">
        <v>69461</v>
      </c>
      <c r="BP6" s="172">
        <v>9093</v>
      </c>
      <c r="BQ6" s="173">
        <v>23382</v>
      </c>
      <c r="BR6" s="173">
        <v>31979</v>
      </c>
      <c r="BS6" s="173">
        <v>17690</v>
      </c>
      <c r="BT6" s="174">
        <v>82144</v>
      </c>
      <c r="BU6" s="172">
        <v>19296</v>
      </c>
      <c r="BV6" s="173">
        <v>9896</v>
      </c>
      <c r="BW6" s="173">
        <v>42678</v>
      </c>
      <c r="BX6" s="173">
        <v>11195</v>
      </c>
      <c r="BY6" s="174">
        <v>83065</v>
      </c>
      <c r="BZ6" s="172">
        <v>5196</v>
      </c>
      <c r="CA6" s="173"/>
      <c r="CB6" s="173">
        <v>5196</v>
      </c>
      <c r="CC6" s="173">
        <v>7794</v>
      </c>
      <c r="CD6" s="174">
        <v>18186</v>
      </c>
      <c r="CE6" s="172"/>
      <c r="CF6" s="173"/>
      <c r="CG6" s="173"/>
      <c r="CH6" s="173"/>
      <c r="CI6" s="174"/>
    </row>
    <row r="7" s="147" customFormat="1" ht="14.6" spans="1:87">
      <c r="A7" s="175" t="s">
        <v>30</v>
      </c>
      <c r="B7" s="176"/>
      <c r="C7" s="177">
        <f t="shared" si="12"/>
        <v>80394619</v>
      </c>
      <c r="D7" s="178">
        <f t="shared" si="0"/>
        <v>89813383</v>
      </c>
      <c r="E7" s="178">
        <f t="shared" si="1"/>
        <v>109083787</v>
      </c>
      <c r="F7" s="178">
        <f t="shared" si="2"/>
        <v>145521660</v>
      </c>
      <c r="G7" s="179">
        <f t="shared" si="3"/>
        <v>424813449</v>
      </c>
      <c r="H7" s="177">
        <f t="shared" si="13"/>
        <v>70350926</v>
      </c>
      <c r="I7" s="178">
        <f t="shared" si="4"/>
        <v>78799067</v>
      </c>
      <c r="J7" s="178">
        <f t="shared" si="5"/>
        <v>91649804</v>
      </c>
      <c r="K7" s="178">
        <f t="shared" si="6"/>
        <v>117790882</v>
      </c>
      <c r="L7" s="179">
        <f t="shared" si="7"/>
        <v>358590679</v>
      </c>
      <c r="M7" s="177">
        <v>10883648</v>
      </c>
      <c r="N7" s="178">
        <v>13952805</v>
      </c>
      <c r="O7" s="178">
        <v>14729495</v>
      </c>
      <c r="P7" s="178">
        <v>17087898</v>
      </c>
      <c r="Q7" s="179">
        <v>56653846</v>
      </c>
      <c r="R7" s="177">
        <v>8360077</v>
      </c>
      <c r="S7" s="178">
        <v>12510737</v>
      </c>
      <c r="T7" s="178">
        <v>14906080</v>
      </c>
      <c r="U7" s="178">
        <v>23856086</v>
      </c>
      <c r="V7" s="179">
        <v>59632980</v>
      </c>
      <c r="W7" s="177">
        <v>11399771</v>
      </c>
      <c r="X7" s="178">
        <v>9473671</v>
      </c>
      <c r="Y7" s="178">
        <v>10576674</v>
      </c>
      <c r="Z7" s="178">
        <v>10365554</v>
      </c>
      <c r="AA7" s="179">
        <v>41815670</v>
      </c>
      <c r="AB7" s="177">
        <v>588401</v>
      </c>
      <c r="AC7" s="178">
        <v>2188558</v>
      </c>
      <c r="AD7" s="178">
        <v>3762239</v>
      </c>
      <c r="AE7" s="178">
        <v>6115817</v>
      </c>
      <c r="AF7" s="179">
        <v>12655015</v>
      </c>
      <c r="AG7" s="177">
        <v>19301304</v>
      </c>
      <c r="AH7" s="178">
        <v>22313707</v>
      </c>
      <c r="AI7" s="178">
        <v>23097256</v>
      </c>
      <c r="AJ7" s="178">
        <v>34944143</v>
      </c>
      <c r="AK7" s="179">
        <v>99656410</v>
      </c>
      <c r="AL7" s="177">
        <v>3444506</v>
      </c>
      <c r="AM7" s="178">
        <v>3313164</v>
      </c>
      <c r="AN7" s="178">
        <v>5613926</v>
      </c>
      <c r="AO7" s="178">
        <v>5203885</v>
      </c>
      <c r="AP7" s="179">
        <v>17575481</v>
      </c>
      <c r="AQ7" s="177">
        <v>9868947</v>
      </c>
      <c r="AR7" s="178">
        <v>7837321</v>
      </c>
      <c r="AS7" s="178">
        <v>8656288</v>
      </c>
      <c r="AT7" s="178">
        <v>10005788</v>
      </c>
      <c r="AU7" s="179">
        <v>36368344</v>
      </c>
      <c r="AV7" s="177">
        <v>570756</v>
      </c>
      <c r="AW7" s="178">
        <v>898957</v>
      </c>
      <c r="AX7" s="178">
        <v>1138301</v>
      </c>
      <c r="AY7" s="178">
        <v>1241109</v>
      </c>
      <c r="AZ7" s="179">
        <v>3849123</v>
      </c>
      <c r="BA7" s="177">
        <v>5933516</v>
      </c>
      <c r="BB7" s="178">
        <v>6310147</v>
      </c>
      <c r="BC7" s="178">
        <v>9169545</v>
      </c>
      <c r="BD7" s="178">
        <v>8970602</v>
      </c>
      <c r="BE7" s="179">
        <v>30383810</v>
      </c>
      <c r="BF7" s="177">
        <f t="shared" si="14"/>
        <v>10043693</v>
      </c>
      <c r="BG7" s="178">
        <f t="shared" si="8"/>
        <v>11014316</v>
      </c>
      <c r="BH7" s="178">
        <f t="shared" si="9"/>
        <v>17433983</v>
      </c>
      <c r="BI7" s="178">
        <f t="shared" si="10"/>
        <v>27730778</v>
      </c>
      <c r="BJ7" s="179">
        <f t="shared" si="11"/>
        <v>66222770</v>
      </c>
      <c r="BK7" s="177">
        <v>1306786</v>
      </c>
      <c r="BL7" s="178">
        <v>1652364</v>
      </c>
      <c r="BM7" s="178">
        <v>1788940</v>
      </c>
      <c r="BN7" s="178">
        <v>2472679</v>
      </c>
      <c r="BO7" s="179">
        <v>7220769</v>
      </c>
      <c r="BP7" s="177">
        <v>3407163</v>
      </c>
      <c r="BQ7" s="178">
        <v>2797335</v>
      </c>
      <c r="BR7" s="178">
        <v>4405654</v>
      </c>
      <c r="BS7" s="178">
        <v>7358181</v>
      </c>
      <c r="BT7" s="179">
        <v>17968333</v>
      </c>
      <c r="BU7" s="177">
        <v>3381080</v>
      </c>
      <c r="BV7" s="178">
        <v>4559523</v>
      </c>
      <c r="BW7" s="178">
        <v>8395744</v>
      </c>
      <c r="BX7" s="178">
        <v>13987532</v>
      </c>
      <c r="BY7" s="179">
        <v>30323879</v>
      </c>
      <c r="BZ7" s="177">
        <v>1064470</v>
      </c>
      <c r="CA7" s="178">
        <v>1125099</v>
      </c>
      <c r="CB7" s="178">
        <v>1850798</v>
      </c>
      <c r="CC7" s="178">
        <v>2533414</v>
      </c>
      <c r="CD7" s="179">
        <v>6573781</v>
      </c>
      <c r="CE7" s="177">
        <v>884194</v>
      </c>
      <c r="CF7" s="178">
        <v>879995</v>
      </c>
      <c r="CG7" s="178">
        <v>992847</v>
      </c>
      <c r="CH7" s="178">
        <v>1378972</v>
      </c>
      <c r="CI7" s="179">
        <v>4136008</v>
      </c>
    </row>
    <row r="8" spans="1:87">
      <c r="A8" s="170" t="s">
        <v>31</v>
      </c>
      <c r="B8" s="171" t="s">
        <v>26</v>
      </c>
      <c r="C8" s="172">
        <f t="shared" si="12"/>
        <v>12456868</v>
      </c>
      <c r="D8" s="173">
        <f t="shared" si="0"/>
        <v>13406779</v>
      </c>
      <c r="E8" s="173">
        <f t="shared" si="1"/>
        <v>12790002</v>
      </c>
      <c r="F8" s="173">
        <f t="shared" si="2"/>
        <v>8740642</v>
      </c>
      <c r="G8" s="174">
        <f t="shared" si="3"/>
        <v>47394291</v>
      </c>
      <c r="H8" s="172">
        <f t="shared" si="13"/>
        <v>12176566</v>
      </c>
      <c r="I8" s="173">
        <f t="shared" si="4"/>
        <v>12965277</v>
      </c>
      <c r="J8" s="173">
        <f t="shared" si="5"/>
        <v>12351052</v>
      </c>
      <c r="K8" s="173">
        <f t="shared" si="6"/>
        <v>8121817</v>
      </c>
      <c r="L8" s="174">
        <f t="shared" si="7"/>
        <v>45614712</v>
      </c>
      <c r="M8" s="172">
        <v>1021784</v>
      </c>
      <c r="N8" s="173">
        <v>1415029</v>
      </c>
      <c r="O8" s="173">
        <v>1482794</v>
      </c>
      <c r="P8" s="173">
        <v>1052481</v>
      </c>
      <c r="Q8" s="174">
        <v>4972088</v>
      </c>
      <c r="R8" s="172">
        <v>514944</v>
      </c>
      <c r="S8" s="173">
        <v>659432</v>
      </c>
      <c r="T8" s="173">
        <v>862424</v>
      </c>
      <c r="U8" s="173">
        <v>611314</v>
      </c>
      <c r="V8" s="174">
        <v>2648114</v>
      </c>
      <c r="W8" s="172">
        <v>940300</v>
      </c>
      <c r="X8" s="173">
        <v>1032934</v>
      </c>
      <c r="Y8" s="173">
        <v>1490459</v>
      </c>
      <c r="Z8" s="173">
        <v>817395</v>
      </c>
      <c r="AA8" s="174">
        <v>4281088</v>
      </c>
      <c r="AB8" s="172">
        <v>184491</v>
      </c>
      <c r="AC8" s="173">
        <v>1192678</v>
      </c>
      <c r="AD8" s="173">
        <v>2516669</v>
      </c>
      <c r="AE8" s="173">
        <v>1497621</v>
      </c>
      <c r="AF8" s="174">
        <v>5391459</v>
      </c>
      <c r="AG8" s="172">
        <v>7323196</v>
      </c>
      <c r="AH8" s="173">
        <v>5904047</v>
      </c>
      <c r="AI8" s="173">
        <v>2661429</v>
      </c>
      <c r="AJ8" s="173">
        <v>1901782</v>
      </c>
      <c r="AK8" s="174">
        <v>17790454</v>
      </c>
      <c r="AL8" s="172">
        <v>183936</v>
      </c>
      <c r="AM8" s="173">
        <v>420953</v>
      </c>
      <c r="AN8" s="173">
        <v>661836</v>
      </c>
      <c r="AO8" s="173">
        <v>328278</v>
      </c>
      <c r="AP8" s="174">
        <v>1595003</v>
      </c>
      <c r="AQ8" s="172">
        <v>1178832</v>
      </c>
      <c r="AR8" s="173">
        <v>1117729</v>
      </c>
      <c r="AS8" s="173">
        <v>1467442</v>
      </c>
      <c r="AT8" s="173">
        <v>1072818</v>
      </c>
      <c r="AU8" s="174">
        <v>4836821</v>
      </c>
      <c r="AV8" s="172">
        <v>63167</v>
      </c>
      <c r="AW8" s="173">
        <v>88308</v>
      </c>
      <c r="AX8" s="173">
        <v>88664</v>
      </c>
      <c r="AY8" s="173">
        <v>72793</v>
      </c>
      <c r="AZ8" s="174">
        <v>312932</v>
      </c>
      <c r="BA8" s="172">
        <v>765916</v>
      </c>
      <c r="BB8" s="173">
        <v>1134167</v>
      </c>
      <c r="BC8" s="173">
        <v>1119335</v>
      </c>
      <c r="BD8" s="173">
        <v>767335</v>
      </c>
      <c r="BE8" s="174">
        <v>3786753</v>
      </c>
      <c r="BF8" s="172">
        <f t="shared" si="14"/>
        <v>280302</v>
      </c>
      <c r="BG8" s="173">
        <f t="shared" si="8"/>
        <v>441502</v>
      </c>
      <c r="BH8" s="173">
        <f t="shared" si="9"/>
        <v>438950</v>
      </c>
      <c r="BI8" s="173">
        <f t="shared" si="10"/>
        <v>618825</v>
      </c>
      <c r="BJ8" s="174">
        <f t="shared" si="11"/>
        <v>1779579</v>
      </c>
      <c r="BK8" s="172">
        <v>23334</v>
      </c>
      <c r="BL8" s="173">
        <v>28226</v>
      </c>
      <c r="BM8" s="173">
        <v>34277</v>
      </c>
      <c r="BN8" s="173">
        <v>29922</v>
      </c>
      <c r="BO8" s="174">
        <v>115759</v>
      </c>
      <c r="BP8" s="172">
        <v>57777</v>
      </c>
      <c r="BQ8" s="173">
        <v>139305</v>
      </c>
      <c r="BR8" s="173">
        <v>111727</v>
      </c>
      <c r="BS8" s="173">
        <v>101954</v>
      </c>
      <c r="BT8" s="174">
        <v>410763</v>
      </c>
      <c r="BU8" s="172">
        <v>149344</v>
      </c>
      <c r="BV8" s="173">
        <v>186042</v>
      </c>
      <c r="BW8" s="173">
        <v>237181</v>
      </c>
      <c r="BX8" s="173">
        <v>417081</v>
      </c>
      <c r="BY8" s="174">
        <v>989648</v>
      </c>
      <c r="BZ8" s="172">
        <v>25599</v>
      </c>
      <c r="CA8" s="173">
        <v>45980</v>
      </c>
      <c r="CB8" s="173">
        <v>46174</v>
      </c>
      <c r="CC8" s="173">
        <v>45304</v>
      </c>
      <c r="CD8" s="174">
        <v>163057</v>
      </c>
      <c r="CE8" s="172">
        <v>24248</v>
      </c>
      <c r="CF8" s="173">
        <v>41949</v>
      </c>
      <c r="CG8" s="173">
        <v>9591</v>
      </c>
      <c r="CH8" s="173">
        <v>24564</v>
      </c>
      <c r="CI8" s="174">
        <v>100352</v>
      </c>
    </row>
    <row r="9" spans="1:87">
      <c r="A9" s="170"/>
      <c r="B9" s="171" t="s">
        <v>27</v>
      </c>
      <c r="C9" s="172">
        <f t="shared" si="12"/>
        <v>7448834</v>
      </c>
      <c r="D9" s="173">
        <f t="shared" si="0"/>
        <v>7482109</v>
      </c>
      <c r="E9" s="173">
        <f t="shared" si="1"/>
        <v>5426848</v>
      </c>
      <c r="F9" s="173">
        <f t="shared" si="2"/>
        <v>3848187</v>
      </c>
      <c r="G9" s="174">
        <f t="shared" si="3"/>
        <v>24205978</v>
      </c>
      <c r="H9" s="172">
        <f t="shared" si="13"/>
        <v>7325346</v>
      </c>
      <c r="I9" s="173">
        <f t="shared" si="4"/>
        <v>7300112</v>
      </c>
      <c r="J9" s="173">
        <f t="shared" si="5"/>
        <v>5198240</v>
      </c>
      <c r="K9" s="173">
        <f t="shared" si="6"/>
        <v>3594201</v>
      </c>
      <c r="L9" s="174">
        <f t="shared" si="7"/>
        <v>23417899</v>
      </c>
      <c r="M9" s="172">
        <v>333540</v>
      </c>
      <c r="N9" s="173">
        <v>565172</v>
      </c>
      <c r="O9" s="173">
        <v>437818</v>
      </c>
      <c r="P9" s="173">
        <v>364217</v>
      </c>
      <c r="Q9" s="174">
        <v>1700747</v>
      </c>
      <c r="R9" s="172">
        <v>279667</v>
      </c>
      <c r="S9" s="173">
        <v>463304</v>
      </c>
      <c r="T9" s="173">
        <v>499103</v>
      </c>
      <c r="U9" s="173">
        <v>377200</v>
      </c>
      <c r="V9" s="174">
        <v>1619274</v>
      </c>
      <c r="W9" s="172">
        <v>1802522</v>
      </c>
      <c r="X9" s="173">
        <v>957915</v>
      </c>
      <c r="Y9" s="173">
        <v>1029172</v>
      </c>
      <c r="Z9" s="173">
        <v>508296</v>
      </c>
      <c r="AA9" s="174">
        <v>4297905</v>
      </c>
      <c r="AB9" s="172">
        <v>10983</v>
      </c>
      <c r="AC9" s="173">
        <v>580438</v>
      </c>
      <c r="AD9" s="173">
        <v>482058</v>
      </c>
      <c r="AE9" s="173">
        <v>74037</v>
      </c>
      <c r="AF9" s="174">
        <v>1147516</v>
      </c>
      <c r="AG9" s="172">
        <v>4478015</v>
      </c>
      <c r="AH9" s="173">
        <v>3745846</v>
      </c>
      <c r="AI9" s="173">
        <v>2244195</v>
      </c>
      <c r="AJ9" s="173">
        <v>1897795</v>
      </c>
      <c r="AK9" s="174">
        <v>12365851</v>
      </c>
      <c r="AL9" s="172">
        <v>102417</v>
      </c>
      <c r="AM9" s="173">
        <v>204882</v>
      </c>
      <c r="AN9" s="173">
        <v>72866</v>
      </c>
      <c r="AO9" s="173">
        <v>45689</v>
      </c>
      <c r="AP9" s="174">
        <v>425854</v>
      </c>
      <c r="AQ9" s="172">
        <v>181670</v>
      </c>
      <c r="AR9" s="173">
        <v>363989</v>
      </c>
      <c r="AS9" s="173">
        <v>232101</v>
      </c>
      <c r="AT9" s="173">
        <v>193664</v>
      </c>
      <c r="AU9" s="174">
        <v>971424</v>
      </c>
      <c r="AV9" s="172">
        <v>16568</v>
      </c>
      <c r="AW9" s="173">
        <v>53125</v>
      </c>
      <c r="AX9" s="173">
        <v>26983</v>
      </c>
      <c r="AY9" s="173">
        <v>14604</v>
      </c>
      <c r="AZ9" s="174">
        <v>111280</v>
      </c>
      <c r="BA9" s="172">
        <v>119964</v>
      </c>
      <c r="BB9" s="173">
        <v>365441</v>
      </c>
      <c r="BC9" s="173">
        <v>173944</v>
      </c>
      <c r="BD9" s="173">
        <v>118699</v>
      </c>
      <c r="BE9" s="174">
        <v>778048</v>
      </c>
      <c r="BF9" s="172">
        <f t="shared" si="14"/>
        <v>123488</v>
      </c>
      <c r="BG9" s="173">
        <f t="shared" si="8"/>
        <v>181997</v>
      </c>
      <c r="BH9" s="173">
        <f t="shared" si="9"/>
        <v>228608</v>
      </c>
      <c r="BI9" s="173">
        <f t="shared" si="10"/>
        <v>253986</v>
      </c>
      <c r="BJ9" s="174">
        <f t="shared" si="11"/>
        <v>788079</v>
      </c>
      <c r="BK9" s="172">
        <v>14376</v>
      </c>
      <c r="BL9" s="173">
        <v>15014</v>
      </c>
      <c r="BM9" s="173">
        <v>11422</v>
      </c>
      <c r="BN9" s="173">
        <v>7846</v>
      </c>
      <c r="BO9" s="174">
        <v>48658</v>
      </c>
      <c r="BP9" s="172">
        <v>28443</v>
      </c>
      <c r="BQ9" s="173">
        <v>87590</v>
      </c>
      <c r="BR9" s="173">
        <v>71758</v>
      </c>
      <c r="BS9" s="173">
        <v>43289</v>
      </c>
      <c r="BT9" s="174">
        <v>231080</v>
      </c>
      <c r="BU9" s="172">
        <v>66703</v>
      </c>
      <c r="BV9" s="173">
        <v>47429</v>
      </c>
      <c r="BW9" s="173">
        <v>125600</v>
      </c>
      <c r="BX9" s="173">
        <v>184631</v>
      </c>
      <c r="BY9" s="174">
        <v>424363</v>
      </c>
      <c r="BZ9" s="172">
        <v>8116</v>
      </c>
      <c r="CA9" s="173">
        <v>26768</v>
      </c>
      <c r="CB9" s="173">
        <v>18163</v>
      </c>
      <c r="CC9" s="173">
        <v>13126</v>
      </c>
      <c r="CD9" s="174">
        <v>66173</v>
      </c>
      <c r="CE9" s="172">
        <v>5850</v>
      </c>
      <c r="CF9" s="173">
        <v>5196</v>
      </c>
      <c r="CG9" s="173">
        <v>1665</v>
      </c>
      <c r="CH9" s="173">
        <v>5094</v>
      </c>
      <c r="CI9" s="174">
        <v>17805</v>
      </c>
    </row>
    <row r="10" spans="1:87">
      <c r="A10" s="170"/>
      <c r="B10" s="171" t="s">
        <v>28</v>
      </c>
      <c r="C10" s="172">
        <f t="shared" si="12"/>
        <v>27192110</v>
      </c>
      <c r="D10" s="173">
        <f t="shared" si="0"/>
        <v>24657149</v>
      </c>
      <c r="E10" s="173">
        <f t="shared" si="1"/>
        <v>23042853</v>
      </c>
      <c r="F10" s="173">
        <f t="shared" si="2"/>
        <v>15280514</v>
      </c>
      <c r="G10" s="174">
        <f t="shared" si="3"/>
        <v>90172626</v>
      </c>
      <c r="H10" s="172">
        <f t="shared" si="13"/>
        <v>26107647</v>
      </c>
      <c r="I10" s="173">
        <f t="shared" si="4"/>
        <v>23374265</v>
      </c>
      <c r="J10" s="173">
        <f t="shared" si="5"/>
        <v>21089368</v>
      </c>
      <c r="K10" s="173">
        <f t="shared" si="6"/>
        <v>12952555</v>
      </c>
      <c r="L10" s="174">
        <f t="shared" si="7"/>
        <v>83523835</v>
      </c>
      <c r="M10" s="172">
        <v>2066507</v>
      </c>
      <c r="N10" s="173">
        <v>2691648</v>
      </c>
      <c r="O10" s="173">
        <v>1449691</v>
      </c>
      <c r="P10" s="173">
        <v>1018281</v>
      </c>
      <c r="Q10" s="174">
        <v>7226127</v>
      </c>
      <c r="R10" s="172">
        <v>2485652</v>
      </c>
      <c r="S10" s="173">
        <v>3195312</v>
      </c>
      <c r="T10" s="173">
        <v>4116077</v>
      </c>
      <c r="U10" s="173">
        <v>2315627</v>
      </c>
      <c r="V10" s="174">
        <v>12112668</v>
      </c>
      <c r="W10" s="172">
        <v>3556762</v>
      </c>
      <c r="X10" s="173">
        <v>3750708</v>
      </c>
      <c r="Y10" s="173">
        <v>3533800</v>
      </c>
      <c r="Z10" s="173">
        <v>2525494</v>
      </c>
      <c r="AA10" s="174">
        <v>13366764</v>
      </c>
      <c r="AB10" s="172">
        <v>23140</v>
      </c>
      <c r="AC10" s="173">
        <v>487246</v>
      </c>
      <c r="AD10" s="173">
        <v>1359094</v>
      </c>
      <c r="AE10" s="173">
        <v>394985</v>
      </c>
      <c r="AF10" s="174">
        <v>2264465</v>
      </c>
      <c r="AG10" s="172">
        <v>14224650</v>
      </c>
      <c r="AH10" s="173">
        <v>7966390</v>
      </c>
      <c r="AI10" s="173">
        <v>4583950</v>
      </c>
      <c r="AJ10" s="173">
        <v>3637087</v>
      </c>
      <c r="AK10" s="174">
        <v>30412077</v>
      </c>
      <c r="AL10" s="172">
        <v>1176145</v>
      </c>
      <c r="AM10" s="173">
        <v>1517257</v>
      </c>
      <c r="AN10" s="173">
        <v>1185004</v>
      </c>
      <c r="AO10" s="173">
        <v>821906</v>
      </c>
      <c r="AP10" s="174">
        <v>4700312</v>
      </c>
      <c r="AQ10" s="172">
        <v>1625969</v>
      </c>
      <c r="AR10" s="173">
        <v>1808115</v>
      </c>
      <c r="AS10" s="173">
        <v>3354392</v>
      </c>
      <c r="AT10" s="173">
        <v>1710770</v>
      </c>
      <c r="AU10" s="174">
        <v>8499246</v>
      </c>
      <c r="AV10" s="172">
        <v>93999</v>
      </c>
      <c r="AW10" s="173">
        <v>96038</v>
      </c>
      <c r="AX10" s="173">
        <v>106146</v>
      </c>
      <c r="AY10" s="173">
        <v>96960</v>
      </c>
      <c r="AZ10" s="174">
        <v>393143</v>
      </c>
      <c r="BA10" s="172">
        <v>854823</v>
      </c>
      <c r="BB10" s="173">
        <v>1861551</v>
      </c>
      <c r="BC10" s="173">
        <v>1401214</v>
      </c>
      <c r="BD10" s="173">
        <v>431445</v>
      </c>
      <c r="BE10" s="174">
        <v>4549033</v>
      </c>
      <c r="BF10" s="172">
        <f t="shared" si="14"/>
        <v>1084463</v>
      </c>
      <c r="BG10" s="173">
        <f t="shared" si="8"/>
        <v>1282884</v>
      </c>
      <c r="BH10" s="173">
        <f t="shared" si="9"/>
        <v>1953485</v>
      </c>
      <c r="BI10" s="173">
        <f t="shared" si="10"/>
        <v>2327959</v>
      </c>
      <c r="BJ10" s="174">
        <f t="shared" si="11"/>
        <v>6648791</v>
      </c>
      <c r="BK10" s="172">
        <v>82917</v>
      </c>
      <c r="BL10" s="173">
        <v>158067</v>
      </c>
      <c r="BM10" s="173">
        <v>336477</v>
      </c>
      <c r="BN10" s="173">
        <v>247003</v>
      </c>
      <c r="BO10" s="174">
        <v>824464</v>
      </c>
      <c r="BP10" s="172">
        <v>197747</v>
      </c>
      <c r="BQ10" s="173">
        <v>246796</v>
      </c>
      <c r="BR10" s="173">
        <v>340144</v>
      </c>
      <c r="BS10" s="173">
        <v>269549</v>
      </c>
      <c r="BT10" s="174">
        <v>1054236</v>
      </c>
      <c r="BU10" s="172">
        <v>608867</v>
      </c>
      <c r="BV10" s="173">
        <v>623365</v>
      </c>
      <c r="BW10" s="173">
        <v>1001513</v>
      </c>
      <c r="BX10" s="173">
        <v>1505469</v>
      </c>
      <c r="BY10" s="174">
        <v>3739214</v>
      </c>
      <c r="BZ10" s="172">
        <v>105088</v>
      </c>
      <c r="CA10" s="173">
        <v>145479</v>
      </c>
      <c r="CB10" s="173">
        <v>174254</v>
      </c>
      <c r="CC10" s="173">
        <v>179610</v>
      </c>
      <c r="CD10" s="174">
        <v>604431</v>
      </c>
      <c r="CE10" s="172">
        <v>89844</v>
      </c>
      <c r="CF10" s="173">
        <v>109177</v>
      </c>
      <c r="CG10" s="173">
        <v>101097</v>
      </c>
      <c r="CH10" s="173">
        <v>126328</v>
      </c>
      <c r="CI10" s="174">
        <v>426446</v>
      </c>
    </row>
    <row r="11" spans="1:87">
      <c r="A11" s="170"/>
      <c r="B11" s="171" t="s">
        <v>29</v>
      </c>
      <c r="C11" s="172">
        <f t="shared" si="12"/>
        <v>1797301</v>
      </c>
      <c r="D11" s="173">
        <f t="shared" si="0"/>
        <v>1331112</v>
      </c>
      <c r="E11" s="173">
        <f t="shared" si="1"/>
        <v>791472</v>
      </c>
      <c r="F11" s="173">
        <f t="shared" si="2"/>
        <v>535143</v>
      </c>
      <c r="G11" s="174">
        <f t="shared" si="3"/>
        <v>4455028</v>
      </c>
      <c r="H11" s="172">
        <f t="shared" si="13"/>
        <v>1783810</v>
      </c>
      <c r="I11" s="173">
        <f t="shared" si="4"/>
        <v>1302631</v>
      </c>
      <c r="J11" s="173">
        <f t="shared" si="5"/>
        <v>779480</v>
      </c>
      <c r="K11" s="173">
        <f t="shared" si="6"/>
        <v>505163</v>
      </c>
      <c r="L11" s="174">
        <f t="shared" si="7"/>
        <v>4371084</v>
      </c>
      <c r="M11" s="172">
        <v>133411</v>
      </c>
      <c r="N11" s="173">
        <v>79447</v>
      </c>
      <c r="O11" s="173">
        <v>88441</v>
      </c>
      <c r="P11" s="173">
        <v>73451</v>
      </c>
      <c r="Q11" s="174">
        <v>374750</v>
      </c>
      <c r="R11" s="172">
        <v>52465</v>
      </c>
      <c r="S11" s="173">
        <v>44970</v>
      </c>
      <c r="T11" s="173">
        <v>82445</v>
      </c>
      <c r="U11" s="173">
        <v>46469</v>
      </c>
      <c r="V11" s="174">
        <v>226349</v>
      </c>
      <c r="W11" s="172">
        <v>262325</v>
      </c>
      <c r="X11" s="173">
        <v>38974</v>
      </c>
      <c r="Y11" s="173">
        <v>29980</v>
      </c>
      <c r="Z11" s="173">
        <v>41972</v>
      </c>
      <c r="AA11" s="174">
        <v>373251</v>
      </c>
      <c r="AB11" s="172">
        <v>56962</v>
      </c>
      <c r="AC11" s="173">
        <v>113924</v>
      </c>
      <c r="AD11" s="173">
        <v>41972</v>
      </c>
      <c r="AE11" s="173">
        <v>2998</v>
      </c>
      <c r="AF11" s="174">
        <v>215856</v>
      </c>
      <c r="AG11" s="172">
        <v>920386</v>
      </c>
      <c r="AH11" s="173">
        <v>783977</v>
      </c>
      <c r="AI11" s="173">
        <v>214357</v>
      </c>
      <c r="AJ11" s="173">
        <v>196369</v>
      </c>
      <c r="AK11" s="174">
        <v>2115089</v>
      </c>
      <c r="AL11" s="172">
        <v>92938</v>
      </c>
      <c r="AM11" s="173">
        <v>53964</v>
      </c>
      <c r="AN11" s="173">
        <v>166389</v>
      </c>
      <c r="AO11" s="173">
        <v>29980</v>
      </c>
      <c r="AP11" s="174">
        <v>343271</v>
      </c>
      <c r="AQ11" s="172">
        <v>61459</v>
      </c>
      <c r="AR11" s="173">
        <v>145403</v>
      </c>
      <c r="AS11" s="173">
        <v>98934</v>
      </c>
      <c r="AT11" s="173">
        <v>70453</v>
      </c>
      <c r="AU11" s="174">
        <v>376249</v>
      </c>
      <c r="AV11" s="172">
        <v>14990</v>
      </c>
      <c r="AW11" s="173">
        <v>1499</v>
      </c>
      <c r="AX11" s="173">
        <v>7495</v>
      </c>
      <c r="AY11" s="173">
        <v>5996</v>
      </c>
      <c r="AZ11" s="174">
        <v>29980</v>
      </c>
      <c r="BA11" s="172">
        <v>188874</v>
      </c>
      <c r="BB11" s="173">
        <v>40473</v>
      </c>
      <c r="BC11" s="173">
        <v>49467</v>
      </c>
      <c r="BD11" s="173">
        <v>37475</v>
      </c>
      <c r="BE11" s="174">
        <v>316289</v>
      </c>
      <c r="BF11" s="172">
        <f t="shared" si="14"/>
        <v>13491</v>
      </c>
      <c r="BG11" s="173">
        <f t="shared" si="8"/>
        <v>28481</v>
      </c>
      <c r="BH11" s="173">
        <f t="shared" si="9"/>
        <v>11992</v>
      </c>
      <c r="BI11" s="173">
        <f t="shared" si="10"/>
        <v>29980</v>
      </c>
      <c r="BJ11" s="174">
        <f t="shared" si="11"/>
        <v>83944</v>
      </c>
      <c r="BK11" s="172"/>
      <c r="BL11" s="173"/>
      <c r="BM11" s="173"/>
      <c r="BN11" s="173">
        <v>4497</v>
      </c>
      <c r="BO11" s="174">
        <v>4497</v>
      </c>
      <c r="BP11" s="172"/>
      <c r="BQ11" s="173">
        <v>8994</v>
      </c>
      <c r="BR11" s="173">
        <v>4497</v>
      </c>
      <c r="BS11" s="173">
        <v>1499</v>
      </c>
      <c r="BT11" s="174">
        <v>14990</v>
      </c>
      <c r="BU11" s="172">
        <v>7495</v>
      </c>
      <c r="BV11" s="173">
        <v>14990</v>
      </c>
      <c r="BW11" s="173">
        <v>5996</v>
      </c>
      <c r="BX11" s="173">
        <v>22485</v>
      </c>
      <c r="BY11" s="174">
        <v>50966</v>
      </c>
      <c r="BZ11" s="172"/>
      <c r="CA11" s="173"/>
      <c r="CB11" s="173"/>
      <c r="CC11" s="173">
        <v>1499</v>
      </c>
      <c r="CD11" s="174">
        <v>1499</v>
      </c>
      <c r="CE11" s="172">
        <v>5996</v>
      </c>
      <c r="CF11" s="173">
        <v>4497</v>
      </c>
      <c r="CG11" s="173">
        <v>1499</v>
      </c>
      <c r="CH11" s="173"/>
      <c r="CI11" s="174">
        <v>11992</v>
      </c>
    </row>
    <row r="12" s="147" customFormat="1" ht="14.6" spans="1:87">
      <c r="A12" s="175" t="s">
        <v>32</v>
      </c>
      <c r="B12" s="176"/>
      <c r="C12" s="177">
        <f t="shared" si="12"/>
        <v>48895113</v>
      </c>
      <c r="D12" s="178">
        <f t="shared" si="0"/>
        <v>46877149</v>
      </c>
      <c r="E12" s="178">
        <f t="shared" si="1"/>
        <v>42051175</v>
      </c>
      <c r="F12" s="178">
        <f t="shared" si="2"/>
        <v>28404486</v>
      </c>
      <c r="G12" s="179">
        <f t="shared" si="3"/>
        <v>166227923</v>
      </c>
      <c r="H12" s="177">
        <f t="shared" si="13"/>
        <v>47393369</v>
      </c>
      <c r="I12" s="178">
        <f t="shared" si="4"/>
        <v>44942285</v>
      </c>
      <c r="J12" s="178">
        <f t="shared" si="5"/>
        <v>39418140</v>
      </c>
      <c r="K12" s="178">
        <f t="shared" si="6"/>
        <v>25173736</v>
      </c>
      <c r="L12" s="179">
        <f t="shared" si="7"/>
        <v>156927530</v>
      </c>
      <c r="M12" s="177">
        <v>3555242</v>
      </c>
      <c r="N12" s="178">
        <v>4751296</v>
      </c>
      <c r="O12" s="178">
        <v>3458744</v>
      </c>
      <c r="P12" s="178">
        <v>2508430</v>
      </c>
      <c r="Q12" s="179">
        <v>14273712</v>
      </c>
      <c r="R12" s="177">
        <v>3332728</v>
      </c>
      <c r="S12" s="178">
        <v>4363018</v>
      </c>
      <c r="T12" s="178">
        <v>5560049</v>
      </c>
      <c r="U12" s="178">
        <v>3350610</v>
      </c>
      <c r="V12" s="179">
        <v>16606405</v>
      </c>
      <c r="W12" s="177">
        <v>6561909</v>
      </c>
      <c r="X12" s="178">
        <v>5780531</v>
      </c>
      <c r="Y12" s="178">
        <v>6083411</v>
      </c>
      <c r="Z12" s="178">
        <v>3893157</v>
      </c>
      <c r="AA12" s="179">
        <v>22319008</v>
      </c>
      <c r="AB12" s="177">
        <v>275576</v>
      </c>
      <c r="AC12" s="178">
        <v>2374286</v>
      </c>
      <c r="AD12" s="178">
        <v>4399793</v>
      </c>
      <c r="AE12" s="178">
        <v>1969641</v>
      </c>
      <c r="AF12" s="179">
        <v>9019296</v>
      </c>
      <c r="AG12" s="177">
        <v>26946247</v>
      </c>
      <c r="AH12" s="178">
        <v>18400260</v>
      </c>
      <c r="AI12" s="178">
        <v>9703931</v>
      </c>
      <c r="AJ12" s="178">
        <v>7633033</v>
      </c>
      <c r="AK12" s="179">
        <v>62683471</v>
      </c>
      <c r="AL12" s="177">
        <v>1555436</v>
      </c>
      <c r="AM12" s="178">
        <v>2197056</v>
      </c>
      <c r="AN12" s="178">
        <v>2086095</v>
      </c>
      <c r="AO12" s="178">
        <v>1225853</v>
      </c>
      <c r="AP12" s="179">
        <v>7064440</v>
      </c>
      <c r="AQ12" s="177">
        <v>3047930</v>
      </c>
      <c r="AR12" s="178">
        <v>3435236</v>
      </c>
      <c r="AS12" s="178">
        <v>5152869</v>
      </c>
      <c r="AT12" s="178">
        <v>3047705</v>
      </c>
      <c r="AU12" s="179">
        <v>14683740</v>
      </c>
      <c r="AV12" s="177">
        <v>188724</v>
      </c>
      <c r="AW12" s="178">
        <v>238970</v>
      </c>
      <c r="AX12" s="178">
        <v>229288</v>
      </c>
      <c r="AY12" s="178">
        <v>190353</v>
      </c>
      <c r="AZ12" s="179">
        <v>847335</v>
      </c>
      <c r="BA12" s="177">
        <v>1929577</v>
      </c>
      <c r="BB12" s="178">
        <v>3401632</v>
      </c>
      <c r="BC12" s="178">
        <v>2743960</v>
      </c>
      <c r="BD12" s="178">
        <v>1354954</v>
      </c>
      <c r="BE12" s="179">
        <v>9430123</v>
      </c>
      <c r="BF12" s="177">
        <f t="shared" si="14"/>
        <v>1501744</v>
      </c>
      <c r="BG12" s="178">
        <f t="shared" si="8"/>
        <v>1934864</v>
      </c>
      <c r="BH12" s="178">
        <f t="shared" si="9"/>
        <v>2633035</v>
      </c>
      <c r="BI12" s="178">
        <f t="shared" si="10"/>
        <v>3230750</v>
      </c>
      <c r="BJ12" s="179">
        <f t="shared" si="11"/>
        <v>9300393</v>
      </c>
      <c r="BK12" s="177">
        <v>120627</v>
      </c>
      <c r="BL12" s="178">
        <v>201307</v>
      </c>
      <c r="BM12" s="178">
        <v>382176</v>
      </c>
      <c r="BN12" s="178">
        <v>289268</v>
      </c>
      <c r="BO12" s="179">
        <v>993378</v>
      </c>
      <c r="BP12" s="177">
        <v>283967</v>
      </c>
      <c r="BQ12" s="178">
        <v>482685</v>
      </c>
      <c r="BR12" s="178">
        <v>528126</v>
      </c>
      <c r="BS12" s="178">
        <v>416291</v>
      </c>
      <c r="BT12" s="179">
        <v>1711069</v>
      </c>
      <c r="BU12" s="177">
        <v>832409</v>
      </c>
      <c r="BV12" s="178">
        <v>871826</v>
      </c>
      <c r="BW12" s="178">
        <v>1370290</v>
      </c>
      <c r="BX12" s="178">
        <v>2129666</v>
      </c>
      <c r="BY12" s="179">
        <v>5204191</v>
      </c>
      <c r="BZ12" s="177">
        <v>138803</v>
      </c>
      <c r="CA12" s="178">
        <v>218227</v>
      </c>
      <c r="CB12" s="178">
        <v>238591</v>
      </c>
      <c r="CC12" s="178">
        <v>239539</v>
      </c>
      <c r="CD12" s="179">
        <v>835160</v>
      </c>
      <c r="CE12" s="177">
        <v>125938</v>
      </c>
      <c r="CF12" s="178">
        <v>160819</v>
      </c>
      <c r="CG12" s="178">
        <v>113852</v>
      </c>
      <c r="CH12" s="178">
        <v>155986</v>
      </c>
      <c r="CI12" s="179">
        <v>556595</v>
      </c>
    </row>
    <row r="13" spans="1:87">
      <c r="A13" s="170" t="s">
        <v>33</v>
      </c>
      <c r="B13" s="171" t="s">
        <v>26</v>
      </c>
      <c r="C13" s="172">
        <f t="shared" si="12"/>
        <v>5890275</v>
      </c>
      <c r="D13" s="173">
        <f t="shared" si="0"/>
        <v>3996062</v>
      </c>
      <c r="E13" s="173">
        <f t="shared" si="1"/>
        <v>2948047</v>
      </c>
      <c r="F13" s="173">
        <f t="shared" si="2"/>
        <v>2583000</v>
      </c>
      <c r="G13" s="174">
        <f t="shared" si="3"/>
        <v>15417384</v>
      </c>
      <c r="H13" s="172">
        <f t="shared" si="13"/>
        <v>5730128</v>
      </c>
      <c r="I13" s="173">
        <f t="shared" si="4"/>
        <v>3829552</v>
      </c>
      <c r="J13" s="173">
        <f t="shared" si="5"/>
        <v>2754653</v>
      </c>
      <c r="K13" s="173">
        <f t="shared" si="6"/>
        <v>2398938</v>
      </c>
      <c r="L13" s="174">
        <f t="shared" si="7"/>
        <v>14713271</v>
      </c>
      <c r="M13" s="172">
        <v>465388</v>
      </c>
      <c r="N13" s="173">
        <v>671173</v>
      </c>
      <c r="O13" s="173">
        <v>322495</v>
      </c>
      <c r="P13" s="173">
        <v>273351</v>
      </c>
      <c r="Q13" s="174">
        <v>1732407</v>
      </c>
      <c r="R13" s="172">
        <v>346871</v>
      </c>
      <c r="S13" s="173">
        <v>273551</v>
      </c>
      <c r="T13" s="173">
        <v>255426</v>
      </c>
      <c r="U13" s="173">
        <v>187239</v>
      </c>
      <c r="V13" s="174">
        <v>1063087</v>
      </c>
      <c r="W13" s="172">
        <v>355701</v>
      </c>
      <c r="X13" s="173">
        <v>409882</v>
      </c>
      <c r="Y13" s="173">
        <v>272413</v>
      </c>
      <c r="Z13" s="173">
        <v>174594</v>
      </c>
      <c r="AA13" s="174">
        <v>1212590</v>
      </c>
      <c r="AB13" s="172">
        <v>282085</v>
      </c>
      <c r="AC13" s="173">
        <v>511564</v>
      </c>
      <c r="AD13" s="173">
        <v>233205</v>
      </c>
      <c r="AE13" s="173">
        <v>205895</v>
      </c>
      <c r="AF13" s="174">
        <v>1232749</v>
      </c>
      <c r="AG13" s="172">
        <v>3507869</v>
      </c>
      <c r="AH13" s="173">
        <v>1226201</v>
      </c>
      <c r="AI13" s="173">
        <v>868324</v>
      </c>
      <c r="AJ13" s="173">
        <v>949413</v>
      </c>
      <c r="AK13" s="174">
        <v>6551807</v>
      </c>
      <c r="AL13" s="172">
        <v>60465</v>
      </c>
      <c r="AM13" s="173">
        <v>87678</v>
      </c>
      <c r="AN13" s="173">
        <v>84860</v>
      </c>
      <c r="AO13" s="173">
        <v>87036</v>
      </c>
      <c r="AP13" s="174">
        <v>320039</v>
      </c>
      <c r="AQ13" s="172">
        <v>376272</v>
      </c>
      <c r="AR13" s="173">
        <v>364055</v>
      </c>
      <c r="AS13" s="173">
        <v>263090</v>
      </c>
      <c r="AT13" s="173">
        <v>194460</v>
      </c>
      <c r="AU13" s="174">
        <v>1197877</v>
      </c>
      <c r="AV13" s="172">
        <v>46907</v>
      </c>
      <c r="AW13" s="173">
        <v>24431</v>
      </c>
      <c r="AX13" s="173">
        <v>52842</v>
      </c>
      <c r="AY13" s="173">
        <v>31617</v>
      </c>
      <c r="AZ13" s="174">
        <v>155797</v>
      </c>
      <c r="BA13" s="172">
        <v>288570</v>
      </c>
      <c r="BB13" s="173">
        <v>261017</v>
      </c>
      <c r="BC13" s="173">
        <v>401998</v>
      </c>
      <c r="BD13" s="173">
        <v>295333</v>
      </c>
      <c r="BE13" s="174">
        <v>1246918</v>
      </c>
      <c r="BF13" s="172">
        <f t="shared" si="14"/>
        <v>160147</v>
      </c>
      <c r="BG13" s="173">
        <f t="shared" si="8"/>
        <v>166510</v>
      </c>
      <c r="BH13" s="173">
        <f t="shared" si="9"/>
        <v>193394</v>
      </c>
      <c r="BI13" s="173">
        <f t="shared" si="10"/>
        <v>184062</v>
      </c>
      <c r="BJ13" s="174">
        <f t="shared" si="11"/>
        <v>704113</v>
      </c>
      <c r="BK13" s="172">
        <v>3082</v>
      </c>
      <c r="BL13" s="173">
        <v>17066</v>
      </c>
      <c r="BM13" s="173">
        <v>10741</v>
      </c>
      <c r="BN13" s="173">
        <v>4921</v>
      </c>
      <c r="BO13" s="174">
        <v>35810</v>
      </c>
      <c r="BP13" s="172">
        <v>41419</v>
      </c>
      <c r="BQ13" s="173">
        <v>37656</v>
      </c>
      <c r="BR13" s="173">
        <v>30129</v>
      </c>
      <c r="BS13" s="173">
        <v>32717</v>
      </c>
      <c r="BT13" s="174">
        <v>141921</v>
      </c>
      <c r="BU13" s="172">
        <v>90430</v>
      </c>
      <c r="BV13" s="173">
        <v>74475</v>
      </c>
      <c r="BW13" s="173">
        <v>134997</v>
      </c>
      <c r="BX13" s="173">
        <v>117024</v>
      </c>
      <c r="BY13" s="174">
        <v>416926</v>
      </c>
      <c r="BZ13" s="172">
        <v>8273</v>
      </c>
      <c r="CA13" s="173">
        <v>9507</v>
      </c>
      <c r="CB13" s="173">
        <v>6689</v>
      </c>
      <c r="CC13" s="173">
        <v>7939</v>
      </c>
      <c r="CD13" s="174">
        <v>32408</v>
      </c>
      <c r="CE13" s="172">
        <v>16943</v>
      </c>
      <c r="CF13" s="173">
        <v>27806</v>
      </c>
      <c r="CG13" s="173">
        <v>10838</v>
      </c>
      <c r="CH13" s="173">
        <v>21461</v>
      </c>
      <c r="CI13" s="174">
        <v>77048</v>
      </c>
    </row>
    <row r="14" spans="1:87">
      <c r="A14" s="170"/>
      <c r="B14" s="171" t="s">
        <v>27</v>
      </c>
      <c r="C14" s="172">
        <f t="shared" si="12"/>
        <v>1825922</v>
      </c>
      <c r="D14" s="173">
        <f t="shared" si="0"/>
        <v>1630459</v>
      </c>
      <c r="E14" s="173">
        <f t="shared" si="1"/>
        <v>1605663</v>
      </c>
      <c r="F14" s="173">
        <f t="shared" si="2"/>
        <v>963153</v>
      </c>
      <c r="G14" s="174">
        <f t="shared" si="3"/>
        <v>6025197</v>
      </c>
      <c r="H14" s="172">
        <f t="shared" si="13"/>
        <v>1806750</v>
      </c>
      <c r="I14" s="173">
        <f t="shared" si="4"/>
        <v>1606920</v>
      </c>
      <c r="J14" s="173">
        <f t="shared" si="5"/>
        <v>1528625</v>
      </c>
      <c r="K14" s="173">
        <f t="shared" si="6"/>
        <v>870810</v>
      </c>
      <c r="L14" s="174">
        <f t="shared" si="7"/>
        <v>5813105</v>
      </c>
      <c r="M14" s="172">
        <v>106890</v>
      </c>
      <c r="N14" s="173">
        <v>132307</v>
      </c>
      <c r="O14" s="173">
        <v>87466</v>
      </c>
      <c r="P14" s="173">
        <v>61489</v>
      </c>
      <c r="Q14" s="174">
        <v>388152</v>
      </c>
      <c r="R14" s="172">
        <v>30679</v>
      </c>
      <c r="S14" s="173">
        <v>25395</v>
      </c>
      <c r="T14" s="173">
        <v>13720</v>
      </c>
      <c r="U14" s="173">
        <v>12969</v>
      </c>
      <c r="V14" s="174">
        <v>82763</v>
      </c>
      <c r="W14" s="172">
        <v>265032</v>
      </c>
      <c r="X14" s="173">
        <v>238562</v>
      </c>
      <c r="Y14" s="173">
        <v>180926</v>
      </c>
      <c r="Z14" s="173">
        <v>97592</v>
      </c>
      <c r="AA14" s="174">
        <v>782112</v>
      </c>
      <c r="AB14" s="172">
        <v>112500</v>
      </c>
      <c r="AC14" s="173">
        <v>107578</v>
      </c>
      <c r="AD14" s="173">
        <v>50035</v>
      </c>
      <c r="AE14" s="173">
        <v>15676</v>
      </c>
      <c r="AF14" s="174">
        <v>285789</v>
      </c>
      <c r="AG14" s="172">
        <v>1104420</v>
      </c>
      <c r="AH14" s="173">
        <v>815777</v>
      </c>
      <c r="AI14" s="173">
        <v>1007503</v>
      </c>
      <c r="AJ14" s="173">
        <v>601006</v>
      </c>
      <c r="AK14" s="174">
        <v>3528706</v>
      </c>
      <c r="AL14" s="172">
        <v>61757</v>
      </c>
      <c r="AM14" s="173">
        <v>105523</v>
      </c>
      <c r="AN14" s="173">
        <v>43130</v>
      </c>
      <c r="AO14" s="173">
        <v>27648</v>
      </c>
      <c r="AP14" s="174">
        <v>238058</v>
      </c>
      <c r="AQ14" s="172">
        <v>109947</v>
      </c>
      <c r="AR14" s="173">
        <v>42918</v>
      </c>
      <c r="AS14" s="173">
        <v>85990</v>
      </c>
      <c r="AT14" s="173">
        <v>29218</v>
      </c>
      <c r="AU14" s="174">
        <v>268073</v>
      </c>
      <c r="AV14" s="172">
        <v>2913</v>
      </c>
      <c r="AW14" s="173">
        <v>15494</v>
      </c>
      <c r="AX14" s="173">
        <v>7120</v>
      </c>
      <c r="AY14" s="173">
        <v>5127</v>
      </c>
      <c r="AZ14" s="174">
        <v>30654</v>
      </c>
      <c r="BA14" s="172">
        <v>12612</v>
      </c>
      <c r="BB14" s="173">
        <v>123366</v>
      </c>
      <c r="BC14" s="173">
        <v>52735</v>
      </c>
      <c r="BD14" s="173">
        <v>20085</v>
      </c>
      <c r="BE14" s="174">
        <v>208798</v>
      </c>
      <c r="BF14" s="172">
        <f t="shared" si="14"/>
        <v>19172</v>
      </c>
      <c r="BG14" s="173">
        <f t="shared" si="8"/>
        <v>23539</v>
      </c>
      <c r="BH14" s="173">
        <f t="shared" si="9"/>
        <v>77038</v>
      </c>
      <c r="BI14" s="173">
        <f t="shared" si="10"/>
        <v>92343</v>
      </c>
      <c r="BJ14" s="174">
        <f t="shared" si="11"/>
        <v>212092</v>
      </c>
      <c r="BK14" s="172">
        <v>188</v>
      </c>
      <c r="BL14" s="173">
        <v>395</v>
      </c>
      <c r="BM14" s="173">
        <v>913</v>
      </c>
      <c r="BN14" s="173">
        <v>5220</v>
      </c>
      <c r="BO14" s="174">
        <v>6716</v>
      </c>
      <c r="BP14" s="172">
        <v>7253</v>
      </c>
      <c r="BQ14" s="173">
        <v>6359</v>
      </c>
      <c r="BR14" s="173">
        <v>7242</v>
      </c>
      <c r="BS14" s="173">
        <v>47690</v>
      </c>
      <c r="BT14" s="174">
        <v>68544</v>
      </c>
      <c r="BU14" s="172">
        <v>8443</v>
      </c>
      <c r="BV14" s="173">
        <v>11405</v>
      </c>
      <c r="BW14" s="173">
        <v>66263</v>
      </c>
      <c r="BX14" s="173">
        <v>36672</v>
      </c>
      <c r="BY14" s="174">
        <v>122783</v>
      </c>
      <c r="BZ14" s="172">
        <v>640</v>
      </c>
      <c r="CA14" s="173">
        <v>2030</v>
      </c>
      <c r="CB14" s="173">
        <v>1478</v>
      </c>
      <c r="CC14" s="173">
        <v>1261</v>
      </c>
      <c r="CD14" s="174">
        <v>5409</v>
      </c>
      <c r="CE14" s="172">
        <v>2648</v>
      </c>
      <c r="CF14" s="173">
        <v>3350</v>
      </c>
      <c r="CG14" s="173">
        <v>1142</v>
      </c>
      <c r="CH14" s="173">
        <v>1500</v>
      </c>
      <c r="CI14" s="174">
        <v>8640</v>
      </c>
    </row>
    <row r="15" spans="1:87">
      <c r="A15" s="170"/>
      <c r="B15" s="171" t="s">
        <v>28</v>
      </c>
      <c r="C15" s="172">
        <f t="shared" si="12"/>
        <v>2397723</v>
      </c>
      <c r="D15" s="173">
        <f t="shared" si="0"/>
        <v>1435899</v>
      </c>
      <c r="E15" s="173">
        <f t="shared" si="1"/>
        <v>1270650</v>
      </c>
      <c r="F15" s="173">
        <f t="shared" si="2"/>
        <v>921447</v>
      </c>
      <c r="G15" s="174">
        <f t="shared" si="3"/>
        <v>6025719</v>
      </c>
      <c r="H15" s="172">
        <f t="shared" si="13"/>
        <v>2367924</v>
      </c>
      <c r="I15" s="173">
        <f t="shared" si="4"/>
        <v>1281744</v>
      </c>
      <c r="J15" s="173">
        <f t="shared" si="5"/>
        <v>1211052</v>
      </c>
      <c r="K15" s="173">
        <f t="shared" si="6"/>
        <v>849078</v>
      </c>
      <c r="L15" s="174">
        <f t="shared" si="7"/>
        <v>5709798</v>
      </c>
      <c r="M15" s="172">
        <v>341463</v>
      </c>
      <c r="N15" s="173">
        <v>210915</v>
      </c>
      <c r="O15" s="173">
        <v>197886</v>
      </c>
      <c r="P15" s="173">
        <v>196854</v>
      </c>
      <c r="Q15" s="174">
        <v>947118</v>
      </c>
      <c r="R15" s="172">
        <v>115971</v>
      </c>
      <c r="S15" s="173">
        <v>90816</v>
      </c>
      <c r="T15" s="173">
        <v>95718</v>
      </c>
      <c r="U15" s="173">
        <v>11481</v>
      </c>
      <c r="V15" s="174">
        <v>313986</v>
      </c>
      <c r="W15" s="172">
        <v>174924</v>
      </c>
      <c r="X15" s="173">
        <v>56115</v>
      </c>
      <c r="Y15" s="173">
        <v>228846</v>
      </c>
      <c r="Z15" s="173">
        <v>147705</v>
      </c>
      <c r="AA15" s="174">
        <v>607590</v>
      </c>
      <c r="AB15" s="172">
        <v>23220</v>
      </c>
      <c r="AC15" s="173">
        <v>17028</v>
      </c>
      <c r="AD15" s="173">
        <v>181890</v>
      </c>
      <c r="AE15" s="173">
        <v>151962</v>
      </c>
      <c r="AF15" s="174">
        <v>374100</v>
      </c>
      <c r="AG15" s="172">
        <v>1312188</v>
      </c>
      <c r="AH15" s="173">
        <v>431376</v>
      </c>
      <c r="AI15" s="173">
        <v>336690</v>
      </c>
      <c r="AJ15" s="173">
        <v>195951</v>
      </c>
      <c r="AK15" s="174">
        <v>2276205</v>
      </c>
      <c r="AL15" s="172">
        <v>60243</v>
      </c>
      <c r="AM15" s="173">
        <v>25284</v>
      </c>
      <c r="AN15" s="173">
        <v>28896</v>
      </c>
      <c r="AO15" s="173">
        <v>23736</v>
      </c>
      <c r="AP15" s="174">
        <v>138159</v>
      </c>
      <c r="AQ15" s="172">
        <v>201111</v>
      </c>
      <c r="AR15" s="173">
        <v>124614</v>
      </c>
      <c r="AS15" s="173">
        <v>112101</v>
      </c>
      <c r="AT15" s="173">
        <v>95202</v>
      </c>
      <c r="AU15" s="174">
        <v>533028</v>
      </c>
      <c r="AV15" s="172">
        <v>9675</v>
      </c>
      <c r="AW15" s="173">
        <v>34830</v>
      </c>
      <c r="AX15" s="173">
        <v>20382</v>
      </c>
      <c r="AY15" s="173">
        <v>16512</v>
      </c>
      <c r="AZ15" s="174">
        <v>81399</v>
      </c>
      <c r="BA15" s="172">
        <v>129129</v>
      </c>
      <c r="BB15" s="173">
        <v>290766</v>
      </c>
      <c r="BC15" s="173">
        <v>8643</v>
      </c>
      <c r="BD15" s="173">
        <v>9675</v>
      </c>
      <c r="BE15" s="174">
        <v>438213</v>
      </c>
      <c r="BF15" s="172">
        <f t="shared" si="14"/>
        <v>29799</v>
      </c>
      <c r="BG15" s="173">
        <f t="shared" si="8"/>
        <v>154155</v>
      </c>
      <c r="BH15" s="173">
        <f t="shared" si="9"/>
        <v>59598</v>
      </c>
      <c r="BI15" s="173">
        <f t="shared" si="10"/>
        <v>72369</v>
      </c>
      <c r="BJ15" s="174">
        <f t="shared" si="11"/>
        <v>315921</v>
      </c>
      <c r="BK15" s="172">
        <v>29799</v>
      </c>
      <c r="BL15" s="173">
        <v>18060</v>
      </c>
      <c r="BM15" s="173"/>
      <c r="BN15" s="173">
        <v>10707</v>
      </c>
      <c r="BO15" s="174">
        <v>58566</v>
      </c>
      <c r="BP15" s="172"/>
      <c r="BQ15" s="173">
        <v>49020</v>
      </c>
      <c r="BR15" s="173">
        <v>12513</v>
      </c>
      <c r="BS15" s="173"/>
      <c r="BT15" s="174">
        <v>61533</v>
      </c>
      <c r="BU15" s="172"/>
      <c r="BV15" s="173">
        <v>58695</v>
      </c>
      <c r="BW15" s="173">
        <v>29799</v>
      </c>
      <c r="BX15" s="173">
        <v>61662</v>
      </c>
      <c r="BY15" s="174">
        <v>150156</v>
      </c>
      <c r="BZ15" s="172"/>
      <c r="CA15" s="173">
        <v>28380</v>
      </c>
      <c r="CB15" s="173">
        <v>17286</v>
      </c>
      <c r="CC15" s="173"/>
      <c r="CD15" s="174">
        <v>45666</v>
      </c>
      <c r="CE15" s="172"/>
      <c r="CF15" s="173"/>
      <c r="CG15" s="173"/>
      <c r="CH15" s="173"/>
      <c r="CI15" s="174"/>
    </row>
    <row r="16" spans="1:87">
      <c r="A16" s="170"/>
      <c r="B16" s="171" t="s">
        <v>29</v>
      </c>
      <c r="C16" s="172">
        <f t="shared" si="12"/>
        <v>23495521</v>
      </c>
      <c r="D16" s="173">
        <f t="shared" si="0"/>
        <v>23322120</v>
      </c>
      <c r="E16" s="173">
        <f t="shared" si="1"/>
        <v>21513586</v>
      </c>
      <c r="F16" s="173">
        <f t="shared" si="2"/>
        <v>24963668</v>
      </c>
      <c r="G16" s="174">
        <f t="shared" si="3"/>
        <v>93294895</v>
      </c>
      <c r="H16" s="172">
        <f t="shared" si="13"/>
        <v>22587744</v>
      </c>
      <c r="I16" s="173">
        <f t="shared" si="4"/>
        <v>22665089</v>
      </c>
      <c r="J16" s="173">
        <f t="shared" si="5"/>
        <v>20678926</v>
      </c>
      <c r="K16" s="173">
        <f t="shared" si="6"/>
        <v>24227188</v>
      </c>
      <c r="L16" s="174">
        <f t="shared" si="7"/>
        <v>90158947</v>
      </c>
      <c r="M16" s="172">
        <v>3831512</v>
      </c>
      <c r="N16" s="173">
        <v>3325894</v>
      </c>
      <c r="O16" s="173">
        <v>3930917</v>
      </c>
      <c r="P16" s="173">
        <v>2019344</v>
      </c>
      <c r="Q16" s="174">
        <v>13107667</v>
      </c>
      <c r="R16" s="172">
        <v>1254804</v>
      </c>
      <c r="S16" s="173">
        <v>1653558</v>
      </c>
      <c r="T16" s="173">
        <v>1793823</v>
      </c>
      <c r="U16" s="173">
        <v>1538167</v>
      </c>
      <c r="V16" s="174">
        <v>6240352</v>
      </c>
      <c r="W16" s="172">
        <v>2777546</v>
      </c>
      <c r="X16" s="173">
        <v>2013738</v>
      </c>
      <c r="Y16" s="173">
        <v>1882473</v>
      </c>
      <c r="Z16" s="173">
        <v>2070002</v>
      </c>
      <c r="AA16" s="174">
        <v>8743759</v>
      </c>
      <c r="AB16" s="172">
        <v>700986</v>
      </c>
      <c r="AC16" s="173">
        <v>2154394</v>
      </c>
      <c r="AD16" s="173">
        <v>1093887</v>
      </c>
      <c r="AE16" s="173">
        <v>1939199</v>
      </c>
      <c r="AF16" s="174">
        <v>5888466</v>
      </c>
      <c r="AG16" s="172">
        <v>9009403</v>
      </c>
      <c r="AH16" s="173">
        <v>8941145</v>
      </c>
      <c r="AI16" s="173">
        <v>7669207</v>
      </c>
      <c r="AJ16" s="173">
        <v>13225843</v>
      </c>
      <c r="AK16" s="174">
        <v>38845598</v>
      </c>
      <c r="AL16" s="172">
        <v>593887</v>
      </c>
      <c r="AM16" s="173">
        <v>839957</v>
      </c>
      <c r="AN16" s="173">
        <v>818105</v>
      </c>
      <c r="AO16" s="173">
        <v>615755</v>
      </c>
      <c r="AP16" s="174">
        <v>2867704</v>
      </c>
      <c r="AQ16" s="172">
        <v>1251387</v>
      </c>
      <c r="AR16" s="173">
        <v>1775766</v>
      </c>
      <c r="AS16" s="173">
        <v>1490763</v>
      </c>
      <c r="AT16" s="173">
        <v>1810098</v>
      </c>
      <c r="AU16" s="174">
        <v>6328014</v>
      </c>
      <c r="AV16" s="172">
        <v>253875</v>
      </c>
      <c r="AW16" s="173">
        <v>217506</v>
      </c>
      <c r="AX16" s="173">
        <v>249537</v>
      </c>
      <c r="AY16" s="173">
        <v>117102</v>
      </c>
      <c r="AZ16" s="174">
        <v>838020</v>
      </c>
      <c r="BA16" s="172">
        <v>2914344</v>
      </c>
      <c r="BB16" s="173">
        <v>1743131</v>
      </c>
      <c r="BC16" s="173">
        <v>1750214</v>
      </c>
      <c r="BD16" s="173">
        <v>891678</v>
      </c>
      <c r="BE16" s="174">
        <v>7299367</v>
      </c>
      <c r="BF16" s="172">
        <f t="shared" si="14"/>
        <v>907777</v>
      </c>
      <c r="BG16" s="173">
        <f t="shared" si="8"/>
        <v>657031</v>
      </c>
      <c r="BH16" s="173">
        <f t="shared" si="9"/>
        <v>834660</v>
      </c>
      <c r="BI16" s="173">
        <f t="shared" si="10"/>
        <v>736480</v>
      </c>
      <c r="BJ16" s="174">
        <f t="shared" si="11"/>
        <v>3135948</v>
      </c>
      <c r="BK16" s="172">
        <v>53091</v>
      </c>
      <c r="BL16" s="173">
        <v>60662</v>
      </c>
      <c r="BM16" s="173">
        <v>105751</v>
      </c>
      <c r="BN16" s="173">
        <v>110109</v>
      </c>
      <c r="BO16" s="174">
        <v>329613</v>
      </c>
      <c r="BP16" s="172">
        <v>187737</v>
      </c>
      <c r="BQ16" s="173">
        <v>140350</v>
      </c>
      <c r="BR16" s="173">
        <v>107452</v>
      </c>
      <c r="BS16" s="173">
        <v>101310</v>
      </c>
      <c r="BT16" s="174">
        <v>536849</v>
      </c>
      <c r="BU16" s="172">
        <v>467704</v>
      </c>
      <c r="BV16" s="173">
        <v>286265</v>
      </c>
      <c r="BW16" s="173">
        <v>486708</v>
      </c>
      <c r="BX16" s="173">
        <v>421695</v>
      </c>
      <c r="BY16" s="174">
        <v>1662372</v>
      </c>
      <c r="BZ16" s="172">
        <v>130417</v>
      </c>
      <c r="CA16" s="173">
        <v>118553</v>
      </c>
      <c r="CB16" s="173">
        <v>120560</v>
      </c>
      <c r="CC16" s="173">
        <v>81282</v>
      </c>
      <c r="CD16" s="174">
        <v>450812</v>
      </c>
      <c r="CE16" s="172">
        <v>68828</v>
      </c>
      <c r="CF16" s="173">
        <v>51201</v>
      </c>
      <c r="CG16" s="173">
        <v>14189</v>
      </c>
      <c r="CH16" s="173">
        <v>22084</v>
      </c>
      <c r="CI16" s="174">
        <v>156302</v>
      </c>
    </row>
    <row r="17" s="147" customFormat="1" ht="14.6" spans="1:87">
      <c r="A17" s="175" t="s">
        <v>34</v>
      </c>
      <c r="B17" s="176"/>
      <c r="C17" s="177">
        <f t="shared" si="12"/>
        <v>33609441</v>
      </c>
      <c r="D17" s="178">
        <f t="shared" si="0"/>
        <v>30384540</v>
      </c>
      <c r="E17" s="178">
        <f t="shared" si="1"/>
        <v>27337946</v>
      </c>
      <c r="F17" s="178">
        <f t="shared" si="2"/>
        <v>29431268</v>
      </c>
      <c r="G17" s="179">
        <f t="shared" si="3"/>
        <v>120763195</v>
      </c>
      <c r="H17" s="177">
        <f t="shared" si="13"/>
        <v>32492546</v>
      </c>
      <c r="I17" s="178">
        <f t="shared" si="4"/>
        <v>29383305</v>
      </c>
      <c r="J17" s="178">
        <f t="shared" si="5"/>
        <v>26173256</v>
      </c>
      <c r="K17" s="178">
        <f t="shared" si="6"/>
        <v>28346014</v>
      </c>
      <c r="L17" s="179">
        <f t="shared" si="7"/>
        <v>116395121</v>
      </c>
      <c r="M17" s="177">
        <v>4745253</v>
      </c>
      <c r="N17" s="178">
        <v>4340289</v>
      </c>
      <c r="O17" s="178">
        <v>4538764</v>
      </c>
      <c r="P17" s="178">
        <v>2551038</v>
      </c>
      <c r="Q17" s="179">
        <v>16175344</v>
      </c>
      <c r="R17" s="177">
        <v>1748325</v>
      </c>
      <c r="S17" s="178">
        <v>2043320</v>
      </c>
      <c r="T17" s="178">
        <v>2158687</v>
      </c>
      <c r="U17" s="178">
        <v>1749856</v>
      </c>
      <c r="V17" s="179">
        <v>7700188</v>
      </c>
      <c r="W17" s="177">
        <v>3573203</v>
      </c>
      <c r="X17" s="178">
        <v>2718297</v>
      </c>
      <c r="Y17" s="178">
        <v>2564658</v>
      </c>
      <c r="Z17" s="178">
        <v>2489893</v>
      </c>
      <c r="AA17" s="179">
        <v>11346051</v>
      </c>
      <c r="AB17" s="177">
        <v>1118791</v>
      </c>
      <c r="AC17" s="178">
        <v>2790564</v>
      </c>
      <c r="AD17" s="178">
        <v>1559017</v>
      </c>
      <c r="AE17" s="178">
        <v>2312732</v>
      </c>
      <c r="AF17" s="179">
        <v>7781104</v>
      </c>
      <c r="AG17" s="177">
        <v>14933880</v>
      </c>
      <c r="AH17" s="178">
        <v>11414499</v>
      </c>
      <c r="AI17" s="178">
        <v>9881724</v>
      </c>
      <c r="AJ17" s="178">
        <v>14972213</v>
      </c>
      <c r="AK17" s="179">
        <v>51202316</v>
      </c>
      <c r="AL17" s="177">
        <v>776352</v>
      </c>
      <c r="AM17" s="178">
        <v>1058442</v>
      </c>
      <c r="AN17" s="178">
        <v>974991</v>
      </c>
      <c r="AO17" s="178">
        <v>754175</v>
      </c>
      <c r="AP17" s="179">
        <v>3563960</v>
      </c>
      <c r="AQ17" s="177">
        <v>1938717</v>
      </c>
      <c r="AR17" s="178">
        <v>2307353</v>
      </c>
      <c r="AS17" s="178">
        <v>1951944</v>
      </c>
      <c r="AT17" s="178">
        <v>2128978</v>
      </c>
      <c r="AU17" s="179">
        <v>8326992</v>
      </c>
      <c r="AV17" s="177">
        <v>313370</v>
      </c>
      <c r="AW17" s="178">
        <v>292261</v>
      </c>
      <c r="AX17" s="178">
        <v>329881</v>
      </c>
      <c r="AY17" s="178">
        <v>170358</v>
      </c>
      <c r="AZ17" s="179">
        <v>1105870</v>
      </c>
      <c r="BA17" s="177">
        <v>3344655</v>
      </c>
      <c r="BB17" s="178">
        <v>2418280</v>
      </c>
      <c r="BC17" s="178">
        <v>2213590</v>
      </c>
      <c r="BD17" s="178">
        <v>1216771</v>
      </c>
      <c r="BE17" s="179">
        <v>9193296</v>
      </c>
      <c r="BF17" s="177">
        <f t="shared" si="14"/>
        <v>1116895</v>
      </c>
      <c r="BG17" s="178">
        <f t="shared" si="8"/>
        <v>1001235</v>
      </c>
      <c r="BH17" s="178">
        <f t="shared" si="9"/>
        <v>1164690</v>
      </c>
      <c r="BI17" s="178">
        <f t="shared" si="10"/>
        <v>1085254</v>
      </c>
      <c r="BJ17" s="179">
        <f t="shared" si="11"/>
        <v>4368074</v>
      </c>
      <c r="BK17" s="177">
        <v>86160</v>
      </c>
      <c r="BL17" s="178">
        <v>96183</v>
      </c>
      <c r="BM17" s="178">
        <v>117405</v>
      </c>
      <c r="BN17" s="178">
        <v>130957</v>
      </c>
      <c r="BO17" s="179">
        <v>430705</v>
      </c>
      <c r="BP17" s="177">
        <v>236409</v>
      </c>
      <c r="BQ17" s="178">
        <v>233385</v>
      </c>
      <c r="BR17" s="178">
        <v>157336</v>
      </c>
      <c r="BS17" s="178">
        <v>181717</v>
      </c>
      <c r="BT17" s="179">
        <v>808847</v>
      </c>
      <c r="BU17" s="177">
        <v>566577</v>
      </c>
      <c r="BV17" s="178">
        <v>430840</v>
      </c>
      <c r="BW17" s="178">
        <v>717767</v>
      </c>
      <c r="BX17" s="178">
        <v>637053</v>
      </c>
      <c r="BY17" s="179">
        <v>2352237</v>
      </c>
      <c r="BZ17" s="177">
        <v>139330</v>
      </c>
      <c r="CA17" s="178">
        <v>158470</v>
      </c>
      <c r="CB17" s="178">
        <v>146013</v>
      </c>
      <c r="CC17" s="178">
        <v>90482</v>
      </c>
      <c r="CD17" s="179">
        <v>534295</v>
      </c>
      <c r="CE17" s="177">
        <v>88419</v>
      </c>
      <c r="CF17" s="178">
        <v>82357</v>
      </c>
      <c r="CG17" s="178">
        <v>26169</v>
      </c>
      <c r="CH17" s="178">
        <v>45045</v>
      </c>
      <c r="CI17" s="179">
        <v>241990</v>
      </c>
    </row>
    <row r="18" spans="1:87">
      <c r="A18" s="170" t="s">
        <v>35</v>
      </c>
      <c r="B18" s="171" t="s">
        <v>26</v>
      </c>
      <c r="C18" s="172">
        <f t="shared" si="12"/>
        <v>6505702</v>
      </c>
      <c r="D18" s="173">
        <f t="shared" si="0"/>
        <v>4868835</v>
      </c>
      <c r="E18" s="173">
        <f t="shared" si="1"/>
        <v>11551876</v>
      </c>
      <c r="F18" s="173">
        <f t="shared" si="2"/>
        <v>9873962</v>
      </c>
      <c r="G18" s="174">
        <f t="shared" si="3"/>
        <v>32800375</v>
      </c>
      <c r="H18" s="172">
        <f t="shared" si="13"/>
        <v>6000659</v>
      </c>
      <c r="I18" s="173">
        <f t="shared" si="4"/>
        <v>4449669</v>
      </c>
      <c r="J18" s="173">
        <f t="shared" si="5"/>
        <v>10799750</v>
      </c>
      <c r="K18" s="173">
        <f t="shared" si="6"/>
        <v>9088218</v>
      </c>
      <c r="L18" s="174">
        <f t="shared" si="7"/>
        <v>30338296</v>
      </c>
      <c r="M18" s="172">
        <v>764119</v>
      </c>
      <c r="N18" s="173">
        <v>604233</v>
      </c>
      <c r="O18" s="173">
        <v>1112858</v>
      </c>
      <c r="P18" s="173">
        <v>1108510</v>
      </c>
      <c r="Q18" s="174">
        <v>3589720</v>
      </c>
      <c r="R18" s="172">
        <v>391801</v>
      </c>
      <c r="S18" s="173">
        <v>341518</v>
      </c>
      <c r="T18" s="173">
        <v>878718</v>
      </c>
      <c r="U18" s="173">
        <v>886440</v>
      </c>
      <c r="V18" s="174">
        <v>2498477</v>
      </c>
      <c r="W18" s="172">
        <v>469707</v>
      </c>
      <c r="X18" s="173">
        <v>269723</v>
      </c>
      <c r="Y18" s="173">
        <v>919912</v>
      </c>
      <c r="Z18" s="173">
        <v>571767</v>
      </c>
      <c r="AA18" s="174">
        <v>2231109</v>
      </c>
      <c r="AB18" s="172">
        <v>234135</v>
      </c>
      <c r="AC18" s="173">
        <v>519452</v>
      </c>
      <c r="AD18" s="173">
        <v>2099685</v>
      </c>
      <c r="AE18" s="173">
        <v>1175639</v>
      </c>
      <c r="AF18" s="174">
        <v>4028911</v>
      </c>
      <c r="AG18" s="172">
        <v>1806360</v>
      </c>
      <c r="AH18" s="173">
        <v>1017348</v>
      </c>
      <c r="AI18" s="173">
        <v>3293977</v>
      </c>
      <c r="AJ18" s="173">
        <v>2703454</v>
      </c>
      <c r="AK18" s="174">
        <v>8821139</v>
      </c>
      <c r="AL18" s="172">
        <v>205875</v>
      </c>
      <c r="AM18" s="173">
        <v>208919</v>
      </c>
      <c r="AN18" s="173">
        <v>349254</v>
      </c>
      <c r="AO18" s="173">
        <v>300774</v>
      </c>
      <c r="AP18" s="174">
        <v>1064822</v>
      </c>
      <c r="AQ18" s="172">
        <v>1037424</v>
      </c>
      <c r="AR18" s="173">
        <v>721594</v>
      </c>
      <c r="AS18" s="173">
        <v>1424055</v>
      </c>
      <c r="AT18" s="173">
        <v>1192144</v>
      </c>
      <c r="AU18" s="174">
        <v>4375217</v>
      </c>
      <c r="AV18" s="172">
        <v>143142</v>
      </c>
      <c r="AW18" s="173">
        <v>60497</v>
      </c>
      <c r="AX18" s="173">
        <v>64404</v>
      </c>
      <c r="AY18" s="173">
        <v>119538</v>
      </c>
      <c r="AZ18" s="174">
        <v>387581</v>
      </c>
      <c r="BA18" s="172">
        <v>948096</v>
      </c>
      <c r="BB18" s="173">
        <v>706385</v>
      </c>
      <c r="BC18" s="173">
        <v>656887</v>
      </c>
      <c r="BD18" s="173">
        <v>1029952</v>
      </c>
      <c r="BE18" s="174">
        <v>3341320</v>
      </c>
      <c r="BF18" s="172">
        <f t="shared" si="14"/>
        <v>505043</v>
      </c>
      <c r="BG18" s="173">
        <f t="shared" si="8"/>
        <v>419166</v>
      </c>
      <c r="BH18" s="173">
        <f t="shared" si="9"/>
        <v>752126</v>
      </c>
      <c r="BI18" s="173">
        <f t="shared" si="10"/>
        <v>785744</v>
      </c>
      <c r="BJ18" s="174">
        <f t="shared" si="11"/>
        <v>2462079</v>
      </c>
      <c r="BK18" s="172">
        <v>28825</v>
      </c>
      <c r="BL18" s="173">
        <v>27051</v>
      </c>
      <c r="BM18" s="173">
        <v>59803</v>
      </c>
      <c r="BN18" s="173">
        <v>51358</v>
      </c>
      <c r="BO18" s="174">
        <v>167037</v>
      </c>
      <c r="BP18" s="172">
        <v>253754</v>
      </c>
      <c r="BQ18" s="173">
        <v>226886</v>
      </c>
      <c r="BR18" s="173">
        <v>240519</v>
      </c>
      <c r="BS18" s="173">
        <v>301209</v>
      </c>
      <c r="BT18" s="174">
        <v>1022368</v>
      </c>
      <c r="BU18" s="172">
        <v>140867</v>
      </c>
      <c r="BV18" s="173">
        <v>121617</v>
      </c>
      <c r="BW18" s="173">
        <v>362352</v>
      </c>
      <c r="BX18" s="173">
        <v>344905</v>
      </c>
      <c r="BY18" s="174">
        <v>969741</v>
      </c>
      <c r="BZ18" s="172">
        <v>41773</v>
      </c>
      <c r="CA18" s="173">
        <v>21781</v>
      </c>
      <c r="CB18" s="173">
        <v>53750</v>
      </c>
      <c r="CC18" s="173">
        <v>55083</v>
      </c>
      <c r="CD18" s="174">
        <v>172387</v>
      </c>
      <c r="CE18" s="172">
        <v>39824</v>
      </c>
      <c r="CF18" s="173">
        <v>21831</v>
      </c>
      <c r="CG18" s="173">
        <v>35702</v>
      </c>
      <c r="CH18" s="173">
        <v>33189</v>
      </c>
      <c r="CI18" s="174">
        <v>130546</v>
      </c>
    </row>
    <row r="19" spans="1:87">
      <c r="A19" s="170"/>
      <c r="B19" s="171" t="s">
        <v>27</v>
      </c>
      <c r="C19" s="172">
        <f t="shared" si="12"/>
        <v>2467337</v>
      </c>
      <c r="D19" s="173">
        <f t="shared" si="0"/>
        <v>1667976</v>
      </c>
      <c r="E19" s="173">
        <f t="shared" si="1"/>
        <v>4614976</v>
      </c>
      <c r="F19" s="173">
        <f t="shared" si="2"/>
        <v>4214571</v>
      </c>
      <c r="G19" s="174">
        <f t="shared" si="3"/>
        <v>12964860</v>
      </c>
      <c r="H19" s="172">
        <f t="shared" si="13"/>
        <v>2331991</v>
      </c>
      <c r="I19" s="173">
        <f t="shared" si="4"/>
        <v>1496750</v>
      </c>
      <c r="J19" s="173">
        <f t="shared" si="5"/>
        <v>4478426</v>
      </c>
      <c r="K19" s="173">
        <f t="shared" si="6"/>
        <v>4082611</v>
      </c>
      <c r="L19" s="174">
        <f t="shared" si="7"/>
        <v>12389778</v>
      </c>
      <c r="M19" s="172">
        <v>187175</v>
      </c>
      <c r="N19" s="173">
        <v>113587</v>
      </c>
      <c r="O19" s="173">
        <v>309596</v>
      </c>
      <c r="P19" s="173">
        <v>436438</v>
      </c>
      <c r="Q19" s="174">
        <v>1046796</v>
      </c>
      <c r="R19" s="172">
        <v>73318</v>
      </c>
      <c r="S19" s="173">
        <v>40348</v>
      </c>
      <c r="T19" s="173">
        <v>246462</v>
      </c>
      <c r="U19" s="173">
        <v>202170</v>
      </c>
      <c r="V19" s="174">
        <v>562298</v>
      </c>
      <c r="W19" s="172">
        <v>381338</v>
      </c>
      <c r="X19" s="173">
        <v>141488</v>
      </c>
      <c r="Y19" s="173">
        <v>333485</v>
      </c>
      <c r="Z19" s="173">
        <v>637914</v>
      </c>
      <c r="AA19" s="174">
        <v>1494225</v>
      </c>
      <c r="AB19" s="172">
        <v>183994</v>
      </c>
      <c r="AC19" s="173">
        <v>60221</v>
      </c>
      <c r="AD19" s="173">
        <v>615340</v>
      </c>
      <c r="AE19" s="173">
        <v>452294</v>
      </c>
      <c r="AF19" s="174">
        <v>1311849</v>
      </c>
      <c r="AG19" s="172">
        <v>1001554</v>
      </c>
      <c r="AH19" s="173">
        <v>758781</v>
      </c>
      <c r="AI19" s="173">
        <v>2473501</v>
      </c>
      <c r="AJ19" s="173">
        <v>1628656</v>
      </c>
      <c r="AK19" s="174">
        <v>5862492</v>
      </c>
      <c r="AL19" s="172">
        <v>46995</v>
      </c>
      <c r="AM19" s="173">
        <v>28610</v>
      </c>
      <c r="AN19" s="173">
        <v>60879</v>
      </c>
      <c r="AO19" s="173">
        <v>62194</v>
      </c>
      <c r="AP19" s="174">
        <v>198678</v>
      </c>
      <c r="AQ19" s="172">
        <v>123618</v>
      </c>
      <c r="AR19" s="173">
        <v>153777</v>
      </c>
      <c r="AS19" s="173">
        <v>234160</v>
      </c>
      <c r="AT19" s="173">
        <v>257562</v>
      </c>
      <c r="AU19" s="174">
        <v>769117</v>
      </c>
      <c r="AV19" s="172">
        <v>35355</v>
      </c>
      <c r="AW19" s="173">
        <v>20614</v>
      </c>
      <c r="AX19" s="173">
        <v>10147</v>
      </c>
      <c r="AY19" s="173">
        <v>32766</v>
      </c>
      <c r="AZ19" s="174">
        <v>98882</v>
      </c>
      <c r="BA19" s="172">
        <v>298644</v>
      </c>
      <c r="BB19" s="173">
        <v>179324</v>
      </c>
      <c r="BC19" s="173">
        <v>194856</v>
      </c>
      <c r="BD19" s="173">
        <v>372617</v>
      </c>
      <c r="BE19" s="174">
        <v>1045441</v>
      </c>
      <c r="BF19" s="172">
        <f t="shared" si="14"/>
        <v>135346</v>
      </c>
      <c r="BG19" s="173">
        <f t="shared" si="8"/>
        <v>171226</v>
      </c>
      <c r="BH19" s="173">
        <f t="shared" si="9"/>
        <v>136550</v>
      </c>
      <c r="BI19" s="173">
        <f t="shared" si="10"/>
        <v>131960</v>
      </c>
      <c r="BJ19" s="174">
        <f t="shared" si="11"/>
        <v>575082</v>
      </c>
      <c r="BK19" s="172">
        <v>4685</v>
      </c>
      <c r="BL19" s="173">
        <v>9901</v>
      </c>
      <c r="BM19" s="173">
        <v>19427</v>
      </c>
      <c r="BN19" s="173">
        <v>13959</v>
      </c>
      <c r="BO19" s="174">
        <v>47972</v>
      </c>
      <c r="BP19" s="172">
        <v>49495</v>
      </c>
      <c r="BQ19" s="173">
        <v>61922</v>
      </c>
      <c r="BR19" s="173">
        <v>37519</v>
      </c>
      <c r="BS19" s="173">
        <v>35339</v>
      </c>
      <c r="BT19" s="174">
        <v>184275</v>
      </c>
      <c r="BU19" s="172">
        <v>74766</v>
      </c>
      <c r="BV19" s="173">
        <v>87735</v>
      </c>
      <c r="BW19" s="173">
        <v>63326</v>
      </c>
      <c r="BX19" s="173">
        <v>63025</v>
      </c>
      <c r="BY19" s="174">
        <v>288852</v>
      </c>
      <c r="BZ19" s="172">
        <v>4810</v>
      </c>
      <c r="CA19" s="173">
        <v>7534</v>
      </c>
      <c r="CB19" s="173">
        <v>14292</v>
      </c>
      <c r="CC19" s="173">
        <v>19320</v>
      </c>
      <c r="CD19" s="174">
        <v>45956</v>
      </c>
      <c r="CE19" s="172">
        <v>1590</v>
      </c>
      <c r="CF19" s="173">
        <v>4134</v>
      </c>
      <c r="CG19" s="173">
        <v>1986</v>
      </c>
      <c r="CH19" s="173">
        <v>317</v>
      </c>
      <c r="CI19" s="174">
        <v>8027</v>
      </c>
    </row>
    <row r="20" spans="1:87">
      <c r="A20" s="170"/>
      <c r="B20" s="171" t="s">
        <v>28</v>
      </c>
      <c r="C20" s="172">
        <f t="shared" si="12"/>
        <v>739703</v>
      </c>
      <c r="D20" s="173">
        <f t="shared" si="0"/>
        <v>547602</v>
      </c>
      <c r="E20" s="173">
        <f t="shared" si="1"/>
        <v>13430079</v>
      </c>
      <c r="F20" s="173">
        <f t="shared" si="2"/>
        <v>17046884</v>
      </c>
      <c r="G20" s="174">
        <f t="shared" si="3"/>
        <v>31764268</v>
      </c>
      <c r="H20" s="172">
        <f t="shared" si="13"/>
        <v>709416</v>
      </c>
      <c r="I20" s="173">
        <f t="shared" si="4"/>
        <v>522119</v>
      </c>
      <c r="J20" s="173">
        <f t="shared" si="5"/>
        <v>13107127</v>
      </c>
      <c r="K20" s="173">
        <f t="shared" si="6"/>
        <v>16681734</v>
      </c>
      <c r="L20" s="174">
        <f t="shared" si="7"/>
        <v>31020396</v>
      </c>
      <c r="M20" s="172">
        <v>91013</v>
      </c>
      <c r="N20" s="173">
        <v>30005</v>
      </c>
      <c r="O20" s="173">
        <v>281887</v>
      </c>
      <c r="P20" s="173">
        <v>1296854</v>
      </c>
      <c r="Q20" s="174">
        <v>1699759</v>
      </c>
      <c r="R20" s="172">
        <v>30242</v>
      </c>
      <c r="S20" s="173">
        <v>31921</v>
      </c>
      <c r="T20" s="173">
        <v>1165636</v>
      </c>
      <c r="U20" s="173">
        <v>1045948</v>
      </c>
      <c r="V20" s="174">
        <v>2273747</v>
      </c>
      <c r="W20" s="172">
        <v>92360</v>
      </c>
      <c r="X20" s="173">
        <v>58679</v>
      </c>
      <c r="Y20" s="173">
        <v>200928</v>
      </c>
      <c r="Z20" s="173">
        <v>2105889</v>
      </c>
      <c r="AA20" s="174">
        <v>2457856</v>
      </c>
      <c r="AB20" s="172">
        <v>23979</v>
      </c>
      <c r="AC20" s="173">
        <v>31694</v>
      </c>
      <c r="AD20" s="173">
        <v>416422</v>
      </c>
      <c r="AE20" s="173">
        <v>1247069</v>
      </c>
      <c r="AF20" s="174">
        <v>1719164</v>
      </c>
      <c r="AG20" s="172">
        <v>277481</v>
      </c>
      <c r="AH20" s="173">
        <v>251165</v>
      </c>
      <c r="AI20" s="173">
        <v>9969509</v>
      </c>
      <c r="AJ20" s="173">
        <v>7487701</v>
      </c>
      <c r="AK20" s="174">
        <v>17985856</v>
      </c>
      <c r="AL20" s="172">
        <v>18057</v>
      </c>
      <c r="AM20" s="173">
        <v>11932</v>
      </c>
      <c r="AN20" s="173">
        <v>253875</v>
      </c>
      <c r="AO20" s="173">
        <v>220549</v>
      </c>
      <c r="AP20" s="174">
        <v>504413</v>
      </c>
      <c r="AQ20" s="172">
        <v>27141</v>
      </c>
      <c r="AR20" s="173">
        <v>3895</v>
      </c>
      <c r="AS20" s="173">
        <v>722688</v>
      </c>
      <c r="AT20" s="173">
        <v>1785310</v>
      </c>
      <c r="AU20" s="174">
        <v>2539034</v>
      </c>
      <c r="AV20" s="172">
        <v>11492</v>
      </c>
      <c r="AW20" s="173">
        <v>8659</v>
      </c>
      <c r="AX20" s="173">
        <v>5734</v>
      </c>
      <c r="AY20" s="173">
        <v>131670</v>
      </c>
      <c r="AZ20" s="174">
        <v>157555</v>
      </c>
      <c r="BA20" s="172">
        <v>137651</v>
      </c>
      <c r="BB20" s="173">
        <v>94169</v>
      </c>
      <c r="BC20" s="173">
        <v>90448</v>
      </c>
      <c r="BD20" s="173">
        <v>1360744</v>
      </c>
      <c r="BE20" s="174">
        <v>1683012</v>
      </c>
      <c r="BF20" s="172">
        <f t="shared" si="14"/>
        <v>30287</v>
      </c>
      <c r="BG20" s="173">
        <f t="shared" si="8"/>
        <v>25483</v>
      </c>
      <c r="BH20" s="173">
        <f t="shared" si="9"/>
        <v>322952</v>
      </c>
      <c r="BI20" s="173">
        <f t="shared" si="10"/>
        <v>365150</v>
      </c>
      <c r="BJ20" s="174">
        <f t="shared" si="11"/>
        <v>743872</v>
      </c>
      <c r="BK20" s="172">
        <v>498</v>
      </c>
      <c r="BL20" s="173"/>
      <c r="BM20" s="173">
        <v>88247</v>
      </c>
      <c r="BN20" s="173">
        <v>96612</v>
      </c>
      <c r="BO20" s="174">
        <v>185357</v>
      </c>
      <c r="BP20" s="172">
        <v>15993</v>
      </c>
      <c r="BQ20" s="173">
        <v>21896</v>
      </c>
      <c r="BR20" s="173">
        <v>76634</v>
      </c>
      <c r="BS20" s="173">
        <v>86086</v>
      </c>
      <c r="BT20" s="174">
        <v>200609</v>
      </c>
      <c r="BU20" s="172">
        <v>13796</v>
      </c>
      <c r="BV20" s="173">
        <v>3587</v>
      </c>
      <c r="BW20" s="173">
        <v>129128</v>
      </c>
      <c r="BX20" s="173">
        <v>121991</v>
      </c>
      <c r="BY20" s="174">
        <v>268502</v>
      </c>
      <c r="BZ20" s="172"/>
      <c r="CA20" s="173"/>
      <c r="CB20" s="173">
        <v>28943</v>
      </c>
      <c r="CC20" s="173">
        <v>60461</v>
      </c>
      <c r="CD20" s="174">
        <v>89404</v>
      </c>
      <c r="CE20" s="172"/>
      <c r="CF20" s="173"/>
      <c r="CG20" s="173"/>
      <c r="CH20" s="173"/>
      <c r="CI20" s="174"/>
    </row>
    <row r="21" spans="1:87">
      <c r="A21" s="170"/>
      <c r="B21" s="171" t="s">
        <v>29</v>
      </c>
      <c r="C21" s="172">
        <f t="shared" si="12"/>
        <v>126130</v>
      </c>
      <c r="D21" s="173">
        <f t="shared" si="0"/>
        <v>83459</v>
      </c>
      <c r="E21" s="173">
        <f t="shared" si="1"/>
        <v>3151992</v>
      </c>
      <c r="F21" s="173">
        <f t="shared" si="2"/>
        <v>1804562</v>
      </c>
      <c r="G21" s="174">
        <f t="shared" si="3"/>
        <v>5166143</v>
      </c>
      <c r="H21" s="172">
        <f t="shared" si="13"/>
        <v>110339</v>
      </c>
      <c r="I21" s="173">
        <f t="shared" si="4"/>
        <v>55968</v>
      </c>
      <c r="J21" s="173">
        <f t="shared" si="5"/>
        <v>3136602</v>
      </c>
      <c r="K21" s="173">
        <f t="shared" si="6"/>
        <v>1798766</v>
      </c>
      <c r="L21" s="174">
        <f t="shared" si="7"/>
        <v>5101675</v>
      </c>
      <c r="M21" s="172">
        <v>1299</v>
      </c>
      <c r="N21" s="173">
        <v>2598</v>
      </c>
      <c r="O21" s="173">
        <v>197448</v>
      </c>
      <c r="P21" s="173">
        <v>193716</v>
      </c>
      <c r="Q21" s="174">
        <v>395061</v>
      </c>
      <c r="R21" s="172">
        <v>10197</v>
      </c>
      <c r="S21" s="173">
        <v>2599</v>
      </c>
      <c r="T21" s="173">
        <v>210909</v>
      </c>
      <c r="U21" s="173">
        <v>205242</v>
      </c>
      <c r="V21" s="174">
        <v>428947</v>
      </c>
      <c r="W21" s="172"/>
      <c r="X21" s="173"/>
      <c r="Y21" s="173">
        <v>302667</v>
      </c>
      <c r="Z21" s="173">
        <v>282425</v>
      </c>
      <c r="AA21" s="174">
        <v>585092</v>
      </c>
      <c r="AB21" s="172">
        <v>20195</v>
      </c>
      <c r="AC21" s="173"/>
      <c r="AD21" s="173"/>
      <c r="AE21" s="173">
        <v>264240</v>
      </c>
      <c r="AF21" s="174">
        <v>284435</v>
      </c>
      <c r="AG21" s="172"/>
      <c r="AH21" s="173"/>
      <c r="AI21" s="173">
        <v>2090633</v>
      </c>
      <c r="AJ21" s="173">
        <v>497296</v>
      </c>
      <c r="AK21" s="174">
        <v>2587929</v>
      </c>
      <c r="AL21" s="172">
        <v>9093</v>
      </c>
      <c r="AM21" s="173">
        <v>2598</v>
      </c>
      <c r="AN21" s="173">
        <v>109116</v>
      </c>
      <c r="AO21" s="173">
        <v>85238</v>
      </c>
      <c r="AP21" s="174">
        <v>206045</v>
      </c>
      <c r="AQ21" s="172">
        <v>48771</v>
      </c>
      <c r="AR21" s="173">
        <v>11691</v>
      </c>
      <c r="AS21" s="173">
        <v>211540</v>
      </c>
      <c r="AT21" s="173">
        <v>49669</v>
      </c>
      <c r="AU21" s="174">
        <v>321671</v>
      </c>
      <c r="AV21" s="172"/>
      <c r="AW21" s="173">
        <v>10998</v>
      </c>
      <c r="AX21" s="173"/>
      <c r="AY21" s="173">
        <v>27279</v>
      </c>
      <c r="AZ21" s="174">
        <v>38277</v>
      </c>
      <c r="BA21" s="172">
        <v>20784</v>
      </c>
      <c r="BB21" s="173">
        <v>25484</v>
      </c>
      <c r="BC21" s="173">
        <v>14289</v>
      </c>
      <c r="BD21" s="173">
        <v>193661</v>
      </c>
      <c r="BE21" s="174">
        <v>254218</v>
      </c>
      <c r="BF21" s="172">
        <f t="shared" si="14"/>
        <v>15791</v>
      </c>
      <c r="BG21" s="173">
        <f t="shared" si="8"/>
        <v>27491</v>
      </c>
      <c r="BH21" s="173">
        <f t="shared" si="9"/>
        <v>15390</v>
      </c>
      <c r="BI21" s="173">
        <f t="shared" si="10"/>
        <v>5796</v>
      </c>
      <c r="BJ21" s="174">
        <f t="shared" si="11"/>
        <v>64468</v>
      </c>
      <c r="BK21" s="172">
        <v>4497</v>
      </c>
      <c r="BL21" s="173">
        <v>2598</v>
      </c>
      <c r="BM21" s="173"/>
      <c r="BN21" s="173">
        <v>2598</v>
      </c>
      <c r="BO21" s="174">
        <v>9693</v>
      </c>
      <c r="BP21" s="172">
        <v>6298</v>
      </c>
      <c r="BQ21" s="173">
        <v>2598</v>
      </c>
      <c r="BR21" s="173">
        <v>5196</v>
      </c>
      <c r="BS21" s="173"/>
      <c r="BT21" s="174">
        <v>14092</v>
      </c>
      <c r="BU21" s="172">
        <v>4996</v>
      </c>
      <c r="BV21" s="173">
        <v>17296</v>
      </c>
      <c r="BW21" s="173">
        <v>10194</v>
      </c>
      <c r="BX21" s="173">
        <v>1299</v>
      </c>
      <c r="BY21" s="174">
        <v>33785</v>
      </c>
      <c r="BZ21" s="172"/>
      <c r="CA21" s="173">
        <v>4999</v>
      </c>
      <c r="CB21" s="173"/>
      <c r="CC21" s="173">
        <v>1899</v>
      </c>
      <c r="CD21" s="174">
        <v>6898</v>
      </c>
      <c r="CE21" s="172"/>
      <c r="CF21" s="173"/>
      <c r="CG21" s="173"/>
      <c r="CH21" s="173"/>
      <c r="CI21" s="174"/>
    </row>
    <row r="22" s="147" customFormat="1" ht="14.6" spans="1:87">
      <c r="A22" s="175" t="s">
        <v>36</v>
      </c>
      <c r="B22" s="176"/>
      <c r="C22" s="177">
        <f t="shared" si="12"/>
        <v>9838872</v>
      </c>
      <c r="D22" s="178">
        <f t="shared" si="0"/>
        <v>7167872</v>
      </c>
      <c r="E22" s="178">
        <f t="shared" si="1"/>
        <v>32748923</v>
      </c>
      <c r="F22" s="178">
        <f t="shared" si="2"/>
        <v>32939979</v>
      </c>
      <c r="G22" s="179">
        <f t="shared" si="3"/>
        <v>82695646</v>
      </c>
      <c r="H22" s="177">
        <f t="shared" si="13"/>
        <v>9152405</v>
      </c>
      <c r="I22" s="178">
        <f t="shared" si="4"/>
        <v>6524506</v>
      </c>
      <c r="J22" s="178">
        <f t="shared" si="5"/>
        <v>31521905</v>
      </c>
      <c r="K22" s="178">
        <f t="shared" si="6"/>
        <v>31651329</v>
      </c>
      <c r="L22" s="179">
        <f t="shared" si="7"/>
        <v>78850145</v>
      </c>
      <c r="M22" s="177">
        <v>1043606</v>
      </c>
      <c r="N22" s="178">
        <v>750423</v>
      </c>
      <c r="O22" s="178">
        <v>1901789</v>
      </c>
      <c r="P22" s="178">
        <v>3035518</v>
      </c>
      <c r="Q22" s="179">
        <v>6731336</v>
      </c>
      <c r="R22" s="177">
        <v>505558</v>
      </c>
      <c r="S22" s="178">
        <v>416386</v>
      </c>
      <c r="T22" s="178">
        <v>2501725</v>
      </c>
      <c r="U22" s="178">
        <v>2339800</v>
      </c>
      <c r="V22" s="179">
        <v>5763469</v>
      </c>
      <c r="W22" s="177">
        <v>943405</v>
      </c>
      <c r="X22" s="178">
        <v>469890</v>
      </c>
      <c r="Y22" s="178">
        <v>1756992</v>
      </c>
      <c r="Z22" s="178">
        <v>3597995</v>
      </c>
      <c r="AA22" s="179">
        <v>6768282</v>
      </c>
      <c r="AB22" s="177">
        <v>462303</v>
      </c>
      <c r="AC22" s="178">
        <v>611367</v>
      </c>
      <c r="AD22" s="178">
        <v>3131447</v>
      </c>
      <c r="AE22" s="178">
        <v>3139242</v>
      </c>
      <c r="AF22" s="179">
        <v>7344359</v>
      </c>
      <c r="AG22" s="177">
        <v>3085395</v>
      </c>
      <c r="AH22" s="178">
        <v>2027294</v>
      </c>
      <c r="AI22" s="178">
        <v>17827620</v>
      </c>
      <c r="AJ22" s="178">
        <v>12317107</v>
      </c>
      <c r="AK22" s="179">
        <v>35257416</v>
      </c>
      <c r="AL22" s="177">
        <v>280020</v>
      </c>
      <c r="AM22" s="178">
        <v>252059</v>
      </c>
      <c r="AN22" s="178">
        <v>773124</v>
      </c>
      <c r="AO22" s="178">
        <v>668755</v>
      </c>
      <c r="AP22" s="179">
        <v>1973958</v>
      </c>
      <c r="AQ22" s="177">
        <v>1236954</v>
      </c>
      <c r="AR22" s="178">
        <v>890957</v>
      </c>
      <c r="AS22" s="178">
        <v>2592443</v>
      </c>
      <c r="AT22" s="178">
        <v>3284685</v>
      </c>
      <c r="AU22" s="179">
        <v>8005039</v>
      </c>
      <c r="AV22" s="177">
        <v>189989</v>
      </c>
      <c r="AW22" s="178">
        <v>100768</v>
      </c>
      <c r="AX22" s="178">
        <v>80285</v>
      </c>
      <c r="AY22" s="178">
        <v>311253</v>
      </c>
      <c r="AZ22" s="179">
        <v>682295</v>
      </c>
      <c r="BA22" s="177">
        <v>1405175</v>
      </c>
      <c r="BB22" s="178">
        <v>1005362</v>
      </c>
      <c r="BC22" s="178">
        <v>956480</v>
      </c>
      <c r="BD22" s="178">
        <v>2956974</v>
      </c>
      <c r="BE22" s="179">
        <v>6323991</v>
      </c>
      <c r="BF22" s="177">
        <f t="shared" si="14"/>
        <v>686467</v>
      </c>
      <c r="BG22" s="178">
        <f t="shared" si="8"/>
        <v>643366</v>
      </c>
      <c r="BH22" s="178">
        <f t="shared" si="9"/>
        <v>1227018</v>
      </c>
      <c r="BI22" s="178">
        <f t="shared" si="10"/>
        <v>1288650</v>
      </c>
      <c r="BJ22" s="179">
        <f t="shared" si="11"/>
        <v>3845501</v>
      </c>
      <c r="BK22" s="177">
        <v>38505</v>
      </c>
      <c r="BL22" s="178">
        <v>39550</v>
      </c>
      <c r="BM22" s="178">
        <v>167477</v>
      </c>
      <c r="BN22" s="178">
        <v>164527</v>
      </c>
      <c r="BO22" s="179">
        <v>410059</v>
      </c>
      <c r="BP22" s="177">
        <v>325540</v>
      </c>
      <c r="BQ22" s="178">
        <v>313302</v>
      </c>
      <c r="BR22" s="178">
        <v>359868</v>
      </c>
      <c r="BS22" s="178">
        <v>422634</v>
      </c>
      <c r="BT22" s="179">
        <v>1421344</v>
      </c>
      <c r="BU22" s="177">
        <v>234425</v>
      </c>
      <c r="BV22" s="178">
        <v>230235</v>
      </c>
      <c r="BW22" s="178">
        <v>565000</v>
      </c>
      <c r="BX22" s="178">
        <v>531220</v>
      </c>
      <c r="BY22" s="179">
        <v>1560880</v>
      </c>
      <c r="BZ22" s="177">
        <v>46583</v>
      </c>
      <c r="CA22" s="178">
        <v>34314</v>
      </c>
      <c r="CB22" s="178">
        <v>96985</v>
      </c>
      <c r="CC22" s="178">
        <v>136763</v>
      </c>
      <c r="CD22" s="179">
        <v>314645</v>
      </c>
      <c r="CE22" s="177">
        <v>41414</v>
      </c>
      <c r="CF22" s="178">
        <v>25965</v>
      </c>
      <c r="CG22" s="178">
        <v>37688</v>
      </c>
      <c r="CH22" s="178">
        <v>33506</v>
      </c>
      <c r="CI22" s="179">
        <v>138573</v>
      </c>
    </row>
    <row r="23" spans="1:87">
      <c r="A23" s="170" t="s">
        <v>37</v>
      </c>
      <c r="B23" s="171" t="s">
        <v>26</v>
      </c>
      <c r="C23" s="172">
        <f t="shared" si="12"/>
        <v>8978315</v>
      </c>
      <c r="D23" s="173">
        <f t="shared" si="0"/>
        <v>9995612</v>
      </c>
      <c r="E23" s="173">
        <f t="shared" si="1"/>
        <v>7589134</v>
      </c>
      <c r="F23" s="173">
        <f t="shared" si="2"/>
        <v>10442721</v>
      </c>
      <c r="G23" s="174">
        <f t="shared" si="3"/>
        <v>37005782</v>
      </c>
      <c r="H23" s="172">
        <f t="shared" si="13"/>
        <v>7468360</v>
      </c>
      <c r="I23" s="173">
        <f t="shared" si="4"/>
        <v>8509318</v>
      </c>
      <c r="J23" s="173">
        <f t="shared" si="5"/>
        <v>6025381</v>
      </c>
      <c r="K23" s="173">
        <f t="shared" si="6"/>
        <v>8536765</v>
      </c>
      <c r="L23" s="174">
        <f t="shared" si="7"/>
        <v>30539824</v>
      </c>
      <c r="M23" s="172">
        <v>1631642</v>
      </c>
      <c r="N23" s="173">
        <v>1762863</v>
      </c>
      <c r="O23" s="173">
        <v>1087556</v>
      </c>
      <c r="P23" s="173">
        <v>1928779</v>
      </c>
      <c r="Q23" s="174">
        <v>6410840</v>
      </c>
      <c r="R23" s="172">
        <v>653084</v>
      </c>
      <c r="S23" s="173">
        <v>1062474</v>
      </c>
      <c r="T23" s="173">
        <v>660167</v>
      </c>
      <c r="U23" s="173">
        <v>983394</v>
      </c>
      <c r="V23" s="174">
        <v>3359119</v>
      </c>
      <c r="W23" s="172">
        <v>333089</v>
      </c>
      <c r="X23" s="173">
        <v>403997</v>
      </c>
      <c r="Y23" s="173">
        <v>684672</v>
      </c>
      <c r="Z23" s="173">
        <v>668295</v>
      </c>
      <c r="AA23" s="174">
        <v>2090053</v>
      </c>
      <c r="AB23" s="172">
        <v>202633</v>
      </c>
      <c r="AC23" s="173">
        <v>222133</v>
      </c>
      <c r="AD23" s="173">
        <v>592649</v>
      </c>
      <c r="AE23" s="173">
        <v>811294</v>
      </c>
      <c r="AF23" s="174">
        <v>1828709</v>
      </c>
      <c r="AG23" s="172">
        <v>2012982</v>
      </c>
      <c r="AH23" s="173">
        <v>2555525</v>
      </c>
      <c r="AI23" s="173">
        <v>936281</v>
      </c>
      <c r="AJ23" s="173">
        <v>1827261</v>
      </c>
      <c r="AK23" s="174">
        <v>7332049</v>
      </c>
      <c r="AL23" s="172">
        <v>285771</v>
      </c>
      <c r="AM23" s="173">
        <v>410593</v>
      </c>
      <c r="AN23" s="173">
        <v>284160</v>
      </c>
      <c r="AO23" s="173">
        <v>408934</v>
      </c>
      <c r="AP23" s="174">
        <v>1389458</v>
      </c>
      <c r="AQ23" s="172">
        <v>1185665</v>
      </c>
      <c r="AR23" s="173">
        <v>809542</v>
      </c>
      <c r="AS23" s="173">
        <v>600789</v>
      </c>
      <c r="AT23" s="173">
        <v>801010</v>
      </c>
      <c r="AU23" s="174">
        <v>3397006</v>
      </c>
      <c r="AV23" s="172">
        <v>119247</v>
      </c>
      <c r="AW23" s="173">
        <v>153563</v>
      </c>
      <c r="AX23" s="173">
        <v>135574</v>
      </c>
      <c r="AY23" s="173">
        <v>45987</v>
      </c>
      <c r="AZ23" s="174">
        <v>454371</v>
      </c>
      <c r="BA23" s="172">
        <v>1044247</v>
      </c>
      <c r="BB23" s="173">
        <v>1128628</v>
      </c>
      <c r="BC23" s="173">
        <v>1043533</v>
      </c>
      <c r="BD23" s="173">
        <v>1061811</v>
      </c>
      <c r="BE23" s="174">
        <v>4278219</v>
      </c>
      <c r="BF23" s="172">
        <f t="shared" si="14"/>
        <v>1509955</v>
      </c>
      <c r="BG23" s="173">
        <f t="shared" si="8"/>
        <v>1486294</v>
      </c>
      <c r="BH23" s="173">
        <f t="shared" si="9"/>
        <v>1563753</v>
      </c>
      <c r="BI23" s="173">
        <f t="shared" si="10"/>
        <v>1905956</v>
      </c>
      <c r="BJ23" s="174">
        <f t="shared" si="11"/>
        <v>6465958</v>
      </c>
      <c r="BK23" s="172">
        <v>89061</v>
      </c>
      <c r="BL23" s="173">
        <v>81213</v>
      </c>
      <c r="BM23" s="173">
        <v>95946</v>
      </c>
      <c r="BN23" s="173">
        <v>136193</v>
      </c>
      <c r="BO23" s="174">
        <v>402413</v>
      </c>
      <c r="BP23" s="172">
        <v>460679</v>
      </c>
      <c r="BQ23" s="173">
        <v>537417</v>
      </c>
      <c r="BR23" s="173">
        <v>507382</v>
      </c>
      <c r="BS23" s="173">
        <v>622093</v>
      </c>
      <c r="BT23" s="174">
        <v>2127571</v>
      </c>
      <c r="BU23" s="172">
        <v>713749</v>
      </c>
      <c r="BV23" s="173">
        <v>614136</v>
      </c>
      <c r="BW23" s="173">
        <v>697656</v>
      </c>
      <c r="BX23" s="173">
        <v>812325</v>
      </c>
      <c r="BY23" s="174">
        <v>2837866</v>
      </c>
      <c r="BZ23" s="172">
        <v>129640</v>
      </c>
      <c r="CA23" s="173">
        <v>150650</v>
      </c>
      <c r="CB23" s="173">
        <v>152574</v>
      </c>
      <c r="CC23" s="173">
        <v>204500</v>
      </c>
      <c r="CD23" s="174">
        <v>637364</v>
      </c>
      <c r="CE23" s="172">
        <v>116826</v>
      </c>
      <c r="CF23" s="173">
        <v>102878</v>
      </c>
      <c r="CG23" s="173">
        <v>110195</v>
      </c>
      <c r="CH23" s="173">
        <v>130845</v>
      </c>
      <c r="CI23" s="174">
        <v>460744</v>
      </c>
    </row>
    <row r="24" spans="1:87">
      <c r="A24" s="170"/>
      <c r="B24" s="171" t="s">
        <v>27</v>
      </c>
      <c r="C24" s="172">
        <f t="shared" si="12"/>
        <v>933297</v>
      </c>
      <c r="D24" s="173">
        <f t="shared" si="0"/>
        <v>626517</v>
      </c>
      <c r="E24" s="173">
        <f t="shared" si="1"/>
        <v>492318</v>
      </c>
      <c r="F24" s="173">
        <f t="shared" si="2"/>
        <v>1297585</v>
      </c>
      <c r="G24" s="174">
        <f t="shared" si="3"/>
        <v>3349717</v>
      </c>
      <c r="H24" s="172">
        <f t="shared" si="13"/>
        <v>840583</v>
      </c>
      <c r="I24" s="173">
        <f t="shared" si="4"/>
        <v>554922</v>
      </c>
      <c r="J24" s="173">
        <f t="shared" si="5"/>
        <v>427671</v>
      </c>
      <c r="K24" s="173">
        <f t="shared" si="6"/>
        <v>1130591</v>
      </c>
      <c r="L24" s="174">
        <f t="shared" si="7"/>
        <v>2953767</v>
      </c>
      <c r="M24" s="172">
        <v>23205</v>
      </c>
      <c r="N24" s="173">
        <v>16510</v>
      </c>
      <c r="O24" s="173">
        <v>11825</v>
      </c>
      <c r="P24" s="173">
        <v>91906</v>
      </c>
      <c r="Q24" s="174">
        <v>143446</v>
      </c>
      <c r="R24" s="172">
        <v>25596</v>
      </c>
      <c r="S24" s="173">
        <v>16464</v>
      </c>
      <c r="T24" s="173">
        <v>20510</v>
      </c>
      <c r="U24" s="173">
        <v>29171</v>
      </c>
      <c r="V24" s="174">
        <v>91741</v>
      </c>
      <c r="W24" s="172">
        <v>27671</v>
      </c>
      <c r="X24" s="173">
        <v>20757</v>
      </c>
      <c r="Y24" s="173">
        <v>24745</v>
      </c>
      <c r="Z24" s="173">
        <v>89353</v>
      </c>
      <c r="AA24" s="174">
        <v>162526</v>
      </c>
      <c r="AB24" s="172">
        <v>78022</v>
      </c>
      <c r="AC24" s="173">
        <v>69445</v>
      </c>
      <c r="AD24" s="173">
        <v>38752</v>
      </c>
      <c r="AE24" s="173">
        <v>156324</v>
      </c>
      <c r="AF24" s="174">
        <v>342543</v>
      </c>
      <c r="AG24" s="172">
        <v>520970</v>
      </c>
      <c r="AH24" s="173">
        <v>306551</v>
      </c>
      <c r="AI24" s="173">
        <v>215572</v>
      </c>
      <c r="AJ24" s="173">
        <v>483642</v>
      </c>
      <c r="AK24" s="174">
        <v>1526735</v>
      </c>
      <c r="AL24" s="172">
        <v>28449</v>
      </c>
      <c r="AM24" s="173">
        <v>28666</v>
      </c>
      <c r="AN24" s="173">
        <v>34337</v>
      </c>
      <c r="AO24" s="173">
        <v>56666</v>
      </c>
      <c r="AP24" s="174">
        <v>148118</v>
      </c>
      <c r="AQ24" s="172">
        <v>35027</v>
      </c>
      <c r="AR24" s="173">
        <v>33862</v>
      </c>
      <c r="AS24" s="173">
        <v>28533</v>
      </c>
      <c r="AT24" s="173">
        <v>86684</v>
      </c>
      <c r="AU24" s="174">
        <v>184106</v>
      </c>
      <c r="AV24" s="172">
        <v>10983</v>
      </c>
      <c r="AW24" s="173">
        <v>7738</v>
      </c>
      <c r="AX24" s="173">
        <v>6983</v>
      </c>
      <c r="AY24" s="173">
        <v>13053</v>
      </c>
      <c r="AZ24" s="174">
        <v>38757</v>
      </c>
      <c r="BA24" s="172">
        <v>90660</v>
      </c>
      <c r="BB24" s="173">
        <v>54929</v>
      </c>
      <c r="BC24" s="173">
        <v>46414</v>
      </c>
      <c r="BD24" s="173">
        <v>123792</v>
      </c>
      <c r="BE24" s="174">
        <v>315795</v>
      </c>
      <c r="BF24" s="172">
        <f t="shared" si="14"/>
        <v>92714</v>
      </c>
      <c r="BG24" s="173">
        <f t="shared" si="8"/>
        <v>71595</v>
      </c>
      <c r="BH24" s="173">
        <f t="shared" si="9"/>
        <v>64647</v>
      </c>
      <c r="BI24" s="173">
        <f t="shared" si="10"/>
        <v>166994</v>
      </c>
      <c r="BJ24" s="174">
        <f t="shared" si="11"/>
        <v>395950</v>
      </c>
      <c r="BK24" s="172">
        <v>3356</v>
      </c>
      <c r="BL24" s="173">
        <v>4589</v>
      </c>
      <c r="BM24" s="173">
        <v>4833</v>
      </c>
      <c r="BN24" s="173">
        <v>10528</v>
      </c>
      <c r="BO24" s="174">
        <v>23306</v>
      </c>
      <c r="BP24" s="172">
        <v>27359</v>
      </c>
      <c r="BQ24" s="173">
        <v>17465</v>
      </c>
      <c r="BR24" s="173">
        <v>8667</v>
      </c>
      <c r="BS24" s="173">
        <v>30743</v>
      </c>
      <c r="BT24" s="174">
        <v>84234</v>
      </c>
      <c r="BU24" s="172">
        <v>46418</v>
      </c>
      <c r="BV24" s="173">
        <v>42697</v>
      </c>
      <c r="BW24" s="173">
        <v>43416</v>
      </c>
      <c r="BX24" s="173">
        <v>101431</v>
      </c>
      <c r="BY24" s="174">
        <v>233962</v>
      </c>
      <c r="BZ24" s="172">
        <v>7424</v>
      </c>
      <c r="CA24" s="173">
        <v>5704</v>
      </c>
      <c r="CB24" s="173">
        <v>4577</v>
      </c>
      <c r="CC24" s="173">
        <v>16908</v>
      </c>
      <c r="CD24" s="174">
        <v>34613</v>
      </c>
      <c r="CE24" s="172">
        <v>8157</v>
      </c>
      <c r="CF24" s="173">
        <v>1140</v>
      </c>
      <c r="CG24" s="173">
        <v>3154</v>
      </c>
      <c r="CH24" s="173">
        <v>7384</v>
      </c>
      <c r="CI24" s="174">
        <v>19835</v>
      </c>
    </row>
    <row r="25" spans="1:87">
      <c r="A25" s="170"/>
      <c r="B25" s="171" t="s">
        <v>28</v>
      </c>
      <c r="C25" s="172">
        <f t="shared" si="12"/>
        <v>4455790</v>
      </c>
      <c r="D25" s="173">
        <f t="shared" si="0"/>
        <v>4576468</v>
      </c>
      <c r="E25" s="173">
        <f t="shared" si="1"/>
        <v>7361800</v>
      </c>
      <c r="F25" s="173">
        <f t="shared" si="2"/>
        <v>8904549</v>
      </c>
      <c r="G25" s="174">
        <f t="shared" si="3"/>
        <v>25298607</v>
      </c>
      <c r="H25" s="172">
        <f t="shared" si="13"/>
        <v>4134870</v>
      </c>
      <c r="I25" s="173">
        <f t="shared" si="4"/>
        <v>3156503</v>
      </c>
      <c r="J25" s="173">
        <f t="shared" si="5"/>
        <v>5198885</v>
      </c>
      <c r="K25" s="173">
        <f t="shared" si="6"/>
        <v>6907115</v>
      </c>
      <c r="L25" s="174">
        <f t="shared" si="7"/>
        <v>19397373</v>
      </c>
      <c r="M25" s="172">
        <v>257147</v>
      </c>
      <c r="N25" s="173">
        <v>253834</v>
      </c>
      <c r="O25" s="173">
        <v>462544</v>
      </c>
      <c r="P25" s="173">
        <v>1609264</v>
      </c>
      <c r="Q25" s="174">
        <v>2582789</v>
      </c>
      <c r="R25" s="172">
        <v>334945</v>
      </c>
      <c r="S25" s="173">
        <v>561783</v>
      </c>
      <c r="T25" s="173">
        <v>520062</v>
      </c>
      <c r="U25" s="173">
        <v>755604</v>
      </c>
      <c r="V25" s="174">
        <v>2172394</v>
      </c>
      <c r="W25" s="172">
        <v>21512</v>
      </c>
      <c r="X25" s="173">
        <v>607101</v>
      </c>
      <c r="Y25" s="173">
        <v>763414</v>
      </c>
      <c r="Z25" s="173">
        <v>788763</v>
      </c>
      <c r="AA25" s="174">
        <v>2180790</v>
      </c>
      <c r="AB25" s="172">
        <v>9555</v>
      </c>
      <c r="AC25" s="173">
        <v>586</v>
      </c>
      <c r="AD25" s="173">
        <v>2344</v>
      </c>
      <c r="AE25" s="173">
        <v>1071544</v>
      </c>
      <c r="AF25" s="174">
        <v>1084029</v>
      </c>
      <c r="AG25" s="172">
        <v>3056070</v>
      </c>
      <c r="AH25" s="173">
        <v>1268203</v>
      </c>
      <c r="AI25" s="173">
        <v>2760904</v>
      </c>
      <c r="AJ25" s="173">
        <v>1364321</v>
      </c>
      <c r="AK25" s="174">
        <v>8449498</v>
      </c>
      <c r="AL25" s="172">
        <v>29007</v>
      </c>
      <c r="AM25" s="173">
        <v>85141</v>
      </c>
      <c r="AN25" s="173">
        <v>171315</v>
      </c>
      <c r="AO25" s="173">
        <v>464581</v>
      </c>
      <c r="AP25" s="174">
        <v>750044</v>
      </c>
      <c r="AQ25" s="172">
        <v>300570</v>
      </c>
      <c r="AR25" s="173">
        <v>130032</v>
      </c>
      <c r="AS25" s="173">
        <v>441954</v>
      </c>
      <c r="AT25" s="173">
        <v>492651</v>
      </c>
      <c r="AU25" s="174">
        <v>1365207</v>
      </c>
      <c r="AV25" s="172">
        <v>69</v>
      </c>
      <c r="AW25" s="173">
        <v>33927</v>
      </c>
      <c r="AX25" s="173">
        <v>58953</v>
      </c>
      <c r="AY25" s="173">
        <v>25413</v>
      </c>
      <c r="AZ25" s="174">
        <v>118362</v>
      </c>
      <c r="BA25" s="172">
        <v>125995</v>
      </c>
      <c r="BB25" s="173">
        <v>215896</v>
      </c>
      <c r="BC25" s="173">
        <v>17395</v>
      </c>
      <c r="BD25" s="173">
        <v>334974</v>
      </c>
      <c r="BE25" s="174">
        <v>694260</v>
      </c>
      <c r="BF25" s="172">
        <f t="shared" si="14"/>
        <v>320920</v>
      </c>
      <c r="BG25" s="173">
        <f t="shared" si="8"/>
        <v>1419965</v>
      </c>
      <c r="BH25" s="173">
        <f t="shared" si="9"/>
        <v>2162915</v>
      </c>
      <c r="BI25" s="173">
        <f t="shared" si="10"/>
        <v>1997434</v>
      </c>
      <c r="BJ25" s="174">
        <f t="shared" si="11"/>
        <v>5901234</v>
      </c>
      <c r="BK25" s="172">
        <v>11112</v>
      </c>
      <c r="BL25" s="173">
        <v>211032</v>
      </c>
      <c r="BM25" s="173">
        <v>162094</v>
      </c>
      <c r="BN25" s="173">
        <v>127206</v>
      </c>
      <c r="BO25" s="174">
        <v>511444</v>
      </c>
      <c r="BP25" s="172">
        <v>288309</v>
      </c>
      <c r="BQ25" s="173">
        <v>356225</v>
      </c>
      <c r="BR25" s="173">
        <v>428900</v>
      </c>
      <c r="BS25" s="173">
        <v>406444</v>
      </c>
      <c r="BT25" s="174">
        <v>1479878</v>
      </c>
      <c r="BU25" s="172">
        <v>7720</v>
      </c>
      <c r="BV25" s="173">
        <v>678697</v>
      </c>
      <c r="BW25" s="173">
        <v>1356826</v>
      </c>
      <c r="BX25" s="173">
        <v>1245538</v>
      </c>
      <c r="BY25" s="174">
        <v>3288781</v>
      </c>
      <c r="BZ25" s="172">
        <v>11985</v>
      </c>
      <c r="CA25" s="173">
        <v>173528</v>
      </c>
      <c r="CB25" s="173">
        <v>86250</v>
      </c>
      <c r="CC25" s="173">
        <v>94406</v>
      </c>
      <c r="CD25" s="174">
        <v>366169</v>
      </c>
      <c r="CE25" s="172">
        <v>1794</v>
      </c>
      <c r="CF25" s="173">
        <v>483</v>
      </c>
      <c r="CG25" s="173">
        <v>128845</v>
      </c>
      <c r="CH25" s="173">
        <v>123840</v>
      </c>
      <c r="CI25" s="174">
        <v>254962</v>
      </c>
    </row>
    <row r="26" spans="1:87">
      <c r="A26" s="170"/>
      <c r="B26" s="171" t="s">
        <v>29</v>
      </c>
      <c r="C26" s="172">
        <f t="shared" si="12"/>
        <v>278340</v>
      </c>
      <c r="D26" s="173">
        <f t="shared" si="0"/>
        <v>299844</v>
      </c>
      <c r="E26" s="173">
        <f t="shared" si="1"/>
        <v>231882</v>
      </c>
      <c r="F26" s="173">
        <f t="shared" si="2"/>
        <v>168913</v>
      </c>
      <c r="G26" s="174">
        <f t="shared" si="3"/>
        <v>978979</v>
      </c>
      <c r="H26" s="172">
        <f t="shared" si="13"/>
        <v>252350</v>
      </c>
      <c r="I26" s="173">
        <f t="shared" si="4"/>
        <v>246861</v>
      </c>
      <c r="J26" s="173">
        <f t="shared" si="5"/>
        <v>187397</v>
      </c>
      <c r="K26" s="173">
        <f t="shared" si="6"/>
        <v>144422</v>
      </c>
      <c r="L26" s="174">
        <f t="shared" si="7"/>
        <v>831030</v>
      </c>
      <c r="M26" s="172"/>
      <c r="N26" s="173"/>
      <c r="O26" s="173"/>
      <c r="P26" s="173"/>
      <c r="Q26" s="174"/>
      <c r="R26" s="172">
        <v>17988</v>
      </c>
      <c r="S26" s="173">
        <v>6999</v>
      </c>
      <c r="T26" s="173">
        <v>11992</v>
      </c>
      <c r="U26" s="173">
        <v>14990</v>
      </c>
      <c r="V26" s="174">
        <v>51969</v>
      </c>
      <c r="W26" s="172">
        <v>24987</v>
      </c>
      <c r="X26" s="173">
        <v>13491</v>
      </c>
      <c r="Y26" s="173"/>
      <c r="Z26" s="173"/>
      <c r="AA26" s="174">
        <v>38478</v>
      </c>
      <c r="AB26" s="172"/>
      <c r="AC26" s="173">
        <v>25494</v>
      </c>
      <c r="AD26" s="173">
        <v>15497</v>
      </c>
      <c r="AE26" s="173">
        <v>1499</v>
      </c>
      <c r="AF26" s="174">
        <v>42490</v>
      </c>
      <c r="AG26" s="172">
        <v>135913</v>
      </c>
      <c r="AH26" s="173">
        <v>131912</v>
      </c>
      <c r="AI26" s="173">
        <v>101932</v>
      </c>
      <c r="AJ26" s="173">
        <v>67455</v>
      </c>
      <c r="AK26" s="174">
        <v>437212</v>
      </c>
      <c r="AL26" s="172">
        <v>16996</v>
      </c>
      <c r="AM26" s="173">
        <v>12995</v>
      </c>
      <c r="AN26" s="173">
        <v>2998</v>
      </c>
      <c r="AO26" s="173">
        <v>19994</v>
      </c>
      <c r="AP26" s="174">
        <v>52983</v>
      </c>
      <c r="AQ26" s="172">
        <v>16489</v>
      </c>
      <c r="AR26" s="173">
        <v>27985</v>
      </c>
      <c r="AS26" s="173">
        <v>5996</v>
      </c>
      <c r="AT26" s="173">
        <v>19994</v>
      </c>
      <c r="AU26" s="174">
        <v>70464</v>
      </c>
      <c r="AV26" s="172">
        <v>11496</v>
      </c>
      <c r="AW26" s="173">
        <v>1499</v>
      </c>
      <c r="AX26" s="173">
        <v>22496</v>
      </c>
      <c r="AY26" s="173">
        <v>8498</v>
      </c>
      <c r="AZ26" s="174">
        <v>43989</v>
      </c>
      <c r="BA26" s="172">
        <v>28481</v>
      </c>
      <c r="BB26" s="173">
        <v>26486</v>
      </c>
      <c r="BC26" s="173">
        <v>26486</v>
      </c>
      <c r="BD26" s="173">
        <v>11992</v>
      </c>
      <c r="BE26" s="174">
        <v>93445</v>
      </c>
      <c r="BF26" s="172">
        <f t="shared" si="14"/>
        <v>25990</v>
      </c>
      <c r="BG26" s="173">
        <f t="shared" si="8"/>
        <v>52983</v>
      </c>
      <c r="BH26" s="173">
        <f t="shared" si="9"/>
        <v>44485</v>
      </c>
      <c r="BI26" s="173">
        <f t="shared" si="10"/>
        <v>24491</v>
      </c>
      <c r="BJ26" s="174">
        <f t="shared" si="11"/>
        <v>147949</v>
      </c>
      <c r="BK26" s="172"/>
      <c r="BL26" s="173"/>
      <c r="BM26" s="173"/>
      <c r="BN26" s="173"/>
      <c r="BO26" s="174"/>
      <c r="BP26" s="172">
        <v>8498</v>
      </c>
      <c r="BQ26" s="173">
        <v>25494</v>
      </c>
      <c r="BR26" s="173">
        <v>8498</v>
      </c>
      <c r="BS26" s="173">
        <v>9997</v>
      </c>
      <c r="BT26" s="174">
        <v>52487</v>
      </c>
      <c r="BU26" s="172">
        <v>10493</v>
      </c>
      <c r="BV26" s="173">
        <v>15993</v>
      </c>
      <c r="BW26" s="173">
        <v>32989</v>
      </c>
      <c r="BX26" s="173">
        <v>14494</v>
      </c>
      <c r="BY26" s="174">
        <v>73969</v>
      </c>
      <c r="BZ26" s="172">
        <v>6999</v>
      </c>
      <c r="CA26" s="173">
        <v>11496</v>
      </c>
      <c r="CB26" s="173">
        <v>2998</v>
      </c>
      <c r="CC26" s="173"/>
      <c r="CD26" s="174">
        <v>21493</v>
      </c>
      <c r="CE26" s="172"/>
      <c r="CF26" s="173"/>
      <c r="CG26" s="173"/>
      <c r="CH26" s="173"/>
      <c r="CI26" s="174"/>
    </row>
    <row r="27" spans="1:87">
      <c r="A27" s="170"/>
      <c r="B27" s="171" t="s">
        <v>38</v>
      </c>
      <c r="C27" s="172">
        <f t="shared" si="12"/>
        <v>8956</v>
      </c>
      <c r="D27" s="173">
        <f t="shared" si="0"/>
        <v>0</v>
      </c>
      <c r="E27" s="173">
        <f t="shared" si="1"/>
        <v>0</v>
      </c>
      <c r="F27" s="173">
        <f t="shared" si="2"/>
        <v>0</v>
      </c>
      <c r="G27" s="174">
        <f t="shared" si="3"/>
        <v>8956</v>
      </c>
      <c r="H27" s="172">
        <f t="shared" si="13"/>
        <v>8956</v>
      </c>
      <c r="I27" s="173">
        <f t="shared" si="4"/>
        <v>0</v>
      </c>
      <c r="J27" s="173">
        <f t="shared" si="5"/>
        <v>0</v>
      </c>
      <c r="K27" s="173">
        <f t="shared" si="6"/>
        <v>0</v>
      </c>
      <c r="L27" s="174">
        <f t="shared" si="7"/>
        <v>8956</v>
      </c>
      <c r="M27" s="172"/>
      <c r="N27" s="173"/>
      <c r="O27" s="173"/>
      <c r="P27" s="173"/>
      <c r="Q27" s="174"/>
      <c r="R27" s="172"/>
      <c r="S27" s="173"/>
      <c r="T27" s="173"/>
      <c r="U27" s="173"/>
      <c r="V27" s="174"/>
      <c r="W27" s="172"/>
      <c r="X27" s="173"/>
      <c r="Y27" s="173"/>
      <c r="Z27" s="173"/>
      <c r="AA27" s="174"/>
      <c r="AB27" s="172"/>
      <c r="AC27" s="173"/>
      <c r="AD27" s="173"/>
      <c r="AE27" s="173"/>
      <c r="AF27" s="174"/>
      <c r="AG27" s="172">
        <v>8956</v>
      </c>
      <c r="AH27" s="173"/>
      <c r="AI27" s="173"/>
      <c r="AJ27" s="173"/>
      <c r="AK27" s="174">
        <v>8956</v>
      </c>
      <c r="AL27" s="172"/>
      <c r="AM27" s="173"/>
      <c r="AN27" s="173"/>
      <c r="AO27" s="173"/>
      <c r="AP27" s="174"/>
      <c r="AQ27" s="172"/>
      <c r="AR27" s="173"/>
      <c r="AS27" s="173"/>
      <c r="AT27" s="173"/>
      <c r="AU27" s="174"/>
      <c r="AV27" s="172"/>
      <c r="AW27" s="173"/>
      <c r="AX27" s="173"/>
      <c r="AY27" s="173"/>
      <c r="AZ27" s="174"/>
      <c r="BA27" s="172"/>
      <c r="BB27" s="173"/>
      <c r="BC27" s="173"/>
      <c r="BD27" s="173"/>
      <c r="BE27" s="174"/>
      <c r="BF27" s="172">
        <f t="shared" si="14"/>
        <v>0</v>
      </c>
      <c r="BG27" s="173">
        <f t="shared" si="8"/>
        <v>0</v>
      </c>
      <c r="BH27" s="173">
        <f t="shared" si="9"/>
        <v>0</v>
      </c>
      <c r="BI27" s="173">
        <f t="shared" si="10"/>
        <v>0</v>
      </c>
      <c r="BJ27" s="174">
        <f t="shared" si="11"/>
        <v>0</v>
      </c>
      <c r="BK27" s="172"/>
      <c r="BL27" s="173"/>
      <c r="BM27" s="173"/>
      <c r="BN27" s="173"/>
      <c r="BO27" s="174"/>
      <c r="BP27" s="172"/>
      <c r="BQ27" s="173"/>
      <c r="BR27" s="173"/>
      <c r="BS27" s="173"/>
      <c r="BT27" s="174"/>
      <c r="BU27" s="172"/>
      <c r="BV27" s="173"/>
      <c r="BW27" s="173"/>
      <c r="BX27" s="173"/>
      <c r="BY27" s="174"/>
      <c r="BZ27" s="172"/>
      <c r="CA27" s="173"/>
      <c r="CB27" s="173"/>
      <c r="CC27" s="173"/>
      <c r="CD27" s="174"/>
      <c r="CE27" s="172"/>
      <c r="CF27" s="173"/>
      <c r="CG27" s="173"/>
      <c r="CH27" s="173"/>
      <c r="CI27" s="174"/>
    </row>
    <row r="28" s="147" customFormat="1" ht="14.6" spans="1:87">
      <c r="A28" s="175" t="s">
        <v>39</v>
      </c>
      <c r="B28" s="176"/>
      <c r="C28" s="177">
        <f t="shared" si="12"/>
        <v>14654698</v>
      </c>
      <c r="D28" s="178">
        <f t="shared" si="0"/>
        <v>15498441</v>
      </c>
      <c r="E28" s="178">
        <f t="shared" si="1"/>
        <v>15675134</v>
      </c>
      <c r="F28" s="178">
        <f t="shared" si="2"/>
        <v>20813768</v>
      </c>
      <c r="G28" s="179">
        <f t="shared" si="3"/>
        <v>66642041</v>
      </c>
      <c r="H28" s="177">
        <f t="shared" si="13"/>
        <v>12705119</v>
      </c>
      <c r="I28" s="178">
        <f t="shared" si="4"/>
        <v>12467604</v>
      </c>
      <c r="J28" s="178">
        <f t="shared" si="5"/>
        <v>11839334</v>
      </c>
      <c r="K28" s="178">
        <f t="shared" si="6"/>
        <v>16718893</v>
      </c>
      <c r="L28" s="179">
        <f t="shared" si="7"/>
        <v>53730950</v>
      </c>
      <c r="M28" s="177">
        <v>1911994</v>
      </c>
      <c r="N28" s="178">
        <v>2033207</v>
      </c>
      <c r="O28" s="178">
        <v>1561925</v>
      </c>
      <c r="P28" s="178">
        <v>3629949</v>
      </c>
      <c r="Q28" s="179">
        <v>9137075</v>
      </c>
      <c r="R28" s="177">
        <v>1031613</v>
      </c>
      <c r="S28" s="178">
        <v>1647720</v>
      </c>
      <c r="T28" s="178">
        <v>1212731</v>
      </c>
      <c r="U28" s="178">
        <v>1783159</v>
      </c>
      <c r="V28" s="179">
        <v>5675223</v>
      </c>
      <c r="W28" s="177">
        <v>407259</v>
      </c>
      <c r="X28" s="178">
        <v>1045346</v>
      </c>
      <c r="Y28" s="178">
        <v>1472831</v>
      </c>
      <c r="Z28" s="178">
        <v>1546411</v>
      </c>
      <c r="AA28" s="179">
        <v>4471847</v>
      </c>
      <c r="AB28" s="177">
        <v>290210</v>
      </c>
      <c r="AC28" s="178">
        <v>317658</v>
      </c>
      <c r="AD28" s="178">
        <v>649242</v>
      </c>
      <c r="AE28" s="178">
        <v>2040661</v>
      </c>
      <c r="AF28" s="179">
        <v>3297771</v>
      </c>
      <c r="AG28" s="177">
        <v>5734891</v>
      </c>
      <c r="AH28" s="178">
        <v>4262191</v>
      </c>
      <c r="AI28" s="178">
        <v>4014689</v>
      </c>
      <c r="AJ28" s="178">
        <v>3742679</v>
      </c>
      <c r="AK28" s="179">
        <v>17754450</v>
      </c>
      <c r="AL28" s="177">
        <v>360223</v>
      </c>
      <c r="AM28" s="178">
        <v>537395</v>
      </c>
      <c r="AN28" s="178">
        <v>492810</v>
      </c>
      <c r="AO28" s="178">
        <v>950175</v>
      </c>
      <c r="AP28" s="179">
        <v>2340603</v>
      </c>
      <c r="AQ28" s="177">
        <v>1537751</v>
      </c>
      <c r="AR28" s="178">
        <v>1001421</v>
      </c>
      <c r="AS28" s="178">
        <v>1077272</v>
      </c>
      <c r="AT28" s="178">
        <v>1400339</v>
      </c>
      <c r="AU28" s="179">
        <v>5016783</v>
      </c>
      <c r="AV28" s="177">
        <v>141795</v>
      </c>
      <c r="AW28" s="178">
        <v>196727</v>
      </c>
      <c r="AX28" s="178">
        <v>224006</v>
      </c>
      <c r="AY28" s="178">
        <v>92951</v>
      </c>
      <c r="AZ28" s="179">
        <v>655479</v>
      </c>
      <c r="BA28" s="177">
        <v>1289383</v>
      </c>
      <c r="BB28" s="178">
        <v>1425939</v>
      </c>
      <c r="BC28" s="178">
        <v>1133828</v>
      </c>
      <c r="BD28" s="178">
        <v>1532569</v>
      </c>
      <c r="BE28" s="179">
        <v>5381719</v>
      </c>
      <c r="BF28" s="177">
        <f t="shared" si="14"/>
        <v>1949579</v>
      </c>
      <c r="BG28" s="178">
        <f t="shared" si="8"/>
        <v>3030837</v>
      </c>
      <c r="BH28" s="178">
        <f t="shared" si="9"/>
        <v>3835800</v>
      </c>
      <c r="BI28" s="178">
        <f t="shared" si="10"/>
        <v>4094875</v>
      </c>
      <c r="BJ28" s="179">
        <f t="shared" si="11"/>
        <v>12911091</v>
      </c>
      <c r="BK28" s="177">
        <v>103529</v>
      </c>
      <c r="BL28" s="178">
        <v>296834</v>
      </c>
      <c r="BM28" s="178">
        <v>262873</v>
      </c>
      <c r="BN28" s="178">
        <v>273927</v>
      </c>
      <c r="BO28" s="179">
        <v>937163</v>
      </c>
      <c r="BP28" s="177">
        <v>784845</v>
      </c>
      <c r="BQ28" s="178">
        <v>936601</v>
      </c>
      <c r="BR28" s="178">
        <v>953447</v>
      </c>
      <c r="BS28" s="178">
        <v>1069277</v>
      </c>
      <c r="BT28" s="179">
        <v>3744170</v>
      </c>
      <c r="BU28" s="177">
        <v>778380</v>
      </c>
      <c r="BV28" s="178">
        <v>1351523</v>
      </c>
      <c r="BW28" s="178">
        <v>2130887</v>
      </c>
      <c r="BX28" s="178">
        <v>2173788</v>
      </c>
      <c r="BY28" s="179">
        <v>6434578</v>
      </c>
      <c r="BZ28" s="177">
        <v>156048</v>
      </c>
      <c r="CA28" s="178">
        <v>341378</v>
      </c>
      <c r="CB28" s="178">
        <v>246399</v>
      </c>
      <c r="CC28" s="178">
        <v>315814</v>
      </c>
      <c r="CD28" s="179">
        <v>1059639</v>
      </c>
      <c r="CE28" s="177">
        <v>126777</v>
      </c>
      <c r="CF28" s="178">
        <v>104501</v>
      </c>
      <c r="CG28" s="178">
        <v>242194</v>
      </c>
      <c r="CH28" s="178">
        <v>262069</v>
      </c>
      <c r="CI28" s="179">
        <v>735541</v>
      </c>
    </row>
    <row r="29" spans="1:87">
      <c r="A29" s="170" t="s">
        <v>40</v>
      </c>
      <c r="B29" s="171" t="s">
        <v>26</v>
      </c>
      <c r="C29" s="172">
        <f t="shared" si="12"/>
        <v>13565159</v>
      </c>
      <c r="D29" s="173">
        <f t="shared" si="0"/>
        <v>13790838</v>
      </c>
      <c r="E29" s="173">
        <f t="shared" si="1"/>
        <v>12274924</v>
      </c>
      <c r="F29" s="173">
        <f t="shared" si="2"/>
        <v>17932653</v>
      </c>
      <c r="G29" s="174">
        <f t="shared" si="3"/>
        <v>57563574</v>
      </c>
      <c r="H29" s="172">
        <f t="shared" si="13"/>
        <v>11883349</v>
      </c>
      <c r="I29" s="173">
        <f t="shared" si="4"/>
        <v>12021525</v>
      </c>
      <c r="J29" s="173">
        <f t="shared" si="5"/>
        <v>10423369</v>
      </c>
      <c r="K29" s="173">
        <f t="shared" si="6"/>
        <v>15528561</v>
      </c>
      <c r="L29" s="174">
        <f t="shared" si="7"/>
        <v>49856804</v>
      </c>
      <c r="M29" s="172">
        <v>1652800</v>
      </c>
      <c r="N29" s="173">
        <v>1593374</v>
      </c>
      <c r="O29" s="173">
        <v>1543593</v>
      </c>
      <c r="P29" s="173">
        <v>1477618</v>
      </c>
      <c r="Q29" s="174">
        <v>6267385</v>
      </c>
      <c r="R29" s="172">
        <v>734166</v>
      </c>
      <c r="S29" s="173">
        <v>631996</v>
      </c>
      <c r="T29" s="173">
        <v>642910</v>
      </c>
      <c r="U29" s="173">
        <v>1359684</v>
      </c>
      <c r="V29" s="174">
        <v>3368756</v>
      </c>
      <c r="W29" s="172">
        <v>2025796</v>
      </c>
      <c r="X29" s="173">
        <v>1895489</v>
      </c>
      <c r="Y29" s="173">
        <v>1722666</v>
      </c>
      <c r="Z29" s="173">
        <v>1958380</v>
      </c>
      <c r="AA29" s="174">
        <v>7602331</v>
      </c>
      <c r="AB29" s="172">
        <v>277432</v>
      </c>
      <c r="AC29" s="173">
        <v>825232</v>
      </c>
      <c r="AD29" s="173">
        <v>741898</v>
      </c>
      <c r="AE29" s="173">
        <v>1050387</v>
      </c>
      <c r="AF29" s="174">
        <v>2894949</v>
      </c>
      <c r="AG29" s="172">
        <v>3667980</v>
      </c>
      <c r="AH29" s="173">
        <v>3410897</v>
      </c>
      <c r="AI29" s="173">
        <v>2555165</v>
      </c>
      <c r="AJ29" s="173">
        <v>5596764</v>
      </c>
      <c r="AK29" s="174">
        <v>15230806</v>
      </c>
      <c r="AL29" s="172">
        <v>557242</v>
      </c>
      <c r="AM29" s="173">
        <v>755125</v>
      </c>
      <c r="AN29" s="173">
        <v>732973</v>
      </c>
      <c r="AO29" s="173">
        <v>1256616</v>
      </c>
      <c r="AP29" s="174">
        <v>3301956</v>
      </c>
      <c r="AQ29" s="172">
        <v>1307948</v>
      </c>
      <c r="AR29" s="173">
        <v>1118152</v>
      </c>
      <c r="AS29" s="173">
        <v>1190293</v>
      </c>
      <c r="AT29" s="173">
        <v>1910708</v>
      </c>
      <c r="AU29" s="174">
        <v>5527101</v>
      </c>
      <c r="AV29" s="172">
        <v>179302</v>
      </c>
      <c r="AW29" s="173">
        <v>154798</v>
      </c>
      <c r="AX29" s="173">
        <v>86620</v>
      </c>
      <c r="AY29" s="173">
        <v>90050</v>
      </c>
      <c r="AZ29" s="174">
        <v>510770</v>
      </c>
      <c r="BA29" s="172">
        <v>1480683</v>
      </c>
      <c r="BB29" s="173">
        <v>1636462</v>
      </c>
      <c r="BC29" s="173">
        <v>1207251</v>
      </c>
      <c r="BD29" s="173">
        <v>828354</v>
      </c>
      <c r="BE29" s="174">
        <v>5152750</v>
      </c>
      <c r="BF29" s="172">
        <f t="shared" si="14"/>
        <v>1681810</v>
      </c>
      <c r="BG29" s="173">
        <f t="shared" si="8"/>
        <v>1769313</v>
      </c>
      <c r="BH29" s="173">
        <f t="shared" si="9"/>
        <v>1851555</v>
      </c>
      <c r="BI29" s="173">
        <f t="shared" si="10"/>
        <v>2404092</v>
      </c>
      <c r="BJ29" s="174">
        <f t="shared" si="11"/>
        <v>7706770</v>
      </c>
      <c r="BK29" s="172">
        <v>130738</v>
      </c>
      <c r="BL29" s="173">
        <v>132621</v>
      </c>
      <c r="BM29" s="173">
        <v>138552</v>
      </c>
      <c r="BN29" s="173">
        <v>122912</v>
      </c>
      <c r="BO29" s="174">
        <v>524823</v>
      </c>
      <c r="BP29" s="172">
        <v>622839</v>
      </c>
      <c r="BQ29" s="173">
        <v>692700</v>
      </c>
      <c r="BR29" s="173">
        <v>549402</v>
      </c>
      <c r="BS29" s="173">
        <v>772495</v>
      </c>
      <c r="BT29" s="174">
        <v>2637436</v>
      </c>
      <c r="BU29" s="172">
        <v>672780</v>
      </c>
      <c r="BV29" s="173">
        <v>618492</v>
      </c>
      <c r="BW29" s="173">
        <v>848357</v>
      </c>
      <c r="BX29" s="173">
        <v>1138833</v>
      </c>
      <c r="BY29" s="174">
        <v>3278462</v>
      </c>
      <c r="BZ29" s="172">
        <v>183567</v>
      </c>
      <c r="CA29" s="173">
        <v>180415</v>
      </c>
      <c r="CB29" s="173">
        <v>163773</v>
      </c>
      <c r="CC29" s="173">
        <v>196000</v>
      </c>
      <c r="CD29" s="174">
        <v>723755</v>
      </c>
      <c r="CE29" s="172">
        <v>71886</v>
      </c>
      <c r="CF29" s="173">
        <v>145085</v>
      </c>
      <c r="CG29" s="173">
        <v>151471</v>
      </c>
      <c r="CH29" s="173">
        <v>173852</v>
      </c>
      <c r="CI29" s="174">
        <v>542294</v>
      </c>
    </row>
    <row r="30" spans="1:87">
      <c r="A30" s="170"/>
      <c r="B30" s="171" t="s">
        <v>27</v>
      </c>
      <c r="C30" s="172">
        <f t="shared" si="12"/>
        <v>86682</v>
      </c>
      <c r="D30" s="173">
        <f t="shared" si="0"/>
        <v>45995</v>
      </c>
      <c r="E30" s="173">
        <f t="shared" si="1"/>
        <v>26561</v>
      </c>
      <c r="F30" s="173">
        <f t="shared" si="2"/>
        <v>2908177</v>
      </c>
      <c r="G30" s="174">
        <f t="shared" si="3"/>
        <v>3067415</v>
      </c>
      <c r="H30" s="172">
        <f t="shared" si="13"/>
        <v>78408</v>
      </c>
      <c r="I30" s="173">
        <f t="shared" si="4"/>
        <v>42354</v>
      </c>
      <c r="J30" s="173">
        <f t="shared" si="5"/>
        <v>22960</v>
      </c>
      <c r="K30" s="173">
        <f t="shared" si="6"/>
        <v>2806160</v>
      </c>
      <c r="L30" s="174">
        <f t="shared" si="7"/>
        <v>2949882</v>
      </c>
      <c r="M30" s="172">
        <v>258</v>
      </c>
      <c r="N30" s="173">
        <v>258</v>
      </c>
      <c r="O30" s="173"/>
      <c r="P30" s="173">
        <v>156899</v>
      </c>
      <c r="Q30" s="174">
        <v>157415</v>
      </c>
      <c r="R30" s="172"/>
      <c r="S30" s="173"/>
      <c r="T30" s="173"/>
      <c r="U30" s="173">
        <v>121198</v>
      </c>
      <c r="V30" s="174">
        <v>121198</v>
      </c>
      <c r="W30" s="172"/>
      <c r="X30" s="173"/>
      <c r="Y30" s="173"/>
      <c r="Z30" s="173">
        <v>443813</v>
      </c>
      <c r="AA30" s="174">
        <v>443813</v>
      </c>
      <c r="AB30" s="172">
        <v>22007</v>
      </c>
      <c r="AC30" s="173">
        <v>22892</v>
      </c>
      <c r="AD30" s="173">
        <v>14524</v>
      </c>
      <c r="AE30" s="173">
        <v>94065</v>
      </c>
      <c r="AF30" s="174">
        <v>153488</v>
      </c>
      <c r="AG30" s="172">
        <v>46256</v>
      </c>
      <c r="AH30" s="173">
        <v>11269</v>
      </c>
      <c r="AI30" s="173">
        <v>3245</v>
      </c>
      <c r="AJ30" s="173">
        <v>1764665</v>
      </c>
      <c r="AK30" s="174">
        <v>1825435</v>
      </c>
      <c r="AL30" s="172"/>
      <c r="AM30" s="173">
        <v>138</v>
      </c>
      <c r="AN30" s="173"/>
      <c r="AO30" s="173">
        <v>86783</v>
      </c>
      <c r="AP30" s="174">
        <v>86921</v>
      </c>
      <c r="AQ30" s="172">
        <v>2193</v>
      </c>
      <c r="AR30" s="173">
        <v>2967</v>
      </c>
      <c r="AS30" s="173">
        <v>2193</v>
      </c>
      <c r="AT30" s="173">
        <v>137450</v>
      </c>
      <c r="AU30" s="174">
        <v>144803</v>
      </c>
      <c r="AV30" s="172">
        <v>4018</v>
      </c>
      <c r="AW30" s="173">
        <v>2699</v>
      </c>
      <c r="AX30" s="173">
        <v>1687</v>
      </c>
      <c r="AY30" s="173">
        <v>1041</v>
      </c>
      <c r="AZ30" s="174">
        <v>9445</v>
      </c>
      <c r="BA30" s="172">
        <v>3676</v>
      </c>
      <c r="BB30" s="173">
        <v>2131</v>
      </c>
      <c r="BC30" s="173">
        <v>1311</v>
      </c>
      <c r="BD30" s="173">
        <v>246</v>
      </c>
      <c r="BE30" s="174">
        <v>7364</v>
      </c>
      <c r="BF30" s="172">
        <f t="shared" si="14"/>
        <v>8274</v>
      </c>
      <c r="BG30" s="173">
        <f t="shared" si="8"/>
        <v>3641</v>
      </c>
      <c r="BH30" s="173">
        <f t="shared" si="9"/>
        <v>3601</v>
      </c>
      <c r="BI30" s="173">
        <f t="shared" si="10"/>
        <v>102017</v>
      </c>
      <c r="BJ30" s="174">
        <f t="shared" si="11"/>
        <v>117533</v>
      </c>
      <c r="BK30" s="172">
        <v>3599</v>
      </c>
      <c r="BL30" s="173">
        <v>708</v>
      </c>
      <c r="BM30" s="173">
        <v>1121</v>
      </c>
      <c r="BN30" s="173">
        <v>8180</v>
      </c>
      <c r="BO30" s="174">
        <v>13608</v>
      </c>
      <c r="BP30" s="172">
        <v>590</v>
      </c>
      <c r="BQ30" s="173">
        <v>649</v>
      </c>
      <c r="BR30" s="173">
        <v>531</v>
      </c>
      <c r="BS30" s="173">
        <v>31865</v>
      </c>
      <c r="BT30" s="174">
        <v>33635</v>
      </c>
      <c r="BU30" s="172">
        <v>4085</v>
      </c>
      <c r="BV30" s="173">
        <v>2284</v>
      </c>
      <c r="BW30" s="173">
        <v>1949</v>
      </c>
      <c r="BX30" s="173">
        <v>53776</v>
      </c>
      <c r="BY30" s="174">
        <v>62094</v>
      </c>
      <c r="BZ30" s="172"/>
      <c r="CA30" s="173"/>
      <c r="CB30" s="173"/>
      <c r="CC30" s="173">
        <v>6753</v>
      </c>
      <c r="CD30" s="174">
        <v>6753</v>
      </c>
      <c r="CE30" s="172"/>
      <c r="CF30" s="173"/>
      <c r="CG30" s="173"/>
      <c r="CH30" s="173">
        <v>1443</v>
      </c>
      <c r="CI30" s="174">
        <v>1443</v>
      </c>
    </row>
    <row r="31" spans="1:87">
      <c r="A31" s="170"/>
      <c r="B31" s="171" t="s">
        <v>29</v>
      </c>
      <c r="C31" s="172">
        <f t="shared" si="12"/>
        <v>23994</v>
      </c>
      <c r="D31" s="173">
        <f t="shared" si="0"/>
        <v>341414</v>
      </c>
      <c r="E31" s="173">
        <f t="shared" si="1"/>
        <v>91977</v>
      </c>
      <c r="F31" s="173">
        <f t="shared" si="2"/>
        <v>63984</v>
      </c>
      <c r="G31" s="174">
        <f t="shared" si="3"/>
        <v>521369</v>
      </c>
      <c r="H31" s="172">
        <f t="shared" si="13"/>
        <v>23994</v>
      </c>
      <c r="I31" s="173">
        <f t="shared" si="4"/>
        <v>327918</v>
      </c>
      <c r="J31" s="173">
        <f t="shared" si="5"/>
        <v>79980</v>
      </c>
      <c r="K31" s="173">
        <f t="shared" si="6"/>
        <v>59985</v>
      </c>
      <c r="L31" s="174">
        <f t="shared" si="7"/>
        <v>491877</v>
      </c>
      <c r="M31" s="172">
        <v>11997</v>
      </c>
      <c r="N31" s="173"/>
      <c r="O31" s="173"/>
      <c r="P31" s="173"/>
      <c r="Q31" s="174">
        <v>11997</v>
      </c>
      <c r="R31" s="172">
        <v>11997</v>
      </c>
      <c r="S31" s="173"/>
      <c r="T31" s="173"/>
      <c r="U31" s="173"/>
      <c r="V31" s="174">
        <v>11997</v>
      </c>
      <c r="W31" s="172"/>
      <c r="X31" s="173"/>
      <c r="Y31" s="173"/>
      <c r="Z31" s="173"/>
      <c r="AA31" s="174"/>
      <c r="AB31" s="172"/>
      <c r="AC31" s="173"/>
      <c r="AD31" s="173"/>
      <c r="AE31" s="173"/>
      <c r="AF31" s="174"/>
      <c r="AG31" s="172"/>
      <c r="AH31" s="173">
        <v>327918</v>
      </c>
      <c r="AI31" s="173">
        <v>79980</v>
      </c>
      <c r="AJ31" s="173"/>
      <c r="AK31" s="174">
        <v>407898</v>
      </c>
      <c r="AL31" s="172"/>
      <c r="AM31" s="173"/>
      <c r="AN31" s="173"/>
      <c r="AO31" s="173"/>
      <c r="AP31" s="174"/>
      <c r="AQ31" s="172"/>
      <c r="AR31" s="173"/>
      <c r="AS31" s="173"/>
      <c r="AT31" s="173">
        <v>59985</v>
      </c>
      <c r="AU31" s="174">
        <v>59985</v>
      </c>
      <c r="AV31" s="172"/>
      <c r="AW31" s="173"/>
      <c r="AX31" s="173"/>
      <c r="AY31" s="173"/>
      <c r="AZ31" s="174"/>
      <c r="BA31" s="172"/>
      <c r="BB31" s="173"/>
      <c r="BC31" s="173"/>
      <c r="BD31" s="173"/>
      <c r="BE31" s="174"/>
      <c r="BF31" s="172">
        <f t="shared" si="14"/>
        <v>0</v>
      </c>
      <c r="BG31" s="173">
        <f t="shared" si="8"/>
        <v>13496</v>
      </c>
      <c r="BH31" s="173">
        <f t="shared" si="9"/>
        <v>11997</v>
      </c>
      <c r="BI31" s="173">
        <f t="shared" si="10"/>
        <v>3999</v>
      </c>
      <c r="BJ31" s="174">
        <f t="shared" si="11"/>
        <v>29492</v>
      </c>
      <c r="BK31" s="172"/>
      <c r="BL31" s="173"/>
      <c r="BM31" s="173"/>
      <c r="BN31" s="173"/>
      <c r="BO31" s="174"/>
      <c r="BP31" s="172"/>
      <c r="BQ31" s="173">
        <v>5498</v>
      </c>
      <c r="BR31" s="173">
        <v>3999</v>
      </c>
      <c r="BS31" s="173">
        <v>3999</v>
      </c>
      <c r="BT31" s="174">
        <v>13496</v>
      </c>
      <c r="BU31" s="172"/>
      <c r="BV31" s="173">
        <v>7998</v>
      </c>
      <c r="BW31" s="173">
        <v>7998</v>
      </c>
      <c r="BX31" s="173"/>
      <c r="BY31" s="174">
        <v>15996</v>
      </c>
      <c r="BZ31" s="172"/>
      <c r="CA31" s="173"/>
      <c r="CB31" s="173"/>
      <c r="CC31" s="173"/>
      <c r="CD31" s="174"/>
      <c r="CE31" s="172"/>
      <c r="CF31" s="173"/>
      <c r="CG31" s="173"/>
      <c r="CH31" s="173"/>
      <c r="CI31" s="174"/>
    </row>
    <row r="32" spans="1:87">
      <c r="A32" s="170"/>
      <c r="B32" s="171" t="s">
        <v>41</v>
      </c>
      <c r="C32" s="172">
        <f t="shared" si="12"/>
        <v>510947</v>
      </c>
      <c r="D32" s="173">
        <f t="shared" si="0"/>
        <v>396538</v>
      </c>
      <c r="E32" s="173">
        <f t="shared" si="1"/>
        <v>167121</v>
      </c>
      <c r="F32" s="173">
        <f t="shared" si="2"/>
        <v>97038</v>
      </c>
      <c r="G32" s="174">
        <f t="shared" si="3"/>
        <v>1171644</v>
      </c>
      <c r="H32" s="172">
        <f t="shared" si="13"/>
        <v>494175</v>
      </c>
      <c r="I32" s="173">
        <f t="shared" si="4"/>
        <v>370781</v>
      </c>
      <c r="J32" s="173">
        <f t="shared" si="5"/>
        <v>129983</v>
      </c>
      <c r="K32" s="173">
        <f t="shared" si="6"/>
        <v>81464</v>
      </c>
      <c r="L32" s="174">
        <f t="shared" si="7"/>
        <v>1076403</v>
      </c>
      <c r="M32" s="172">
        <v>34143</v>
      </c>
      <c r="N32" s="173">
        <v>56905</v>
      </c>
      <c r="O32" s="173">
        <v>26356</v>
      </c>
      <c r="P32" s="173">
        <v>25757</v>
      </c>
      <c r="Q32" s="174">
        <v>143161</v>
      </c>
      <c r="R32" s="172">
        <v>7787</v>
      </c>
      <c r="S32" s="173">
        <v>17371</v>
      </c>
      <c r="T32" s="173">
        <v>1198</v>
      </c>
      <c r="U32" s="173"/>
      <c r="V32" s="174">
        <v>26356</v>
      </c>
      <c r="W32" s="172">
        <v>11980</v>
      </c>
      <c r="X32" s="173"/>
      <c r="Y32" s="173"/>
      <c r="Z32" s="173"/>
      <c r="AA32" s="174">
        <v>11980</v>
      </c>
      <c r="AB32" s="172"/>
      <c r="AC32" s="173">
        <v>131181</v>
      </c>
      <c r="AD32" s="173"/>
      <c r="AE32" s="173">
        <v>599</v>
      </c>
      <c r="AF32" s="174">
        <v>131780</v>
      </c>
      <c r="AG32" s="172">
        <v>338435</v>
      </c>
      <c r="AH32" s="173">
        <v>88053</v>
      </c>
      <c r="AI32" s="173">
        <v>58702</v>
      </c>
      <c r="AJ32" s="173">
        <v>44925</v>
      </c>
      <c r="AK32" s="174">
        <v>530115</v>
      </c>
      <c r="AL32" s="172">
        <v>10782</v>
      </c>
      <c r="AM32" s="173">
        <v>8985</v>
      </c>
      <c r="AN32" s="173">
        <v>6589</v>
      </c>
      <c r="AO32" s="173"/>
      <c r="AP32" s="174">
        <v>26356</v>
      </c>
      <c r="AQ32" s="172">
        <v>28752</v>
      </c>
      <c r="AR32" s="173">
        <v>10782</v>
      </c>
      <c r="AS32" s="173">
        <v>11381</v>
      </c>
      <c r="AT32" s="173"/>
      <c r="AU32" s="174">
        <v>50915</v>
      </c>
      <c r="AV32" s="172">
        <v>8985</v>
      </c>
      <c r="AW32" s="173">
        <v>13777</v>
      </c>
      <c r="AX32" s="173">
        <v>4193</v>
      </c>
      <c r="AY32" s="173"/>
      <c r="AZ32" s="174">
        <v>26955</v>
      </c>
      <c r="BA32" s="172">
        <v>53311</v>
      </c>
      <c r="BB32" s="173">
        <v>43727</v>
      </c>
      <c r="BC32" s="173">
        <v>21564</v>
      </c>
      <c r="BD32" s="173">
        <v>10183</v>
      </c>
      <c r="BE32" s="174">
        <v>128785</v>
      </c>
      <c r="BF32" s="172">
        <f t="shared" si="14"/>
        <v>16772</v>
      </c>
      <c r="BG32" s="173">
        <f t="shared" si="8"/>
        <v>25757</v>
      </c>
      <c r="BH32" s="173">
        <f t="shared" si="9"/>
        <v>37138</v>
      </c>
      <c r="BI32" s="173">
        <f t="shared" si="10"/>
        <v>15574</v>
      </c>
      <c r="BJ32" s="174">
        <f t="shared" si="11"/>
        <v>95241</v>
      </c>
      <c r="BK32" s="172">
        <v>7787</v>
      </c>
      <c r="BL32" s="173"/>
      <c r="BM32" s="173"/>
      <c r="BN32" s="173"/>
      <c r="BO32" s="174">
        <v>7787</v>
      </c>
      <c r="BP32" s="172"/>
      <c r="BQ32" s="173">
        <v>20366</v>
      </c>
      <c r="BR32" s="173">
        <v>16772</v>
      </c>
      <c r="BS32" s="173">
        <v>9584</v>
      </c>
      <c r="BT32" s="174">
        <v>46722</v>
      </c>
      <c r="BU32" s="172"/>
      <c r="BV32" s="173"/>
      <c r="BW32" s="173">
        <v>20366</v>
      </c>
      <c r="BX32" s="173">
        <v>5990</v>
      </c>
      <c r="BY32" s="174">
        <v>26356</v>
      </c>
      <c r="BZ32" s="172">
        <v>8985</v>
      </c>
      <c r="CA32" s="173">
        <v>5391</v>
      </c>
      <c r="CB32" s="173"/>
      <c r="CC32" s="173"/>
      <c r="CD32" s="174">
        <v>14376</v>
      </c>
      <c r="CE32" s="172"/>
      <c r="CF32" s="173"/>
      <c r="CG32" s="173"/>
      <c r="CH32" s="173"/>
      <c r="CI32" s="174"/>
    </row>
    <row r="33" s="147" customFormat="1" ht="14.6" spans="1:87">
      <c r="A33" s="175" t="s">
        <v>42</v>
      </c>
      <c r="B33" s="176"/>
      <c r="C33" s="177">
        <f t="shared" si="12"/>
        <v>14186782</v>
      </c>
      <c r="D33" s="178">
        <f t="shared" si="0"/>
        <v>14574785</v>
      </c>
      <c r="E33" s="178">
        <f t="shared" si="1"/>
        <v>12560583</v>
      </c>
      <c r="F33" s="178">
        <f t="shared" si="2"/>
        <v>21001852</v>
      </c>
      <c r="G33" s="179">
        <f t="shared" si="3"/>
        <v>62324002</v>
      </c>
      <c r="H33" s="177">
        <f t="shared" si="13"/>
        <v>12479926</v>
      </c>
      <c r="I33" s="178">
        <f t="shared" si="4"/>
        <v>12762578</v>
      </c>
      <c r="J33" s="178">
        <f t="shared" si="5"/>
        <v>10656292</v>
      </c>
      <c r="K33" s="178">
        <f t="shared" si="6"/>
        <v>18476170</v>
      </c>
      <c r="L33" s="179">
        <f t="shared" si="7"/>
        <v>54374966</v>
      </c>
      <c r="M33" s="177">
        <v>1699198</v>
      </c>
      <c r="N33" s="178">
        <v>1650537</v>
      </c>
      <c r="O33" s="178">
        <v>1569949</v>
      </c>
      <c r="P33" s="178">
        <v>1660274</v>
      </c>
      <c r="Q33" s="179">
        <v>6579958</v>
      </c>
      <c r="R33" s="177">
        <v>753950</v>
      </c>
      <c r="S33" s="178">
        <v>649367</v>
      </c>
      <c r="T33" s="178">
        <v>644108</v>
      </c>
      <c r="U33" s="178">
        <v>1480882</v>
      </c>
      <c r="V33" s="179">
        <v>3528307</v>
      </c>
      <c r="W33" s="177">
        <v>2037776</v>
      </c>
      <c r="X33" s="178">
        <v>1895489</v>
      </c>
      <c r="Y33" s="178">
        <v>1722666</v>
      </c>
      <c r="Z33" s="178">
        <v>2402193</v>
      </c>
      <c r="AA33" s="179">
        <v>8058124</v>
      </c>
      <c r="AB33" s="177">
        <v>299439</v>
      </c>
      <c r="AC33" s="178">
        <v>979305</v>
      </c>
      <c r="AD33" s="178">
        <v>756422</v>
      </c>
      <c r="AE33" s="178">
        <v>1145051</v>
      </c>
      <c r="AF33" s="179">
        <v>3180217</v>
      </c>
      <c r="AG33" s="177">
        <v>4052671</v>
      </c>
      <c r="AH33" s="178">
        <v>3838137</v>
      </c>
      <c r="AI33" s="178">
        <v>2697092</v>
      </c>
      <c r="AJ33" s="178">
        <v>7406354</v>
      </c>
      <c r="AK33" s="179">
        <v>17994254</v>
      </c>
      <c r="AL33" s="177">
        <v>568024</v>
      </c>
      <c r="AM33" s="178">
        <v>764248</v>
      </c>
      <c r="AN33" s="178">
        <v>739562</v>
      </c>
      <c r="AO33" s="178">
        <v>1343399</v>
      </c>
      <c r="AP33" s="179">
        <v>3415233</v>
      </c>
      <c r="AQ33" s="177">
        <v>1338893</v>
      </c>
      <c r="AR33" s="178">
        <v>1131901</v>
      </c>
      <c r="AS33" s="178">
        <v>1203867</v>
      </c>
      <c r="AT33" s="178">
        <v>2108143</v>
      </c>
      <c r="AU33" s="179">
        <v>5782804</v>
      </c>
      <c r="AV33" s="177">
        <v>192305</v>
      </c>
      <c r="AW33" s="178">
        <v>171274</v>
      </c>
      <c r="AX33" s="178">
        <v>92500</v>
      </c>
      <c r="AY33" s="178">
        <v>91091</v>
      </c>
      <c r="AZ33" s="179">
        <v>547170</v>
      </c>
      <c r="BA33" s="177">
        <v>1537670</v>
      </c>
      <c r="BB33" s="178">
        <v>1682320</v>
      </c>
      <c r="BC33" s="178">
        <v>1230126</v>
      </c>
      <c r="BD33" s="178">
        <v>838783</v>
      </c>
      <c r="BE33" s="179">
        <v>5288899</v>
      </c>
      <c r="BF33" s="177">
        <f t="shared" si="14"/>
        <v>1706856</v>
      </c>
      <c r="BG33" s="178">
        <f t="shared" si="8"/>
        <v>1812207</v>
      </c>
      <c r="BH33" s="178">
        <f t="shared" si="9"/>
        <v>1904291</v>
      </c>
      <c r="BI33" s="178">
        <f t="shared" si="10"/>
        <v>2525682</v>
      </c>
      <c r="BJ33" s="179">
        <f t="shared" si="11"/>
        <v>7949036</v>
      </c>
      <c r="BK33" s="177">
        <v>142124</v>
      </c>
      <c r="BL33" s="178">
        <v>133329</v>
      </c>
      <c r="BM33" s="178">
        <v>139673</v>
      </c>
      <c r="BN33" s="178">
        <v>131092</v>
      </c>
      <c r="BO33" s="179">
        <v>546218</v>
      </c>
      <c r="BP33" s="177">
        <v>623429</v>
      </c>
      <c r="BQ33" s="178">
        <v>719213</v>
      </c>
      <c r="BR33" s="178">
        <v>570704</v>
      </c>
      <c r="BS33" s="178">
        <v>817943</v>
      </c>
      <c r="BT33" s="179">
        <v>2731289</v>
      </c>
      <c r="BU33" s="177">
        <v>676865</v>
      </c>
      <c r="BV33" s="178">
        <v>628774</v>
      </c>
      <c r="BW33" s="178">
        <v>878670</v>
      </c>
      <c r="BX33" s="178">
        <v>1198599</v>
      </c>
      <c r="BY33" s="179">
        <v>3382908</v>
      </c>
      <c r="BZ33" s="177">
        <v>192552</v>
      </c>
      <c r="CA33" s="178">
        <v>185806</v>
      </c>
      <c r="CB33" s="178">
        <v>163773</v>
      </c>
      <c r="CC33" s="178">
        <v>202753</v>
      </c>
      <c r="CD33" s="179">
        <v>744884</v>
      </c>
      <c r="CE33" s="177">
        <v>71886</v>
      </c>
      <c r="CF33" s="178">
        <v>145085</v>
      </c>
      <c r="CG33" s="178">
        <v>151471</v>
      </c>
      <c r="CH33" s="178">
        <v>175295</v>
      </c>
      <c r="CI33" s="179">
        <v>543737</v>
      </c>
    </row>
    <row r="34" spans="1:87">
      <c r="A34" s="170" t="s">
        <v>43</v>
      </c>
      <c r="B34" s="171" t="s">
        <v>26</v>
      </c>
      <c r="C34" s="172">
        <f t="shared" si="12"/>
        <v>8647080</v>
      </c>
      <c r="D34" s="173">
        <f t="shared" si="0"/>
        <v>8746746</v>
      </c>
      <c r="E34" s="173">
        <f t="shared" si="1"/>
        <v>9198016</v>
      </c>
      <c r="F34" s="173">
        <f t="shared" si="2"/>
        <v>8351910</v>
      </c>
      <c r="G34" s="174">
        <f t="shared" si="3"/>
        <v>34943752</v>
      </c>
      <c r="H34" s="172">
        <f t="shared" si="13"/>
        <v>6923725</v>
      </c>
      <c r="I34" s="173">
        <f t="shared" si="4"/>
        <v>6838217</v>
      </c>
      <c r="J34" s="173">
        <f t="shared" si="5"/>
        <v>7310429</v>
      </c>
      <c r="K34" s="173">
        <f t="shared" si="6"/>
        <v>6722538</v>
      </c>
      <c r="L34" s="174">
        <f t="shared" si="7"/>
        <v>27794909</v>
      </c>
      <c r="M34" s="172">
        <v>1743467</v>
      </c>
      <c r="N34" s="173">
        <v>1581449</v>
      </c>
      <c r="O34" s="173">
        <v>1531807</v>
      </c>
      <c r="P34" s="173">
        <v>1609425</v>
      </c>
      <c r="Q34" s="174">
        <v>6466148</v>
      </c>
      <c r="R34" s="172">
        <v>1154077</v>
      </c>
      <c r="S34" s="173">
        <v>1091386</v>
      </c>
      <c r="T34" s="173">
        <v>1192110</v>
      </c>
      <c r="U34" s="173">
        <v>968057</v>
      </c>
      <c r="V34" s="174">
        <v>4405630</v>
      </c>
      <c r="W34" s="172">
        <v>328536</v>
      </c>
      <c r="X34" s="173">
        <v>347004</v>
      </c>
      <c r="Y34" s="173">
        <v>449241</v>
      </c>
      <c r="Z34" s="173">
        <v>367139</v>
      </c>
      <c r="AA34" s="174">
        <v>1491920</v>
      </c>
      <c r="AB34" s="172">
        <v>607993</v>
      </c>
      <c r="AC34" s="173">
        <v>993039</v>
      </c>
      <c r="AD34" s="173">
        <v>865998</v>
      </c>
      <c r="AE34" s="173">
        <v>813688</v>
      </c>
      <c r="AF34" s="174">
        <v>3280718</v>
      </c>
      <c r="AG34" s="172">
        <v>1631063</v>
      </c>
      <c r="AH34" s="173">
        <v>1364656</v>
      </c>
      <c r="AI34" s="173">
        <v>1492651</v>
      </c>
      <c r="AJ34" s="173">
        <v>1420798</v>
      </c>
      <c r="AK34" s="174">
        <v>5909168</v>
      </c>
      <c r="AL34" s="172">
        <v>144169</v>
      </c>
      <c r="AM34" s="173">
        <v>200886</v>
      </c>
      <c r="AN34" s="173">
        <v>168372</v>
      </c>
      <c r="AO34" s="173">
        <v>158347</v>
      </c>
      <c r="AP34" s="174">
        <v>671774</v>
      </c>
      <c r="AQ34" s="172">
        <v>625818</v>
      </c>
      <c r="AR34" s="173">
        <v>556495</v>
      </c>
      <c r="AS34" s="173">
        <v>607922</v>
      </c>
      <c r="AT34" s="173">
        <v>532648</v>
      </c>
      <c r="AU34" s="174">
        <v>2322883</v>
      </c>
      <c r="AV34" s="172">
        <v>105972</v>
      </c>
      <c r="AW34" s="173">
        <v>89984</v>
      </c>
      <c r="AX34" s="173">
        <v>125419</v>
      </c>
      <c r="AY34" s="173">
        <v>97408</v>
      </c>
      <c r="AZ34" s="174">
        <v>418783</v>
      </c>
      <c r="BA34" s="172">
        <v>582630</v>
      </c>
      <c r="BB34" s="173">
        <v>613318</v>
      </c>
      <c r="BC34" s="173">
        <v>876909</v>
      </c>
      <c r="BD34" s="173">
        <v>755028</v>
      </c>
      <c r="BE34" s="174">
        <v>2827885</v>
      </c>
      <c r="BF34" s="172">
        <f t="shared" si="14"/>
        <v>1723355</v>
      </c>
      <c r="BG34" s="173">
        <f t="shared" si="8"/>
        <v>1908529</v>
      </c>
      <c r="BH34" s="173">
        <f t="shared" si="9"/>
        <v>1887587</v>
      </c>
      <c r="BI34" s="173">
        <f t="shared" si="10"/>
        <v>1629372</v>
      </c>
      <c r="BJ34" s="174">
        <f t="shared" si="11"/>
        <v>7148843</v>
      </c>
      <c r="BK34" s="172">
        <v>78469</v>
      </c>
      <c r="BL34" s="173">
        <v>67179</v>
      </c>
      <c r="BM34" s="173">
        <v>87405</v>
      </c>
      <c r="BN34" s="173">
        <v>51029</v>
      </c>
      <c r="BO34" s="174">
        <v>284082</v>
      </c>
      <c r="BP34" s="172">
        <v>1148686</v>
      </c>
      <c r="BQ34" s="173">
        <v>1259419</v>
      </c>
      <c r="BR34" s="173">
        <v>1114276</v>
      </c>
      <c r="BS34" s="173">
        <v>838214</v>
      </c>
      <c r="BT34" s="174">
        <v>4360595</v>
      </c>
      <c r="BU34" s="172">
        <v>377746</v>
      </c>
      <c r="BV34" s="173">
        <v>449114</v>
      </c>
      <c r="BW34" s="173">
        <v>577539</v>
      </c>
      <c r="BX34" s="173">
        <v>612187</v>
      </c>
      <c r="BY34" s="174">
        <v>2016586</v>
      </c>
      <c r="BZ34" s="172">
        <v>85145</v>
      </c>
      <c r="CA34" s="173">
        <v>76131</v>
      </c>
      <c r="CB34" s="173">
        <v>86839</v>
      </c>
      <c r="CC34" s="173">
        <v>100679</v>
      </c>
      <c r="CD34" s="174">
        <v>348794</v>
      </c>
      <c r="CE34" s="172">
        <v>33309</v>
      </c>
      <c r="CF34" s="173">
        <v>56686</v>
      </c>
      <c r="CG34" s="173">
        <v>21528</v>
      </c>
      <c r="CH34" s="173">
        <v>27263</v>
      </c>
      <c r="CI34" s="174">
        <v>138786</v>
      </c>
    </row>
    <row r="35" spans="1:87">
      <c r="A35" s="170"/>
      <c r="B35" s="171" t="s">
        <v>28</v>
      </c>
      <c r="C35" s="172">
        <f t="shared" si="12"/>
        <v>0</v>
      </c>
      <c r="D35" s="173">
        <f t="shared" si="0"/>
        <v>291753</v>
      </c>
      <c r="E35" s="173">
        <f t="shared" si="1"/>
        <v>3197106</v>
      </c>
      <c r="F35" s="173">
        <f t="shared" si="2"/>
        <v>4505886</v>
      </c>
      <c r="G35" s="174">
        <f t="shared" si="3"/>
        <v>7994745</v>
      </c>
      <c r="H35" s="172">
        <f t="shared" si="13"/>
        <v>0</v>
      </c>
      <c r="I35" s="173">
        <f t="shared" si="4"/>
        <v>291753</v>
      </c>
      <c r="J35" s="173">
        <f t="shared" si="5"/>
        <v>2972772</v>
      </c>
      <c r="K35" s="173">
        <f t="shared" si="6"/>
        <v>4197501</v>
      </c>
      <c r="L35" s="174">
        <f t="shared" si="7"/>
        <v>7462026</v>
      </c>
      <c r="M35" s="172"/>
      <c r="N35" s="173"/>
      <c r="O35" s="173">
        <v>190377</v>
      </c>
      <c r="P35" s="173">
        <v>1026531</v>
      </c>
      <c r="Q35" s="174">
        <v>1216908</v>
      </c>
      <c r="R35" s="172"/>
      <c r="S35" s="173">
        <v>100386</v>
      </c>
      <c r="T35" s="173">
        <v>307989</v>
      </c>
      <c r="U35" s="173">
        <v>529551</v>
      </c>
      <c r="V35" s="174">
        <v>937926</v>
      </c>
      <c r="W35" s="172"/>
      <c r="X35" s="173"/>
      <c r="Y35" s="173">
        <v>286902</v>
      </c>
      <c r="Z35" s="173">
        <v>488268</v>
      </c>
      <c r="AA35" s="174">
        <v>775170</v>
      </c>
      <c r="AB35" s="172"/>
      <c r="AC35" s="173">
        <v>80586</v>
      </c>
      <c r="AD35" s="173">
        <v>151272</v>
      </c>
      <c r="AE35" s="173">
        <v>418671</v>
      </c>
      <c r="AF35" s="174">
        <v>650529</v>
      </c>
      <c r="AG35" s="172"/>
      <c r="AH35" s="173">
        <v>93753</v>
      </c>
      <c r="AI35" s="173">
        <v>1052568</v>
      </c>
      <c r="AJ35" s="173">
        <v>1188990</v>
      </c>
      <c r="AK35" s="174">
        <v>2335311</v>
      </c>
      <c r="AL35" s="172"/>
      <c r="AM35" s="173">
        <v>17028</v>
      </c>
      <c r="AN35" s="173">
        <v>22275</v>
      </c>
      <c r="AO35" s="173">
        <v>57321</v>
      </c>
      <c r="AP35" s="174">
        <v>96624</v>
      </c>
      <c r="AQ35" s="172"/>
      <c r="AR35" s="173"/>
      <c r="AS35" s="173">
        <v>437283</v>
      </c>
      <c r="AT35" s="173">
        <v>244926</v>
      </c>
      <c r="AU35" s="174">
        <v>682209</v>
      </c>
      <c r="AV35" s="172"/>
      <c r="AW35" s="173"/>
      <c r="AX35" s="173"/>
      <c r="AY35" s="173">
        <v>61281</v>
      </c>
      <c r="AZ35" s="174">
        <v>61281</v>
      </c>
      <c r="BA35" s="172"/>
      <c r="BB35" s="173"/>
      <c r="BC35" s="173">
        <v>524106</v>
      </c>
      <c r="BD35" s="173">
        <v>181962</v>
      </c>
      <c r="BE35" s="174">
        <v>706068</v>
      </c>
      <c r="BF35" s="172">
        <f t="shared" si="14"/>
        <v>0</v>
      </c>
      <c r="BG35" s="173">
        <f t="shared" si="8"/>
        <v>0</v>
      </c>
      <c r="BH35" s="173">
        <f t="shared" si="9"/>
        <v>224334</v>
      </c>
      <c r="BI35" s="173">
        <f t="shared" si="10"/>
        <v>308385</v>
      </c>
      <c r="BJ35" s="174">
        <f t="shared" si="11"/>
        <v>532719</v>
      </c>
      <c r="BK35" s="172"/>
      <c r="BL35" s="173"/>
      <c r="BM35" s="173">
        <v>46332</v>
      </c>
      <c r="BN35" s="173">
        <v>62766</v>
      </c>
      <c r="BO35" s="174">
        <v>109098</v>
      </c>
      <c r="BP35" s="172"/>
      <c r="BQ35" s="173"/>
      <c r="BR35" s="173">
        <v>94743</v>
      </c>
      <c r="BS35" s="173">
        <v>84645</v>
      </c>
      <c r="BT35" s="174">
        <v>179388</v>
      </c>
      <c r="BU35" s="172"/>
      <c r="BV35" s="173"/>
      <c r="BW35" s="173">
        <v>18117</v>
      </c>
      <c r="BX35" s="173">
        <v>119196</v>
      </c>
      <c r="BY35" s="174">
        <v>137313</v>
      </c>
      <c r="BZ35" s="172"/>
      <c r="CA35" s="173"/>
      <c r="CB35" s="173">
        <v>53361</v>
      </c>
      <c r="CC35" s="173">
        <v>41778</v>
      </c>
      <c r="CD35" s="174">
        <v>95139</v>
      </c>
      <c r="CE35" s="172"/>
      <c r="CF35" s="173"/>
      <c r="CG35" s="173">
        <v>11781</v>
      </c>
      <c r="CH35" s="173"/>
      <c r="CI35" s="174">
        <v>11781</v>
      </c>
    </row>
    <row r="36" s="147" customFormat="1" ht="14.6" spans="1:87">
      <c r="A36" s="175" t="s">
        <v>44</v>
      </c>
      <c r="B36" s="176"/>
      <c r="C36" s="177">
        <f t="shared" si="12"/>
        <v>8647080</v>
      </c>
      <c r="D36" s="178">
        <f t="shared" si="0"/>
        <v>9038499</v>
      </c>
      <c r="E36" s="178">
        <f t="shared" si="1"/>
        <v>12395122</v>
      </c>
      <c r="F36" s="178">
        <f t="shared" si="2"/>
        <v>12857796</v>
      </c>
      <c r="G36" s="179">
        <f t="shared" si="3"/>
        <v>42938497</v>
      </c>
      <c r="H36" s="177">
        <f t="shared" si="13"/>
        <v>6923725</v>
      </c>
      <c r="I36" s="178">
        <f t="shared" si="4"/>
        <v>7129970</v>
      </c>
      <c r="J36" s="178">
        <f t="shared" si="5"/>
        <v>10283201</v>
      </c>
      <c r="K36" s="178">
        <f t="shared" si="6"/>
        <v>10920039</v>
      </c>
      <c r="L36" s="179">
        <f t="shared" si="7"/>
        <v>35256935</v>
      </c>
      <c r="M36" s="177">
        <v>1743467</v>
      </c>
      <c r="N36" s="178">
        <v>1581449</v>
      </c>
      <c r="O36" s="178">
        <v>1722184</v>
      </c>
      <c r="P36" s="178">
        <v>2635956</v>
      </c>
      <c r="Q36" s="179">
        <v>7683056</v>
      </c>
      <c r="R36" s="177">
        <v>1154077</v>
      </c>
      <c r="S36" s="178">
        <v>1191772</v>
      </c>
      <c r="T36" s="178">
        <v>1500099</v>
      </c>
      <c r="U36" s="178">
        <v>1497608</v>
      </c>
      <c r="V36" s="179">
        <v>5343556</v>
      </c>
      <c r="W36" s="177">
        <v>328536</v>
      </c>
      <c r="X36" s="178">
        <v>347004</v>
      </c>
      <c r="Y36" s="178">
        <v>736143</v>
      </c>
      <c r="Z36" s="178">
        <v>855407</v>
      </c>
      <c r="AA36" s="179">
        <v>2267090</v>
      </c>
      <c r="AB36" s="177">
        <v>607993</v>
      </c>
      <c r="AC36" s="178">
        <v>1073625</v>
      </c>
      <c r="AD36" s="178">
        <v>1017270</v>
      </c>
      <c r="AE36" s="178">
        <v>1232359</v>
      </c>
      <c r="AF36" s="179">
        <v>3931247</v>
      </c>
      <c r="AG36" s="177">
        <v>1631063</v>
      </c>
      <c r="AH36" s="178">
        <v>1458409</v>
      </c>
      <c r="AI36" s="178">
        <v>2545219</v>
      </c>
      <c r="AJ36" s="178">
        <v>2609788</v>
      </c>
      <c r="AK36" s="179">
        <v>8244479</v>
      </c>
      <c r="AL36" s="177">
        <v>144169</v>
      </c>
      <c r="AM36" s="178">
        <v>217914</v>
      </c>
      <c r="AN36" s="178">
        <v>190647</v>
      </c>
      <c r="AO36" s="178">
        <v>215668</v>
      </c>
      <c r="AP36" s="179">
        <v>768398</v>
      </c>
      <c r="AQ36" s="177">
        <v>625818</v>
      </c>
      <c r="AR36" s="178">
        <v>556495</v>
      </c>
      <c r="AS36" s="178">
        <v>1045205</v>
      </c>
      <c r="AT36" s="178">
        <v>777574</v>
      </c>
      <c r="AU36" s="179">
        <v>3005092</v>
      </c>
      <c r="AV36" s="177">
        <v>105972</v>
      </c>
      <c r="AW36" s="178">
        <v>89984</v>
      </c>
      <c r="AX36" s="178">
        <v>125419</v>
      </c>
      <c r="AY36" s="178">
        <v>158689</v>
      </c>
      <c r="AZ36" s="179">
        <v>480064</v>
      </c>
      <c r="BA36" s="177">
        <v>582630</v>
      </c>
      <c r="BB36" s="178">
        <v>613318</v>
      </c>
      <c r="BC36" s="178">
        <v>1401015</v>
      </c>
      <c r="BD36" s="178">
        <v>936990</v>
      </c>
      <c r="BE36" s="179">
        <v>3533953</v>
      </c>
      <c r="BF36" s="177">
        <f t="shared" si="14"/>
        <v>1723355</v>
      </c>
      <c r="BG36" s="178">
        <f t="shared" si="8"/>
        <v>1908529</v>
      </c>
      <c r="BH36" s="178">
        <f t="shared" si="9"/>
        <v>2111921</v>
      </c>
      <c r="BI36" s="178">
        <f t="shared" si="10"/>
        <v>1937757</v>
      </c>
      <c r="BJ36" s="179">
        <f t="shared" si="11"/>
        <v>7681562</v>
      </c>
      <c r="BK36" s="177">
        <v>78469</v>
      </c>
      <c r="BL36" s="178">
        <v>67179</v>
      </c>
      <c r="BM36" s="178">
        <v>133737</v>
      </c>
      <c r="BN36" s="178">
        <v>113795</v>
      </c>
      <c r="BO36" s="179">
        <v>393180</v>
      </c>
      <c r="BP36" s="177">
        <v>1148686</v>
      </c>
      <c r="BQ36" s="178">
        <v>1259419</v>
      </c>
      <c r="BR36" s="178">
        <v>1209019</v>
      </c>
      <c r="BS36" s="178">
        <v>922859</v>
      </c>
      <c r="BT36" s="179">
        <v>4539983</v>
      </c>
      <c r="BU36" s="177">
        <v>377746</v>
      </c>
      <c r="BV36" s="178">
        <v>449114</v>
      </c>
      <c r="BW36" s="178">
        <v>595656</v>
      </c>
      <c r="BX36" s="178">
        <v>731383</v>
      </c>
      <c r="BY36" s="179">
        <v>2153899</v>
      </c>
      <c r="BZ36" s="177">
        <v>85145</v>
      </c>
      <c r="CA36" s="178">
        <v>76131</v>
      </c>
      <c r="CB36" s="178">
        <v>140200</v>
      </c>
      <c r="CC36" s="178">
        <v>142457</v>
      </c>
      <c r="CD36" s="179">
        <v>443933</v>
      </c>
      <c r="CE36" s="177">
        <v>33309</v>
      </c>
      <c r="CF36" s="178">
        <v>56686</v>
      </c>
      <c r="CG36" s="178">
        <v>33309</v>
      </c>
      <c r="CH36" s="178">
        <v>27263</v>
      </c>
      <c r="CI36" s="179">
        <v>150567</v>
      </c>
    </row>
    <row r="37" spans="1:87">
      <c r="A37" s="170" t="s">
        <v>45</v>
      </c>
      <c r="B37" s="171" t="s">
        <v>26</v>
      </c>
      <c r="C37" s="172">
        <f t="shared" si="12"/>
        <v>3952268</v>
      </c>
      <c r="D37" s="173">
        <f t="shared" si="0"/>
        <v>4787469</v>
      </c>
      <c r="E37" s="173">
        <f t="shared" si="1"/>
        <v>4716414</v>
      </c>
      <c r="F37" s="173">
        <f t="shared" si="2"/>
        <v>3681482</v>
      </c>
      <c r="G37" s="174">
        <f t="shared" si="3"/>
        <v>17137633</v>
      </c>
      <c r="H37" s="172">
        <f t="shared" si="13"/>
        <v>3872293</v>
      </c>
      <c r="I37" s="173">
        <f t="shared" si="4"/>
        <v>4705212</v>
      </c>
      <c r="J37" s="173">
        <f t="shared" si="5"/>
        <v>4511949</v>
      </c>
      <c r="K37" s="173">
        <f t="shared" si="6"/>
        <v>3390158</v>
      </c>
      <c r="L37" s="174">
        <f t="shared" si="7"/>
        <v>16479612</v>
      </c>
      <c r="M37" s="172">
        <v>320516</v>
      </c>
      <c r="N37" s="173">
        <v>413104</v>
      </c>
      <c r="O37" s="173">
        <v>525888</v>
      </c>
      <c r="P37" s="173">
        <v>361698</v>
      </c>
      <c r="Q37" s="174">
        <v>1621206</v>
      </c>
      <c r="R37" s="172">
        <v>365193</v>
      </c>
      <c r="S37" s="173">
        <v>204734</v>
      </c>
      <c r="T37" s="173">
        <v>404988</v>
      </c>
      <c r="U37" s="173">
        <v>431020</v>
      </c>
      <c r="V37" s="174">
        <v>1405935</v>
      </c>
      <c r="W37" s="172">
        <v>61545</v>
      </c>
      <c r="X37" s="173">
        <v>450816</v>
      </c>
      <c r="Y37" s="173">
        <v>386999</v>
      </c>
      <c r="Z37" s="173">
        <v>457515</v>
      </c>
      <c r="AA37" s="174">
        <v>1356875</v>
      </c>
      <c r="AB37" s="172">
        <v>123277</v>
      </c>
      <c r="AC37" s="173">
        <v>540088</v>
      </c>
      <c r="AD37" s="173">
        <v>825717</v>
      </c>
      <c r="AE37" s="173">
        <v>636138</v>
      </c>
      <c r="AF37" s="174">
        <v>2125220</v>
      </c>
      <c r="AG37" s="172">
        <v>2491310</v>
      </c>
      <c r="AH37" s="173">
        <v>1799721</v>
      </c>
      <c r="AI37" s="173">
        <v>1083579</v>
      </c>
      <c r="AJ37" s="173">
        <v>619661</v>
      </c>
      <c r="AK37" s="174">
        <v>5994271</v>
      </c>
      <c r="AL37" s="172">
        <v>14378</v>
      </c>
      <c r="AM37" s="173">
        <v>121027</v>
      </c>
      <c r="AN37" s="173">
        <v>97418</v>
      </c>
      <c r="AO37" s="173">
        <v>68287</v>
      </c>
      <c r="AP37" s="174">
        <v>301110</v>
      </c>
      <c r="AQ37" s="172">
        <v>314926</v>
      </c>
      <c r="AR37" s="173">
        <v>827184</v>
      </c>
      <c r="AS37" s="173">
        <v>860251</v>
      </c>
      <c r="AT37" s="173">
        <v>519645</v>
      </c>
      <c r="AU37" s="174">
        <v>2522006</v>
      </c>
      <c r="AV37" s="172">
        <v>10789</v>
      </c>
      <c r="AW37" s="173">
        <v>12749</v>
      </c>
      <c r="AX37" s="173">
        <v>24853</v>
      </c>
      <c r="AY37" s="173">
        <v>13647</v>
      </c>
      <c r="AZ37" s="174">
        <v>62038</v>
      </c>
      <c r="BA37" s="172">
        <v>170359</v>
      </c>
      <c r="BB37" s="173">
        <v>335789</v>
      </c>
      <c r="BC37" s="173">
        <v>302256</v>
      </c>
      <c r="BD37" s="173">
        <v>282547</v>
      </c>
      <c r="BE37" s="174">
        <v>1090951</v>
      </c>
      <c r="BF37" s="172">
        <f t="shared" si="14"/>
        <v>79975</v>
      </c>
      <c r="BG37" s="173">
        <f t="shared" si="8"/>
        <v>82257</v>
      </c>
      <c r="BH37" s="173">
        <f t="shared" si="9"/>
        <v>204465</v>
      </c>
      <c r="BI37" s="173">
        <f t="shared" si="10"/>
        <v>291324</v>
      </c>
      <c r="BJ37" s="174">
        <f t="shared" si="11"/>
        <v>658021</v>
      </c>
      <c r="BK37" s="172">
        <v>6040</v>
      </c>
      <c r="BL37" s="173">
        <v>7439</v>
      </c>
      <c r="BM37" s="173">
        <v>44098</v>
      </c>
      <c r="BN37" s="173">
        <v>28544</v>
      </c>
      <c r="BO37" s="174">
        <v>86121</v>
      </c>
      <c r="BP37" s="172">
        <v>29265</v>
      </c>
      <c r="BQ37" s="173">
        <v>27716</v>
      </c>
      <c r="BR37" s="173">
        <v>29633</v>
      </c>
      <c r="BS37" s="173">
        <v>93583</v>
      </c>
      <c r="BT37" s="174">
        <v>180197</v>
      </c>
      <c r="BU37" s="172">
        <v>24311</v>
      </c>
      <c r="BV37" s="173">
        <v>28993</v>
      </c>
      <c r="BW37" s="173">
        <v>118305</v>
      </c>
      <c r="BX37" s="173">
        <v>153631</v>
      </c>
      <c r="BY37" s="174">
        <v>325240</v>
      </c>
      <c r="BZ37" s="172">
        <v>5904</v>
      </c>
      <c r="CA37" s="173">
        <v>8994</v>
      </c>
      <c r="CB37" s="173">
        <v>6110</v>
      </c>
      <c r="CC37" s="173">
        <v>3818</v>
      </c>
      <c r="CD37" s="174">
        <v>24826</v>
      </c>
      <c r="CE37" s="172">
        <v>14455</v>
      </c>
      <c r="CF37" s="173">
        <v>9115</v>
      </c>
      <c r="CG37" s="173">
        <v>6319</v>
      </c>
      <c r="CH37" s="173">
        <v>11748</v>
      </c>
      <c r="CI37" s="174">
        <v>41637</v>
      </c>
    </row>
    <row r="38" spans="1:87">
      <c r="A38" s="170"/>
      <c r="B38" s="171" t="s">
        <v>27</v>
      </c>
      <c r="C38" s="172">
        <f t="shared" si="12"/>
        <v>2014912</v>
      </c>
      <c r="D38" s="173">
        <f t="shared" si="0"/>
        <v>1573275</v>
      </c>
      <c r="E38" s="173">
        <f t="shared" si="1"/>
        <v>935625</v>
      </c>
      <c r="F38" s="173">
        <f t="shared" si="2"/>
        <v>493342</v>
      </c>
      <c r="G38" s="174">
        <f t="shared" si="3"/>
        <v>5017154</v>
      </c>
      <c r="H38" s="172">
        <f t="shared" si="13"/>
        <v>1994890</v>
      </c>
      <c r="I38" s="173">
        <f t="shared" si="4"/>
        <v>1560263</v>
      </c>
      <c r="J38" s="173">
        <f t="shared" si="5"/>
        <v>858849</v>
      </c>
      <c r="K38" s="173">
        <f t="shared" si="6"/>
        <v>433987</v>
      </c>
      <c r="L38" s="174">
        <f t="shared" si="7"/>
        <v>4847989</v>
      </c>
      <c r="M38" s="172">
        <v>152758</v>
      </c>
      <c r="N38" s="173">
        <v>154074</v>
      </c>
      <c r="O38" s="173">
        <v>84478</v>
      </c>
      <c r="P38" s="173">
        <v>56904</v>
      </c>
      <c r="Q38" s="174">
        <v>448214</v>
      </c>
      <c r="R38" s="172">
        <v>124923</v>
      </c>
      <c r="S38" s="173">
        <v>38063</v>
      </c>
      <c r="T38" s="173">
        <v>31903</v>
      </c>
      <c r="U38" s="173">
        <v>10819</v>
      </c>
      <c r="V38" s="174">
        <v>205708</v>
      </c>
      <c r="W38" s="172">
        <v>120413</v>
      </c>
      <c r="X38" s="173">
        <v>414783</v>
      </c>
      <c r="Y38" s="173">
        <v>299504</v>
      </c>
      <c r="Z38" s="173">
        <v>56598</v>
      </c>
      <c r="AA38" s="174">
        <v>891298</v>
      </c>
      <c r="AB38" s="172">
        <v>58589</v>
      </c>
      <c r="AC38" s="173">
        <v>209672</v>
      </c>
      <c r="AD38" s="173">
        <v>16545</v>
      </c>
      <c r="AE38" s="173">
        <v>50821</v>
      </c>
      <c r="AF38" s="174">
        <v>335627</v>
      </c>
      <c r="AG38" s="172">
        <v>1256103</v>
      </c>
      <c r="AH38" s="173">
        <v>516643</v>
      </c>
      <c r="AI38" s="173">
        <v>204167</v>
      </c>
      <c r="AJ38" s="173">
        <v>132217</v>
      </c>
      <c r="AK38" s="174">
        <v>2109130</v>
      </c>
      <c r="AL38" s="172">
        <v>89692</v>
      </c>
      <c r="AM38" s="173">
        <v>20444</v>
      </c>
      <c r="AN38" s="173">
        <v>21136</v>
      </c>
      <c r="AO38" s="173">
        <v>21036</v>
      </c>
      <c r="AP38" s="174">
        <v>152308</v>
      </c>
      <c r="AQ38" s="172">
        <v>186360</v>
      </c>
      <c r="AR38" s="173">
        <v>98803</v>
      </c>
      <c r="AS38" s="173">
        <v>113817</v>
      </c>
      <c r="AT38" s="173">
        <v>71963</v>
      </c>
      <c r="AU38" s="174">
        <v>470943</v>
      </c>
      <c r="AV38" s="172">
        <v>636</v>
      </c>
      <c r="AW38" s="173">
        <v>1168</v>
      </c>
      <c r="AX38" s="173">
        <v>4390</v>
      </c>
      <c r="AY38" s="173">
        <v>1583</v>
      </c>
      <c r="AZ38" s="174">
        <v>7777</v>
      </c>
      <c r="BA38" s="172">
        <v>5416</v>
      </c>
      <c r="BB38" s="173">
        <v>106613</v>
      </c>
      <c r="BC38" s="173">
        <v>82909</v>
      </c>
      <c r="BD38" s="173">
        <v>32046</v>
      </c>
      <c r="BE38" s="174">
        <v>226984</v>
      </c>
      <c r="BF38" s="172">
        <f t="shared" si="14"/>
        <v>20022</v>
      </c>
      <c r="BG38" s="173">
        <f t="shared" si="8"/>
        <v>13012</v>
      </c>
      <c r="BH38" s="173">
        <f t="shared" si="9"/>
        <v>76776</v>
      </c>
      <c r="BI38" s="173">
        <f t="shared" si="10"/>
        <v>59355</v>
      </c>
      <c r="BJ38" s="174">
        <f t="shared" si="11"/>
        <v>169165</v>
      </c>
      <c r="BK38" s="172">
        <v>171</v>
      </c>
      <c r="BL38" s="173">
        <v>198</v>
      </c>
      <c r="BM38" s="173">
        <v>5912</v>
      </c>
      <c r="BN38" s="173">
        <v>712</v>
      </c>
      <c r="BO38" s="174">
        <v>6993</v>
      </c>
      <c r="BP38" s="172">
        <v>4689</v>
      </c>
      <c r="BQ38" s="173">
        <v>4484</v>
      </c>
      <c r="BR38" s="173">
        <v>16611</v>
      </c>
      <c r="BS38" s="173">
        <v>24573</v>
      </c>
      <c r="BT38" s="174">
        <v>50357</v>
      </c>
      <c r="BU38" s="172">
        <v>9429</v>
      </c>
      <c r="BV38" s="173">
        <v>4887</v>
      </c>
      <c r="BW38" s="173">
        <v>53659</v>
      </c>
      <c r="BX38" s="173">
        <v>27946</v>
      </c>
      <c r="BY38" s="174">
        <v>95921</v>
      </c>
      <c r="BZ38" s="172">
        <v>1662</v>
      </c>
      <c r="CA38" s="173">
        <v>572</v>
      </c>
      <c r="CB38" s="173"/>
      <c r="CC38" s="173"/>
      <c r="CD38" s="174">
        <v>2234</v>
      </c>
      <c r="CE38" s="172">
        <v>4071</v>
      </c>
      <c r="CF38" s="173">
        <v>2871</v>
      </c>
      <c r="CG38" s="173">
        <v>594</v>
      </c>
      <c r="CH38" s="173">
        <v>6124</v>
      </c>
      <c r="CI38" s="174">
        <v>13660</v>
      </c>
    </row>
    <row r="39" spans="1:87">
      <c r="A39" s="170"/>
      <c r="B39" s="171" t="s">
        <v>28</v>
      </c>
      <c r="C39" s="172">
        <f t="shared" si="12"/>
        <v>1636887</v>
      </c>
      <c r="D39" s="173">
        <f t="shared" si="0"/>
        <v>1470666</v>
      </c>
      <c r="E39" s="173">
        <f t="shared" si="1"/>
        <v>985803</v>
      </c>
      <c r="F39" s="173">
        <f t="shared" si="2"/>
        <v>2014129</v>
      </c>
      <c r="G39" s="174">
        <f t="shared" si="3"/>
        <v>6107485</v>
      </c>
      <c r="H39" s="172">
        <f t="shared" si="13"/>
        <v>1427334</v>
      </c>
      <c r="I39" s="173">
        <f t="shared" si="4"/>
        <v>1322178</v>
      </c>
      <c r="J39" s="173">
        <f t="shared" si="5"/>
        <v>885477</v>
      </c>
      <c r="K39" s="173">
        <f t="shared" si="6"/>
        <v>1902694</v>
      </c>
      <c r="L39" s="174">
        <f t="shared" si="7"/>
        <v>5537683</v>
      </c>
      <c r="M39" s="172">
        <v>1242</v>
      </c>
      <c r="N39" s="173">
        <v>7452</v>
      </c>
      <c r="O39" s="173"/>
      <c r="P39" s="173">
        <v>22632</v>
      </c>
      <c r="Q39" s="174">
        <v>31326</v>
      </c>
      <c r="R39" s="172"/>
      <c r="S39" s="173"/>
      <c r="T39" s="173"/>
      <c r="U39" s="173"/>
      <c r="V39" s="174"/>
      <c r="W39" s="172">
        <v>252609</v>
      </c>
      <c r="X39" s="173">
        <v>156078</v>
      </c>
      <c r="Y39" s="173">
        <v>165117</v>
      </c>
      <c r="Z39" s="173">
        <v>824964</v>
      </c>
      <c r="AA39" s="174">
        <v>1398768</v>
      </c>
      <c r="AB39" s="172">
        <v>2760</v>
      </c>
      <c r="AC39" s="173">
        <v>1725</v>
      </c>
      <c r="AD39" s="173">
        <v>146142</v>
      </c>
      <c r="AE39" s="173">
        <v>461265</v>
      </c>
      <c r="AF39" s="174">
        <v>611892</v>
      </c>
      <c r="AG39" s="172">
        <v>994980</v>
      </c>
      <c r="AH39" s="173">
        <v>870780</v>
      </c>
      <c r="AI39" s="173">
        <v>433251</v>
      </c>
      <c r="AJ39" s="173">
        <v>452019</v>
      </c>
      <c r="AK39" s="174">
        <v>2751030</v>
      </c>
      <c r="AL39" s="172">
        <v>5796</v>
      </c>
      <c r="AM39" s="173">
        <v>6624</v>
      </c>
      <c r="AN39" s="173">
        <v>21114</v>
      </c>
      <c r="AO39" s="173">
        <v>58581</v>
      </c>
      <c r="AP39" s="174">
        <v>92115</v>
      </c>
      <c r="AQ39" s="172">
        <v>24633</v>
      </c>
      <c r="AR39" s="173">
        <v>30498</v>
      </c>
      <c r="AS39" s="173">
        <v>89148</v>
      </c>
      <c r="AT39" s="173">
        <v>79093</v>
      </c>
      <c r="AU39" s="174">
        <v>223372</v>
      </c>
      <c r="AV39" s="172">
        <v>4968</v>
      </c>
      <c r="AW39" s="173">
        <v>7659</v>
      </c>
      <c r="AX39" s="173">
        <v>1518</v>
      </c>
      <c r="AY39" s="173"/>
      <c r="AZ39" s="174">
        <v>14145</v>
      </c>
      <c r="BA39" s="172">
        <v>140346</v>
      </c>
      <c r="BB39" s="173">
        <v>241362</v>
      </c>
      <c r="BC39" s="173">
        <v>29187</v>
      </c>
      <c r="BD39" s="173">
        <v>4140</v>
      </c>
      <c r="BE39" s="174">
        <v>415035</v>
      </c>
      <c r="BF39" s="172">
        <f t="shared" si="14"/>
        <v>209553</v>
      </c>
      <c r="BG39" s="173">
        <f t="shared" si="8"/>
        <v>148488</v>
      </c>
      <c r="BH39" s="173">
        <f t="shared" si="9"/>
        <v>100326</v>
      </c>
      <c r="BI39" s="173">
        <f t="shared" si="10"/>
        <v>111435</v>
      </c>
      <c r="BJ39" s="174">
        <f t="shared" si="11"/>
        <v>569802</v>
      </c>
      <c r="BK39" s="172"/>
      <c r="BL39" s="173">
        <v>8211</v>
      </c>
      <c r="BM39" s="173">
        <v>8901</v>
      </c>
      <c r="BN39" s="173">
        <v>11592</v>
      </c>
      <c r="BO39" s="174">
        <v>28704</v>
      </c>
      <c r="BP39" s="172">
        <v>34707</v>
      </c>
      <c r="BQ39" s="173">
        <v>34086</v>
      </c>
      <c r="BR39" s="173">
        <v>26220</v>
      </c>
      <c r="BS39" s="173">
        <v>23391</v>
      </c>
      <c r="BT39" s="174">
        <v>118404</v>
      </c>
      <c r="BU39" s="172">
        <v>122337</v>
      </c>
      <c r="BV39" s="173">
        <v>67068</v>
      </c>
      <c r="BW39" s="173">
        <v>37122</v>
      </c>
      <c r="BX39" s="173">
        <v>37950</v>
      </c>
      <c r="BY39" s="174">
        <v>264477</v>
      </c>
      <c r="BZ39" s="172">
        <v>31395</v>
      </c>
      <c r="CA39" s="173">
        <v>18492</v>
      </c>
      <c r="CB39" s="173">
        <v>1725</v>
      </c>
      <c r="CC39" s="173">
        <v>19665</v>
      </c>
      <c r="CD39" s="174">
        <v>71277</v>
      </c>
      <c r="CE39" s="172">
        <v>21114</v>
      </c>
      <c r="CF39" s="173">
        <v>20631</v>
      </c>
      <c r="CG39" s="173">
        <v>26358</v>
      </c>
      <c r="CH39" s="173">
        <v>18837</v>
      </c>
      <c r="CI39" s="174">
        <v>86940</v>
      </c>
    </row>
    <row r="40" spans="1:87">
      <c r="A40" s="170"/>
      <c r="B40" s="171" t="s">
        <v>29</v>
      </c>
      <c r="C40" s="172">
        <f t="shared" si="12"/>
        <v>0</v>
      </c>
      <c r="D40" s="173">
        <f t="shared" si="0"/>
        <v>2040</v>
      </c>
      <c r="E40" s="173">
        <f t="shared" si="1"/>
        <v>0</v>
      </c>
      <c r="F40" s="173">
        <f t="shared" si="2"/>
        <v>6800</v>
      </c>
      <c r="G40" s="174">
        <f t="shared" si="3"/>
        <v>8840</v>
      </c>
      <c r="H40" s="172">
        <f t="shared" si="13"/>
        <v>0</v>
      </c>
      <c r="I40" s="173">
        <f t="shared" si="4"/>
        <v>2040</v>
      </c>
      <c r="J40" s="173">
        <f t="shared" si="5"/>
        <v>0</v>
      </c>
      <c r="K40" s="173">
        <f t="shared" si="6"/>
        <v>6800</v>
      </c>
      <c r="L40" s="174">
        <f t="shared" si="7"/>
        <v>8840</v>
      </c>
      <c r="M40" s="172"/>
      <c r="N40" s="173"/>
      <c r="O40" s="173"/>
      <c r="P40" s="173"/>
      <c r="Q40" s="174"/>
      <c r="R40" s="172"/>
      <c r="S40" s="173"/>
      <c r="T40" s="173"/>
      <c r="U40" s="173"/>
      <c r="V40" s="174"/>
      <c r="W40" s="172"/>
      <c r="X40" s="173"/>
      <c r="Y40" s="173"/>
      <c r="Z40" s="173"/>
      <c r="AA40" s="174"/>
      <c r="AB40" s="172"/>
      <c r="AC40" s="173"/>
      <c r="AD40" s="173"/>
      <c r="AE40" s="173"/>
      <c r="AF40" s="174"/>
      <c r="AG40" s="172"/>
      <c r="AH40" s="173"/>
      <c r="AI40" s="173"/>
      <c r="AJ40" s="173"/>
      <c r="AK40" s="174"/>
      <c r="AL40" s="172"/>
      <c r="AM40" s="173">
        <v>2040</v>
      </c>
      <c r="AN40" s="173"/>
      <c r="AO40" s="173">
        <v>1360</v>
      </c>
      <c r="AP40" s="174">
        <v>3400</v>
      </c>
      <c r="AQ40" s="172"/>
      <c r="AR40" s="173"/>
      <c r="AS40" s="173"/>
      <c r="AT40" s="173">
        <v>5440</v>
      </c>
      <c r="AU40" s="174">
        <v>5440</v>
      </c>
      <c r="AV40" s="172"/>
      <c r="AW40" s="173"/>
      <c r="AX40" s="173"/>
      <c r="AY40" s="173"/>
      <c r="AZ40" s="174"/>
      <c r="BA40" s="172"/>
      <c r="BB40" s="173"/>
      <c r="BC40" s="173"/>
      <c r="BD40" s="173"/>
      <c r="BE40" s="174"/>
      <c r="BF40" s="172">
        <f t="shared" si="14"/>
        <v>0</v>
      </c>
      <c r="BG40" s="173">
        <f t="shared" si="8"/>
        <v>0</v>
      </c>
      <c r="BH40" s="173">
        <f t="shared" si="9"/>
        <v>0</v>
      </c>
      <c r="BI40" s="173">
        <f t="shared" si="10"/>
        <v>0</v>
      </c>
      <c r="BJ40" s="174">
        <f t="shared" si="11"/>
        <v>0</v>
      </c>
      <c r="BK40" s="172"/>
      <c r="BL40" s="173"/>
      <c r="BM40" s="173"/>
      <c r="BN40" s="173"/>
      <c r="BO40" s="174"/>
      <c r="BP40" s="172"/>
      <c r="BQ40" s="173"/>
      <c r="BR40" s="173"/>
      <c r="BS40" s="173"/>
      <c r="BT40" s="174"/>
      <c r="BU40" s="172"/>
      <c r="BV40" s="173"/>
      <c r="BW40" s="173"/>
      <c r="BX40" s="173"/>
      <c r="BY40" s="174"/>
      <c r="BZ40" s="172"/>
      <c r="CA40" s="173"/>
      <c r="CB40" s="173"/>
      <c r="CC40" s="173"/>
      <c r="CD40" s="174"/>
      <c r="CE40" s="172"/>
      <c r="CF40" s="173"/>
      <c r="CG40" s="173"/>
      <c r="CH40" s="173"/>
      <c r="CI40" s="174"/>
    </row>
    <row r="41" s="147" customFormat="1" ht="14.6" spans="1:87">
      <c r="A41" s="175" t="s">
        <v>46</v>
      </c>
      <c r="B41" s="176"/>
      <c r="C41" s="177">
        <f t="shared" si="12"/>
        <v>7604067</v>
      </c>
      <c r="D41" s="178">
        <f t="shared" si="0"/>
        <v>7833450</v>
      </c>
      <c r="E41" s="178">
        <f t="shared" si="1"/>
        <v>6637842</v>
      </c>
      <c r="F41" s="178">
        <f t="shared" si="2"/>
        <v>6195753</v>
      </c>
      <c r="G41" s="179">
        <f t="shared" si="3"/>
        <v>28271112</v>
      </c>
      <c r="H41" s="177">
        <f t="shared" si="13"/>
        <v>7294517</v>
      </c>
      <c r="I41" s="178">
        <f t="shared" si="4"/>
        <v>7589693</v>
      </c>
      <c r="J41" s="178">
        <f t="shared" si="5"/>
        <v>6256275</v>
      </c>
      <c r="K41" s="178">
        <f t="shared" si="6"/>
        <v>5733639</v>
      </c>
      <c r="L41" s="179">
        <f t="shared" si="7"/>
        <v>26874124</v>
      </c>
      <c r="M41" s="177">
        <v>474516</v>
      </c>
      <c r="N41" s="178">
        <v>574630</v>
      </c>
      <c r="O41" s="178">
        <v>610366</v>
      </c>
      <c r="P41" s="178">
        <v>441234</v>
      </c>
      <c r="Q41" s="179">
        <v>2100746</v>
      </c>
      <c r="R41" s="177">
        <v>490116</v>
      </c>
      <c r="S41" s="178">
        <v>242797</v>
      </c>
      <c r="T41" s="178">
        <v>436891</v>
      </c>
      <c r="U41" s="178">
        <v>441839</v>
      </c>
      <c r="V41" s="179">
        <v>1611643</v>
      </c>
      <c r="W41" s="177">
        <v>434567</v>
      </c>
      <c r="X41" s="178">
        <v>1021677</v>
      </c>
      <c r="Y41" s="178">
        <v>851620</v>
      </c>
      <c r="Z41" s="178">
        <v>1339077</v>
      </c>
      <c r="AA41" s="179">
        <v>3646941</v>
      </c>
      <c r="AB41" s="177">
        <v>184626</v>
      </c>
      <c r="AC41" s="178">
        <v>751485</v>
      </c>
      <c r="AD41" s="178">
        <v>988404</v>
      </c>
      <c r="AE41" s="178">
        <v>1148224</v>
      </c>
      <c r="AF41" s="179">
        <v>3072739</v>
      </c>
      <c r="AG41" s="177">
        <v>4742393</v>
      </c>
      <c r="AH41" s="178">
        <v>3187144</v>
      </c>
      <c r="AI41" s="178">
        <v>1720997</v>
      </c>
      <c r="AJ41" s="178">
        <v>1203897</v>
      </c>
      <c r="AK41" s="179">
        <v>10854431</v>
      </c>
      <c r="AL41" s="177">
        <v>109866</v>
      </c>
      <c r="AM41" s="178">
        <v>150135</v>
      </c>
      <c r="AN41" s="178">
        <v>139668</v>
      </c>
      <c r="AO41" s="178">
        <v>149264</v>
      </c>
      <c r="AP41" s="179">
        <v>548933</v>
      </c>
      <c r="AQ41" s="177">
        <v>525919</v>
      </c>
      <c r="AR41" s="178">
        <v>956485</v>
      </c>
      <c r="AS41" s="178">
        <v>1063216</v>
      </c>
      <c r="AT41" s="178">
        <v>676141</v>
      </c>
      <c r="AU41" s="179">
        <v>3221761</v>
      </c>
      <c r="AV41" s="177">
        <v>16393</v>
      </c>
      <c r="AW41" s="178">
        <v>21576</v>
      </c>
      <c r="AX41" s="178">
        <v>30761</v>
      </c>
      <c r="AY41" s="178">
        <v>15230</v>
      </c>
      <c r="AZ41" s="179">
        <v>83960</v>
      </c>
      <c r="BA41" s="177">
        <v>316121</v>
      </c>
      <c r="BB41" s="178">
        <v>683764</v>
      </c>
      <c r="BC41" s="178">
        <v>414352</v>
      </c>
      <c r="BD41" s="178">
        <v>318733</v>
      </c>
      <c r="BE41" s="179">
        <v>1732970</v>
      </c>
      <c r="BF41" s="177">
        <f t="shared" si="14"/>
        <v>309550</v>
      </c>
      <c r="BG41" s="178">
        <f t="shared" si="8"/>
        <v>243757</v>
      </c>
      <c r="BH41" s="178">
        <f t="shared" si="9"/>
        <v>381567</v>
      </c>
      <c r="BI41" s="178">
        <f t="shared" si="10"/>
        <v>462114</v>
      </c>
      <c r="BJ41" s="179">
        <f t="shared" si="11"/>
        <v>1396988</v>
      </c>
      <c r="BK41" s="177">
        <v>6211</v>
      </c>
      <c r="BL41" s="178">
        <v>15848</v>
      </c>
      <c r="BM41" s="178">
        <v>58911</v>
      </c>
      <c r="BN41" s="178">
        <v>40848</v>
      </c>
      <c r="BO41" s="179">
        <v>121818</v>
      </c>
      <c r="BP41" s="177">
        <v>68661</v>
      </c>
      <c r="BQ41" s="178">
        <v>66286</v>
      </c>
      <c r="BR41" s="178">
        <v>72464</v>
      </c>
      <c r="BS41" s="178">
        <v>141547</v>
      </c>
      <c r="BT41" s="179">
        <v>348958</v>
      </c>
      <c r="BU41" s="177">
        <v>156077</v>
      </c>
      <c r="BV41" s="178">
        <v>100948</v>
      </c>
      <c r="BW41" s="178">
        <v>209086</v>
      </c>
      <c r="BX41" s="178">
        <v>219527</v>
      </c>
      <c r="BY41" s="179">
        <v>685638</v>
      </c>
      <c r="BZ41" s="177">
        <v>38961</v>
      </c>
      <c r="CA41" s="178">
        <v>28058</v>
      </c>
      <c r="CB41" s="178">
        <v>7835</v>
      </c>
      <c r="CC41" s="178">
        <v>23483</v>
      </c>
      <c r="CD41" s="179">
        <v>98337</v>
      </c>
      <c r="CE41" s="177">
        <v>39640</v>
      </c>
      <c r="CF41" s="178">
        <v>32617</v>
      </c>
      <c r="CG41" s="178">
        <v>33271</v>
      </c>
      <c r="CH41" s="178">
        <v>36709</v>
      </c>
      <c r="CI41" s="179">
        <v>142237</v>
      </c>
    </row>
    <row r="42" spans="1:87">
      <c r="A42" s="170" t="s">
        <v>47</v>
      </c>
      <c r="B42" s="171" t="s">
        <v>26</v>
      </c>
      <c r="C42" s="172">
        <f t="shared" si="12"/>
        <v>9269460</v>
      </c>
      <c r="D42" s="173">
        <f t="shared" si="0"/>
        <v>3622211</v>
      </c>
      <c r="E42" s="173">
        <f t="shared" si="1"/>
        <v>2681399</v>
      </c>
      <c r="F42" s="173">
        <f t="shared" si="2"/>
        <v>3200125</v>
      </c>
      <c r="G42" s="174">
        <f t="shared" si="3"/>
        <v>18773195</v>
      </c>
      <c r="H42" s="172">
        <f t="shared" si="13"/>
        <v>8796543</v>
      </c>
      <c r="I42" s="173">
        <f t="shared" si="4"/>
        <v>3232698</v>
      </c>
      <c r="J42" s="173">
        <f t="shared" si="5"/>
        <v>2361726</v>
      </c>
      <c r="K42" s="173">
        <f t="shared" si="6"/>
        <v>2947615</v>
      </c>
      <c r="L42" s="174">
        <f t="shared" si="7"/>
        <v>17338582</v>
      </c>
      <c r="M42" s="172">
        <v>1246662</v>
      </c>
      <c r="N42" s="173">
        <v>539437</v>
      </c>
      <c r="O42" s="173">
        <v>398583</v>
      </c>
      <c r="P42" s="173">
        <v>371021</v>
      </c>
      <c r="Q42" s="174">
        <v>2555703</v>
      </c>
      <c r="R42" s="172">
        <v>89941</v>
      </c>
      <c r="S42" s="173">
        <v>66637</v>
      </c>
      <c r="T42" s="173">
        <v>52300</v>
      </c>
      <c r="U42" s="173">
        <v>235226</v>
      </c>
      <c r="V42" s="174">
        <v>444104</v>
      </c>
      <c r="W42" s="172">
        <v>768902</v>
      </c>
      <c r="X42" s="173">
        <v>305198</v>
      </c>
      <c r="Y42" s="173">
        <v>170474</v>
      </c>
      <c r="Z42" s="173">
        <v>152076</v>
      </c>
      <c r="AA42" s="174">
        <v>1396650</v>
      </c>
      <c r="AB42" s="172">
        <v>675396</v>
      </c>
      <c r="AC42" s="173">
        <v>126205</v>
      </c>
      <c r="AD42" s="173">
        <v>364209</v>
      </c>
      <c r="AE42" s="173">
        <v>211042</v>
      </c>
      <c r="AF42" s="174">
        <v>1376852</v>
      </c>
      <c r="AG42" s="172">
        <v>3695638</v>
      </c>
      <c r="AH42" s="173">
        <v>1049666</v>
      </c>
      <c r="AI42" s="173">
        <v>664978</v>
      </c>
      <c r="AJ42" s="173">
        <v>1387398</v>
      </c>
      <c r="AK42" s="174">
        <v>6797680</v>
      </c>
      <c r="AL42" s="172">
        <v>313807</v>
      </c>
      <c r="AM42" s="173">
        <v>185642</v>
      </c>
      <c r="AN42" s="173">
        <v>169331</v>
      </c>
      <c r="AO42" s="173">
        <v>154179</v>
      </c>
      <c r="AP42" s="174">
        <v>822959</v>
      </c>
      <c r="AQ42" s="172">
        <v>1278176</v>
      </c>
      <c r="AR42" s="173">
        <v>506162</v>
      </c>
      <c r="AS42" s="173">
        <v>289112</v>
      </c>
      <c r="AT42" s="173">
        <v>190815</v>
      </c>
      <c r="AU42" s="174">
        <v>2264265</v>
      </c>
      <c r="AV42" s="172">
        <v>109378</v>
      </c>
      <c r="AW42" s="173">
        <v>94467</v>
      </c>
      <c r="AX42" s="173">
        <v>51262</v>
      </c>
      <c r="AY42" s="173">
        <v>38552</v>
      </c>
      <c r="AZ42" s="174">
        <v>293659</v>
      </c>
      <c r="BA42" s="172">
        <v>618643</v>
      </c>
      <c r="BB42" s="173">
        <v>359284</v>
      </c>
      <c r="BC42" s="173">
        <v>201477</v>
      </c>
      <c r="BD42" s="173">
        <v>207306</v>
      </c>
      <c r="BE42" s="174">
        <v>1386710</v>
      </c>
      <c r="BF42" s="172">
        <f t="shared" si="14"/>
        <v>472917</v>
      </c>
      <c r="BG42" s="173">
        <f t="shared" si="8"/>
        <v>389513</v>
      </c>
      <c r="BH42" s="173">
        <f t="shared" si="9"/>
        <v>319673</v>
      </c>
      <c r="BI42" s="173">
        <f t="shared" si="10"/>
        <v>252510</v>
      </c>
      <c r="BJ42" s="174">
        <f t="shared" si="11"/>
        <v>1434613</v>
      </c>
      <c r="BK42" s="172">
        <v>30879</v>
      </c>
      <c r="BL42" s="173">
        <v>34495</v>
      </c>
      <c r="BM42" s="173">
        <v>39888</v>
      </c>
      <c r="BN42" s="173">
        <v>24265</v>
      </c>
      <c r="BO42" s="174">
        <v>129527</v>
      </c>
      <c r="BP42" s="172">
        <v>263343</v>
      </c>
      <c r="BQ42" s="173">
        <v>148346</v>
      </c>
      <c r="BR42" s="173">
        <v>105026</v>
      </c>
      <c r="BS42" s="173">
        <v>66960</v>
      </c>
      <c r="BT42" s="174">
        <v>583675</v>
      </c>
      <c r="BU42" s="172">
        <v>130559</v>
      </c>
      <c r="BV42" s="173">
        <v>154442</v>
      </c>
      <c r="BW42" s="173">
        <v>124313</v>
      </c>
      <c r="BX42" s="173">
        <v>132668</v>
      </c>
      <c r="BY42" s="174">
        <v>541982</v>
      </c>
      <c r="BZ42" s="172">
        <v>29757</v>
      </c>
      <c r="CA42" s="173">
        <v>32587</v>
      </c>
      <c r="CB42" s="173">
        <v>24317</v>
      </c>
      <c r="CC42" s="173">
        <v>16956</v>
      </c>
      <c r="CD42" s="174">
        <v>103617</v>
      </c>
      <c r="CE42" s="172">
        <v>18379</v>
      </c>
      <c r="CF42" s="173">
        <v>19643</v>
      </c>
      <c r="CG42" s="173">
        <v>26129</v>
      </c>
      <c r="CH42" s="173">
        <v>11661</v>
      </c>
      <c r="CI42" s="174">
        <v>75812</v>
      </c>
    </row>
    <row r="43" spans="1:87">
      <c r="A43" s="170"/>
      <c r="B43" s="171" t="s">
        <v>27</v>
      </c>
      <c r="C43" s="172">
        <f t="shared" si="12"/>
        <v>848526</v>
      </c>
      <c r="D43" s="173">
        <f t="shared" si="0"/>
        <v>253850</v>
      </c>
      <c r="E43" s="173">
        <f t="shared" si="1"/>
        <v>90654</v>
      </c>
      <c r="F43" s="173">
        <f t="shared" si="2"/>
        <v>1875669</v>
      </c>
      <c r="G43" s="174">
        <f t="shared" si="3"/>
        <v>3068699</v>
      </c>
      <c r="H43" s="172">
        <f t="shared" si="13"/>
        <v>812208</v>
      </c>
      <c r="I43" s="173">
        <f t="shared" si="4"/>
        <v>236896</v>
      </c>
      <c r="J43" s="173">
        <f t="shared" si="5"/>
        <v>78572</v>
      </c>
      <c r="K43" s="173">
        <f t="shared" si="6"/>
        <v>1856143</v>
      </c>
      <c r="L43" s="174">
        <f t="shared" si="7"/>
        <v>2983819</v>
      </c>
      <c r="M43" s="172">
        <v>9496</v>
      </c>
      <c r="N43" s="173">
        <v>2182</v>
      </c>
      <c r="O43" s="173">
        <v>2396</v>
      </c>
      <c r="P43" s="173">
        <v>18433</v>
      </c>
      <c r="Q43" s="174">
        <v>32507</v>
      </c>
      <c r="R43" s="172">
        <v>6129</v>
      </c>
      <c r="S43" s="173">
        <v>4174</v>
      </c>
      <c r="T43" s="173">
        <v>3183</v>
      </c>
      <c r="U43" s="173">
        <v>140073</v>
      </c>
      <c r="V43" s="174">
        <v>153559</v>
      </c>
      <c r="W43" s="172">
        <v>66557</v>
      </c>
      <c r="X43" s="173">
        <v>17081</v>
      </c>
      <c r="Y43" s="173">
        <v>9160</v>
      </c>
      <c r="Z43" s="173">
        <v>188339</v>
      </c>
      <c r="AA43" s="174">
        <v>281137</v>
      </c>
      <c r="AB43" s="172">
        <v>230748</v>
      </c>
      <c r="AC43" s="173">
        <v>77268</v>
      </c>
      <c r="AD43" s="173">
        <v>9696</v>
      </c>
      <c r="AE43" s="173">
        <v>28639</v>
      </c>
      <c r="AF43" s="174">
        <v>346351</v>
      </c>
      <c r="AG43" s="172">
        <v>254151</v>
      </c>
      <c r="AH43" s="173">
        <v>63216</v>
      </c>
      <c r="AI43" s="173">
        <v>28029</v>
      </c>
      <c r="AJ43" s="173">
        <v>1180991</v>
      </c>
      <c r="AK43" s="174">
        <v>1526387</v>
      </c>
      <c r="AL43" s="172">
        <v>18226</v>
      </c>
      <c r="AM43" s="173">
        <v>14321</v>
      </c>
      <c r="AN43" s="173">
        <v>11996</v>
      </c>
      <c r="AO43" s="173">
        <v>64502</v>
      </c>
      <c r="AP43" s="174">
        <v>109045</v>
      </c>
      <c r="AQ43" s="172">
        <v>107411</v>
      </c>
      <c r="AR43" s="173">
        <v>23001</v>
      </c>
      <c r="AS43" s="173">
        <v>6009</v>
      </c>
      <c r="AT43" s="173">
        <v>225190</v>
      </c>
      <c r="AU43" s="174">
        <v>361611</v>
      </c>
      <c r="AV43" s="172">
        <v>13903</v>
      </c>
      <c r="AW43" s="173">
        <v>5017</v>
      </c>
      <c r="AX43" s="173">
        <v>1201</v>
      </c>
      <c r="AY43" s="173">
        <v>1535</v>
      </c>
      <c r="AZ43" s="174">
        <v>21656</v>
      </c>
      <c r="BA43" s="172">
        <v>105587</v>
      </c>
      <c r="BB43" s="173">
        <v>30636</v>
      </c>
      <c r="BC43" s="173">
        <v>6902</v>
      </c>
      <c r="BD43" s="173">
        <v>8441</v>
      </c>
      <c r="BE43" s="174">
        <v>151566</v>
      </c>
      <c r="BF43" s="172">
        <f t="shared" si="14"/>
        <v>36318</v>
      </c>
      <c r="BG43" s="173">
        <f t="shared" si="8"/>
        <v>16954</v>
      </c>
      <c r="BH43" s="173">
        <f t="shared" si="9"/>
        <v>12082</v>
      </c>
      <c r="BI43" s="173">
        <f t="shared" si="10"/>
        <v>19526</v>
      </c>
      <c r="BJ43" s="174">
        <f t="shared" si="11"/>
        <v>84880</v>
      </c>
      <c r="BK43" s="172"/>
      <c r="BL43" s="173"/>
      <c r="BM43" s="173"/>
      <c r="BN43" s="173"/>
      <c r="BO43" s="174"/>
      <c r="BP43" s="172"/>
      <c r="BQ43" s="173">
        <v>14615</v>
      </c>
      <c r="BR43" s="173">
        <v>8374</v>
      </c>
      <c r="BS43" s="173">
        <v>5056</v>
      </c>
      <c r="BT43" s="174">
        <v>28045</v>
      </c>
      <c r="BU43" s="172">
        <v>36318</v>
      </c>
      <c r="BV43" s="173">
        <v>2339</v>
      </c>
      <c r="BW43" s="173">
        <v>3708</v>
      </c>
      <c r="BX43" s="173">
        <v>14470</v>
      </c>
      <c r="BY43" s="174">
        <v>56835</v>
      </c>
      <c r="BZ43" s="172"/>
      <c r="CA43" s="173"/>
      <c r="CB43" s="173"/>
      <c r="CC43" s="173"/>
      <c r="CD43" s="174"/>
      <c r="CE43" s="172"/>
      <c r="CF43" s="173"/>
      <c r="CG43" s="173"/>
      <c r="CH43" s="173"/>
      <c r="CI43" s="174"/>
    </row>
    <row r="44" s="147" customFormat="1" ht="14.6" spans="1:87">
      <c r="A44" s="175" t="s">
        <v>48</v>
      </c>
      <c r="B44" s="176"/>
      <c r="C44" s="177">
        <f t="shared" si="12"/>
        <v>10117986</v>
      </c>
      <c r="D44" s="178">
        <f t="shared" si="0"/>
        <v>3876061</v>
      </c>
      <c r="E44" s="178">
        <f t="shared" si="1"/>
        <v>2772053</v>
      </c>
      <c r="F44" s="178">
        <f t="shared" si="2"/>
        <v>5075794</v>
      </c>
      <c r="G44" s="179">
        <f t="shared" si="3"/>
        <v>21841894</v>
      </c>
      <c r="H44" s="177">
        <f t="shared" si="13"/>
        <v>9608751</v>
      </c>
      <c r="I44" s="178">
        <f t="shared" si="4"/>
        <v>3469594</v>
      </c>
      <c r="J44" s="178">
        <f t="shared" si="5"/>
        <v>2440298</v>
      </c>
      <c r="K44" s="178">
        <f t="shared" si="6"/>
        <v>4803758</v>
      </c>
      <c r="L44" s="179">
        <f t="shared" si="7"/>
        <v>20322401</v>
      </c>
      <c r="M44" s="177">
        <v>1256158</v>
      </c>
      <c r="N44" s="178">
        <v>541619</v>
      </c>
      <c r="O44" s="178">
        <v>400979</v>
      </c>
      <c r="P44" s="178">
        <v>389454</v>
      </c>
      <c r="Q44" s="179">
        <v>2588210</v>
      </c>
      <c r="R44" s="177">
        <v>96070</v>
      </c>
      <c r="S44" s="178">
        <v>70811</v>
      </c>
      <c r="T44" s="178">
        <v>55483</v>
      </c>
      <c r="U44" s="178">
        <v>375299</v>
      </c>
      <c r="V44" s="179">
        <v>597663</v>
      </c>
      <c r="W44" s="177">
        <v>835459</v>
      </c>
      <c r="X44" s="178">
        <v>322279</v>
      </c>
      <c r="Y44" s="178">
        <v>179634</v>
      </c>
      <c r="Z44" s="178">
        <v>340415</v>
      </c>
      <c r="AA44" s="179">
        <v>1677787</v>
      </c>
      <c r="AB44" s="177">
        <v>906144</v>
      </c>
      <c r="AC44" s="178">
        <v>203473</v>
      </c>
      <c r="AD44" s="178">
        <v>373905</v>
      </c>
      <c r="AE44" s="178">
        <v>239681</v>
      </c>
      <c r="AF44" s="179">
        <v>1723203</v>
      </c>
      <c r="AG44" s="177">
        <v>3949789</v>
      </c>
      <c r="AH44" s="178">
        <v>1112882</v>
      </c>
      <c r="AI44" s="178">
        <v>693007</v>
      </c>
      <c r="AJ44" s="178">
        <v>2568389</v>
      </c>
      <c r="AK44" s="179">
        <v>8324067</v>
      </c>
      <c r="AL44" s="177">
        <v>332033</v>
      </c>
      <c r="AM44" s="178">
        <v>199963</v>
      </c>
      <c r="AN44" s="178">
        <v>181327</v>
      </c>
      <c r="AO44" s="178">
        <v>218681</v>
      </c>
      <c r="AP44" s="179">
        <v>932004</v>
      </c>
      <c r="AQ44" s="177">
        <v>1385587</v>
      </c>
      <c r="AR44" s="178">
        <v>529163</v>
      </c>
      <c r="AS44" s="178">
        <v>295121</v>
      </c>
      <c r="AT44" s="178">
        <v>416005</v>
      </c>
      <c r="AU44" s="179">
        <v>2625876</v>
      </c>
      <c r="AV44" s="177">
        <v>123281</v>
      </c>
      <c r="AW44" s="178">
        <v>99484</v>
      </c>
      <c r="AX44" s="178">
        <v>52463</v>
      </c>
      <c r="AY44" s="178">
        <v>40087</v>
      </c>
      <c r="AZ44" s="179">
        <v>315315</v>
      </c>
      <c r="BA44" s="177">
        <v>724230</v>
      </c>
      <c r="BB44" s="178">
        <v>389920</v>
      </c>
      <c r="BC44" s="178">
        <v>208379</v>
      </c>
      <c r="BD44" s="178">
        <v>215747</v>
      </c>
      <c r="BE44" s="179">
        <v>1538276</v>
      </c>
      <c r="BF44" s="177">
        <f t="shared" si="14"/>
        <v>509235</v>
      </c>
      <c r="BG44" s="178">
        <f t="shared" si="8"/>
        <v>406467</v>
      </c>
      <c r="BH44" s="178">
        <f t="shared" si="9"/>
        <v>331755</v>
      </c>
      <c r="BI44" s="178">
        <f t="shared" si="10"/>
        <v>272036</v>
      </c>
      <c r="BJ44" s="179">
        <f t="shared" si="11"/>
        <v>1519493</v>
      </c>
      <c r="BK44" s="177">
        <v>30879</v>
      </c>
      <c r="BL44" s="178">
        <v>34495</v>
      </c>
      <c r="BM44" s="178">
        <v>39888</v>
      </c>
      <c r="BN44" s="178">
        <v>24265</v>
      </c>
      <c r="BO44" s="179">
        <v>129527</v>
      </c>
      <c r="BP44" s="177">
        <v>263343</v>
      </c>
      <c r="BQ44" s="178">
        <v>162961</v>
      </c>
      <c r="BR44" s="178">
        <v>113400</v>
      </c>
      <c r="BS44" s="178">
        <v>72016</v>
      </c>
      <c r="BT44" s="179">
        <v>611720</v>
      </c>
      <c r="BU44" s="177">
        <v>166877</v>
      </c>
      <c r="BV44" s="178">
        <v>156781</v>
      </c>
      <c r="BW44" s="178">
        <v>128021</v>
      </c>
      <c r="BX44" s="178">
        <v>147138</v>
      </c>
      <c r="BY44" s="179">
        <v>598817</v>
      </c>
      <c r="BZ44" s="177">
        <v>29757</v>
      </c>
      <c r="CA44" s="178">
        <v>32587</v>
      </c>
      <c r="CB44" s="178">
        <v>24317</v>
      </c>
      <c r="CC44" s="178">
        <v>16956</v>
      </c>
      <c r="CD44" s="179">
        <v>103617</v>
      </c>
      <c r="CE44" s="177">
        <v>18379</v>
      </c>
      <c r="CF44" s="178">
        <v>19643</v>
      </c>
      <c r="CG44" s="178">
        <v>26129</v>
      </c>
      <c r="CH44" s="178">
        <v>11661</v>
      </c>
      <c r="CI44" s="179">
        <v>75812</v>
      </c>
    </row>
    <row r="45" spans="1:87">
      <c r="A45" s="170" t="s">
        <v>49</v>
      </c>
      <c r="B45" s="171" t="s">
        <v>26</v>
      </c>
      <c r="C45" s="172">
        <f t="shared" si="12"/>
        <v>1483983</v>
      </c>
      <c r="D45" s="173">
        <f t="shared" si="0"/>
        <v>1228821</v>
      </c>
      <c r="E45" s="173">
        <f t="shared" si="1"/>
        <v>1111245</v>
      </c>
      <c r="F45" s="173">
        <f t="shared" si="2"/>
        <v>2919459</v>
      </c>
      <c r="G45" s="174">
        <f t="shared" si="3"/>
        <v>6743508</v>
      </c>
      <c r="H45" s="172">
        <f t="shared" si="13"/>
        <v>1446723</v>
      </c>
      <c r="I45" s="173">
        <f t="shared" si="4"/>
        <v>1168860</v>
      </c>
      <c r="J45" s="173">
        <f t="shared" si="5"/>
        <v>1046523</v>
      </c>
      <c r="K45" s="173">
        <f t="shared" si="6"/>
        <v>2852460</v>
      </c>
      <c r="L45" s="174">
        <f t="shared" si="7"/>
        <v>6514566</v>
      </c>
      <c r="M45" s="172">
        <v>46644</v>
      </c>
      <c r="N45" s="173">
        <v>60513</v>
      </c>
      <c r="O45" s="173">
        <v>47679</v>
      </c>
      <c r="P45" s="173">
        <v>114609</v>
      </c>
      <c r="Q45" s="174">
        <v>269445</v>
      </c>
      <c r="R45" s="172">
        <v>61479</v>
      </c>
      <c r="S45" s="173">
        <v>44091</v>
      </c>
      <c r="T45" s="173">
        <v>49335</v>
      </c>
      <c r="U45" s="173">
        <v>126408</v>
      </c>
      <c r="V45" s="174">
        <v>281313</v>
      </c>
      <c r="W45" s="172">
        <v>82800</v>
      </c>
      <c r="X45" s="173">
        <v>58719</v>
      </c>
      <c r="Y45" s="173">
        <v>31809</v>
      </c>
      <c r="Z45" s="173">
        <v>66654</v>
      </c>
      <c r="AA45" s="174">
        <v>239982</v>
      </c>
      <c r="AB45" s="172">
        <v>79557</v>
      </c>
      <c r="AC45" s="173">
        <v>115713</v>
      </c>
      <c r="AD45" s="173">
        <v>185334</v>
      </c>
      <c r="AE45" s="173">
        <v>571182</v>
      </c>
      <c r="AF45" s="174">
        <v>951786</v>
      </c>
      <c r="AG45" s="172">
        <v>766038</v>
      </c>
      <c r="AH45" s="173">
        <v>466785</v>
      </c>
      <c r="AI45" s="173">
        <v>315330</v>
      </c>
      <c r="AJ45" s="173">
        <v>1083921</v>
      </c>
      <c r="AK45" s="174">
        <v>2632074</v>
      </c>
      <c r="AL45" s="172">
        <v>53820</v>
      </c>
      <c r="AM45" s="173">
        <v>65274</v>
      </c>
      <c r="AN45" s="173">
        <v>75417</v>
      </c>
      <c r="AO45" s="173">
        <v>128340</v>
      </c>
      <c r="AP45" s="174">
        <v>322851</v>
      </c>
      <c r="AQ45" s="172">
        <v>203412</v>
      </c>
      <c r="AR45" s="173">
        <v>193545</v>
      </c>
      <c r="AS45" s="173">
        <v>163599</v>
      </c>
      <c r="AT45" s="173">
        <v>570975</v>
      </c>
      <c r="AU45" s="174">
        <v>1131531</v>
      </c>
      <c r="AV45" s="172">
        <v>20148</v>
      </c>
      <c r="AW45" s="173">
        <v>11178</v>
      </c>
      <c r="AX45" s="173">
        <v>18354</v>
      </c>
      <c r="AY45" s="173">
        <v>21252</v>
      </c>
      <c r="AZ45" s="174">
        <v>70932</v>
      </c>
      <c r="BA45" s="172">
        <v>132825</v>
      </c>
      <c r="BB45" s="173">
        <v>153042</v>
      </c>
      <c r="BC45" s="173">
        <v>159666</v>
      </c>
      <c r="BD45" s="173">
        <v>169119</v>
      </c>
      <c r="BE45" s="174">
        <v>614652</v>
      </c>
      <c r="BF45" s="172">
        <f t="shared" si="14"/>
        <v>37260</v>
      </c>
      <c r="BG45" s="173">
        <f t="shared" si="8"/>
        <v>59961</v>
      </c>
      <c r="BH45" s="173">
        <f t="shared" si="9"/>
        <v>64722</v>
      </c>
      <c r="BI45" s="173">
        <f t="shared" si="10"/>
        <v>66999</v>
      </c>
      <c r="BJ45" s="174">
        <f t="shared" si="11"/>
        <v>228942</v>
      </c>
      <c r="BK45" s="172">
        <v>3105</v>
      </c>
      <c r="BL45" s="173">
        <v>1725</v>
      </c>
      <c r="BM45" s="173">
        <v>1656</v>
      </c>
      <c r="BN45" s="173">
        <v>2760</v>
      </c>
      <c r="BO45" s="174">
        <v>9246</v>
      </c>
      <c r="BP45" s="172">
        <v>7728</v>
      </c>
      <c r="BQ45" s="173">
        <v>10212</v>
      </c>
      <c r="BR45" s="173">
        <v>8763</v>
      </c>
      <c r="BS45" s="173">
        <v>13041</v>
      </c>
      <c r="BT45" s="174">
        <v>39744</v>
      </c>
      <c r="BU45" s="172">
        <v>13041</v>
      </c>
      <c r="BV45" s="173">
        <v>39537</v>
      </c>
      <c r="BW45" s="173">
        <v>50232</v>
      </c>
      <c r="BX45" s="173">
        <v>42987</v>
      </c>
      <c r="BY45" s="174">
        <v>145797</v>
      </c>
      <c r="BZ45" s="172">
        <v>3726</v>
      </c>
      <c r="CA45" s="173">
        <v>3312</v>
      </c>
      <c r="CB45" s="173">
        <v>2967</v>
      </c>
      <c r="CC45" s="173">
        <v>1932</v>
      </c>
      <c r="CD45" s="174">
        <v>11937</v>
      </c>
      <c r="CE45" s="172">
        <v>9660</v>
      </c>
      <c r="CF45" s="173">
        <v>5175</v>
      </c>
      <c r="CG45" s="173">
        <v>1104</v>
      </c>
      <c r="CH45" s="173">
        <v>6279</v>
      </c>
      <c r="CI45" s="174">
        <v>22218</v>
      </c>
    </row>
    <row r="46" spans="1:87">
      <c r="A46" s="170"/>
      <c r="B46" s="171" t="s">
        <v>27</v>
      </c>
      <c r="C46" s="172">
        <f t="shared" si="12"/>
        <v>1166841</v>
      </c>
      <c r="D46" s="173">
        <f t="shared" si="0"/>
        <v>442992</v>
      </c>
      <c r="E46" s="173">
        <f t="shared" si="1"/>
        <v>363306</v>
      </c>
      <c r="F46" s="173">
        <f t="shared" si="2"/>
        <v>1527628</v>
      </c>
      <c r="G46" s="174">
        <f t="shared" si="3"/>
        <v>3500767</v>
      </c>
      <c r="H46" s="172">
        <f t="shared" si="13"/>
        <v>1149852</v>
      </c>
      <c r="I46" s="173">
        <f t="shared" si="4"/>
        <v>433132</v>
      </c>
      <c r="J46" s="173">
        <f t="shared" si="5"/>
        <v>357701</v>
      </c>
      <c r="K46" s="173">
        <f t="shared" si="6"/>
        <v>1524713</v>
      </c>
      <c r="L46" s="174">
        <f t="shared" si="7"/>
        <v>3465398</v>
      </c>
      <c r="M46" s="172">
        <v>2327</v>
      </c>
      <c r="N46" s="173">
        <v>11481</v>
      </c>
      <c r="O46" s="173">
        <v>3269</v>
      </c>
      <c r="P46" s="173">
        <v>7396</v>
      </c>
      <c r="Q46" s="174">
        <v>24473</v>
      </c>
      <c r="R46" s="172">
        <v>11903</v>
      </c>
      <c r="S46" s="173">
        <v>10737</v>
      </c>
      <c r="T46" s="173">
        <v>14922</v>
      </c>
      <c r="U46" s="173">
        <v>35968</v>
      </c>
      <c r="V46" s="174">
        <v>73530</v>
      </c>
      <c r="W46" s="172">
        <v>189890</v>
      </c>
      <c r="X46" s="173">
        <v>171029</v>
      </c>
      <c r="Y46" s="173">
        <v>66456</v>
      </c>
      <c r="Z46" s="173">
        <v>58489</v>
      </c>
      <c r="AA46" s="174">
        <v>485864</v>
      </c>
      <c r="AB46" s="172"/>
      <c r="AC46" s="173">
        <v>2079</v>
      </c>
      <c r="AD46" s="173">
        <v>11936</v>
      </c>
      <c r="AE46" s="173">
        <v>278</v>
      </c>
      <c r="AF46" s="174">
        <v>14293</v>
      </c>
      <c r="AG46" s="172">
        <v>820693</v>
      </c>
      <c r="AH46" s="173">
        <v>158595</v>
      </c>
      <c r="AI46" s="173">
        <v>127305</v>
      </c>
      <c r="AJ46" s="173">
        <v>1300457</v>
      </c>
      <c r="AK46" s="174">
        <v>2407050</v>
      </c>
      <c r="AL46" s="172">
        <v>70320</v>
      </c>
      <c r="AM46" s="173">
        <v>36925</v>
      </c>
      <c r="AN46" s="173">
        <v>25590</v>
      </c>
      <c r="AO46" s="173">
        <v>49716</v>
      </c>
      <c r="AP46" s="174">
        <v>182551</v>
      </c>
      <c r="AQ46" s="172">
        <v>25137</v>
      </c>
      <c r="AR46" s="173">
        <v>19747</v>
      </c>
      <c r="AS46" s="173">
        <v>58273</v>
      </c>
      <c r="AT46" s="173">
        <v>45352</v>
      </c>
      <c r="AU46" s="174">
        <v>148509</v>
      </c>
      <c r="AV46" s="172">
        <v>6105</v>
      </c>
      <c r="AW46" s="173">
        <v>1078</v>
      </c>
      <c r="AX46" s="173">
        <v>3132</v>
      </c>
      <c r="AY46" s="173">
        <v>1376</v>
      </c>
      <c r="AZ46" s="174">
        <v>11691</v>
      </c>
      <c r="BA46" s="172">
        <v>23477</v>
      </c>
      <c r="BB46" s="173">
        <v>21461</v>
      </c>
      <c r="BC46" s="173">
        <v>46818</v>
      </c>
      <c r="BD46" s="173">
        <v>25681</v>
      </c>
      <c r="BE46" s="174">
        <v>117437</v>
      </c>
      <c r="BF46" s="172">
        <f t="shared" si="14"/>
        <v>16989</v>
      </c>
      <c r="BG46" s="173">
        <f t="shared" si="8"/>
        <v>9860</v>
      </c>
      <c r="BH46" s="173">
        <f t="shared" si="9"/>
        <v>5605</v>
      </c>
      <c r="BI46" s="173">
        <f t="shared" si="10"/>
        <v>2915</v>
      </c>
      <c r="BJ46" s="174">
        <f t="shared" si="11"/>
        <v>35369</v>
      </c>
      <c r="BK46" s="172">
        <v>147</v>
      </c>
      <c r="BL46" s="173">
        <v>1140</v>
      </c>
      <c r="BM46" s="173"/>
      <c r="BN46" s="173"/>
      <c r="BO46" s="174">
        <v>1287</v>
      </c>
      <c r="BP46" s="172">
        <v>7126</v>
      </c>
      <c r="BQ46" s="173">
        <v>6482</v>
      </c>
      <c r="BR46" s="173">
        <v>4278</v>
      </c>
      <c r="BS46" s="173">
        <v>2327</v>
      </c>
      <c r="BT46" s="174">
        <v>20213</v>
      </c>
      <c r="BU46" s="172">
        <v>8834</v>
      </c>
      <c r="BV46" s="173">
        <v>1880</v>
      </c>
      <c r="BW46" s="173">
        <v>1148</v>
      </c>
      <c r="BX46" s="173">
        <v>588</v>
      </c>
      <c r="BY46" s="174">
        <v>12450</v>
      </c>
      <c r="BZ46" s="172"/>
      <c r="CA46" s="173">
        <v>358</v>
      </c>
      <c r="CB46" s="173">
        <v>179</v>
      </c>
      <c r="CC46" s="173"/>
      <c r="CD46" s="174">
        <v>537</v>
      </c>
      <c r="CE46" s="172">
        <v>882</v>
      </c>
      <c r="CF46" s="173"/>
      <c r="CG46" s="173"/>
      <c r="CH46" s="173"/>
      <c r="CI46" s="174">
        <v>882</v>
      </c>
    </row>
    <row r="47" spans="1:87">
      <c r="A47" s="170"/>
      <c r="B47" s="171" t="s">
        <v>28</v>
      </c>
      <c r="C47" s="172">
        <f t="shared" si="12"/>
        <v>2562365</v>
      </c>
      <c r="D47" s="173">
        <f t="shared" si="0"/>
        <v>1764307</v>
      </c>
      <c r="E47" s="173">
        <f t="shared" si="1"/>
        <v>1300735</v>
      </c>
      <c r="F47" s="173">
        <f t="shared" si="2"/>
        <v>3197736</v>
      </c>
      <c r="G47" s="174">
        <f t="shared" si="3"/>
        <v>8825143</v>
      </c>
      <c r="H47" s="172">
        <f t="shared" si="13"/>
        <v>2535031</v>
      </c>
      <c r="I47" s="173">
        <f t="shared" si="4"/>
        <v>1710508</v>
      </c>
      <c r="J47" s="173">
        <f t="shared" si="5"/>
        <v>1234849</v>
      </c>
      <c r="K47" s="173">
        <f t="shared" si="6"/>
        <v>3123002</v>
      </c>
      <c r="L47" s="174">
        <f t="shared" si="7"/>
        <v>8603390</v>
      </c>
      <c r="M47" s="172">
        <v>15879</v>
      </c>
      <c r="N47" s="173">
        <v>9243</v>
      </c>
      <c r="O47" s="173">
        <v>25912</v>
      </c>
      <c r="P47" s="173">
        <v>178373</v>
      </c>
      <c r="Q47" s="174">
        <v>229407</v>
      </c>
      <c r="R47" s="172">
        <v>72048</v>
      </c>
      <c r="S47" s="173">
        <v>54589</v>
      </c>
      <c r="T47" s="173">
        <v>63516</v>
      </c>
      <c r="U47" s="173">
        <v>145131</v>
      </c>
      <c r="V47" s="174">
        <v>335284</v>
      </c>
      <c r="W47" s="172">
        <v>308021</v>
      </c>
      <c r="X47" s="173">
        <v>232418</v>
      </c>
      <c r="Y47" s="173">
        <v>121344</v>
      </c>
      <c r="Z47" s="173">
        <v>88480</v>
      </c>
      <c r="AA47" s="174">
        <v>750263</v>
      </c>
      <c r="AB47" s="172"/>
      <c r="AC47" s="173">
        <v>271681</v>
      </c>
      <c r="AD47" s="173">
        <v>162424</v>
      </c>
      <c r="AE47" s="173">
        <v>274889</v>
      </c>
      <c r="AF47" s="174">
        <v>708994</v>
      </c>
      <c r="AG47" s="172">
        <v>1733576</v>
      </c>
      <c r="AH47" s="173">
        <v>728538</v>
      </c>
      <c r="AI47" s="173">
        <v>437344</v>
      </c>
      <c r="AJ47" s="173">
        <v>1607912</v>
      </c>
      <c r="AK47" s="174">
        <v>4507370</v>
      </c>
      <c r="AL47" s="172">
        <v>95669</v>
      </c>
      <c r="AM47" s="173">
        <v>101594</v>
      </c>
      <c r="AN47" s="173">
        <v>60830</v>
      </c>
      <c r="AO47" s="173">
        <v>165173</v>
      </c>
      <c r="AP47" s="174">
        <v>423266</v>
      </c>
      <c r="AQ47" s="172">
        <v>134458</v>
      </c>
      <c r="AR47" s="173">
        <v>185650</v>
      </c>
      <c r="AS47" s="173">
        <v>227125</v>
      </c>
      <c r="AT47" s="173">
        <v>519817</v>
      </c>
      <c r="AU47" s="174">
        <v>1067050</v>
      </c>
      <c r="AV47" s="172">
        <v>18407</v>
      </c>
      <c r="AW47" s="173">
        <v>6478</v>
      </c>
      <c r="AX47" s="173">
        <v>395</v>
      </c>
      <c r="AY47" s="173"/>
      <c r="AZ47" s="174">
        <v>25280</v>
      </c>
      <c r="BA47" s="172">
        <v>156973</v>
      </c>
      <c r="BB47" s="173">
        <v>120317</v>
      </c>
      <c r="BC47" s="173">
        <v>135959</v>
      </c>
      <c r="BD47" s="173">
        <v>143227</v>
      </c>
      <c r="BE47" s="174">
        <v>556476</v>
      </c>
      <c r="BF47" s="172">
        <f t="shared" si="14"/>
        <v>27334</v>
      </c>
      <c r="BG47" s="173">
        <f t="shared" si="8"/>
        <v>53799</v>
      </c>
      <c r="BH47" s="173">
        <f t="shared" si="9"/>
        <v>65886</v>
      </c>
      <c r="BI47" s="173">
        <f t="shared" si="10"/>
        <v>74734</v>
      </c>
      <c r="BJ47" s="174">
        <f t="shared" si="11"/>
        <v>221753</v>
      </c>
      <c r="BK47" s="172">
        <v>2133</v>
      </c>
      <c r="BL47" s="173">
        <v>5056</v>
      </c>
      <c r="BM47" s="173">
        <v>6478</v>
      </c>
      <c r="BN47" s="173">
        <v>8453</v>
      </c>
      <c r="BO47" s="174">
        <v>22120</v>
      </c>
      <c r="BP47" s="172">
        <v>12324</v>
      </c>
      <c r="BQ47" s="173">
        <v>16827</v>
      </c>
      <c r="BR47" s="173">
        <v>16274</v>
      </c>
      <c r="BS47" s="173">
        <v>12640</v>
      </c>
      <c r="BT47" s="174">
        <v>58065</v>
      </c>
      <c r="BU47" s="172">
        <v>2607</v>
      </c>
      <c r="BV47" s="173">
        <v>29072</v>
      </c>
      <c r="BW47" s="173">
        <v>37920</v>
      </c>
      <c r="BX47" s="173">
        <v>45741</v>
      </c>
      <c r="BY47" s="174">
        <v>115340</v>
      </c>
      <c r="BZ47" s="172">
        <v>4582</v>
      </c>
      <c r="CA47" s="173">
        <v>2844</v>
      </c>
      <c r="CB47" s="173">
        <v>2923</v>
      </c>
      <c r="CC47" s="173">
        <v>5135</v>
      </c>
      <c r="CD47" s="174">
        <v>15484</v>
      </c>
      <c r="CE47" s="172">
        <v>5688</v>
      </c>
      <c r="CF47" s="173"/>
      <c r="CG47" s="173">
        <v>2291</v>
      </c>
      <c r="CH47" s="173">
        <v>2765</v>
      </c>
      <c r="CI47" s="174">
        <v>10744</v>
      </c>
    </row>
    <row r="48" s="147" customFormat="1" ht="14.6" spans="1:87">
      <c r="A48" s="175" t="s">
        <v>50</v>
      </c>
      <c r="B48" s="176"/>
      <c r="C48" s="177">
        <f t="shared" si="12"/>
        <v>5213189</v>
      </c>
      <c r="D48" s="178">
        <f t="shared" si="0"/>
        <v>3436120</v>
      </c>
      <c r="E48" s="178">
        <f t="shared" si="1"/>
        <v>2775286</v>
      </c>
      <c r="F48" s="178">
        <f t="shared" si="2"/>
        <v>7644823</v>
      </c>
      <c r="G48" s="179">
        <f t="shared" si="3"/>
        <v>19069418</v>
      </c>
      <c r="H48" s="177">
        <f t="shared" si="13"/>
        <v>5131606</v>
      </c>
      <c r="I48" s="178">
        <f t="shared" si="4"/>
        <v>3312500</v>
      </c>
      <c r="J48" s="178">
        <f t="shared" si="5"/>
        <v>2639073</v>
      </c>
      <c r="K48" s="178">
        <f t="shared" si="6"/>
        <v>7500175</v>
      </c>
      <c r="L48" s="179">
        <f t="shared" si="7"/>
        <v>18583354</v>
      </c>
      <c r="M48" s="177">
        <v>64850</v>
      </c>
      <c r="N48" s="178">
        <v>81237</v>
      </c>
      <c r="O48" s="178">
        <v>76860</v>
      </c>
      <c r="P48" s="178">
        <v>300378</v>
      </c>
      <c r="Q48" s="179">
        <v>523325</v>
      </c>
      <c r="R48" s="177">
        <v>145430</v>
      </c>
      <c r="S48" s="178">
        <v>109417</v>
      </c>
      <c r="T48" s="178">
        <v>127773</v>
      </c>
      <c r="U48" s="178">
        <v>307507</v>
      </c>
      <c r="V48" s="179">
        <v>690127</v>
      </c>
      <c r="W48" s="177">
        <v>580711</v>
      </c>
      <c r="X48" s="178">
        <v>462166</v>
      </c>
      <c r="Y48" s="178">
        <v>219609</v>
      </c>
      <c r="Z48" s="178">
        <v>213623</v>
      </c>
      <c r="AA48" s="179">
        <v>1476109</v>
      </c>
      <c r="AB48" s="177">
        <v>79557</v>
      </c>
      <c r="AC48" s="178">
        <v>389473</v>
      </c>
      <c r="AD48" s="178">
        <v>359694</v>
      </c>
      <c r="AE48" s="178">
        <v>846349</v>
      </c>
      <c r="AF48" s="179">
        <v>1675073</v>
      </c>
      <c r="AG48" s="177">
        <v>3320307</v>
      </c>
      <c r="AH48" s="178">
        <v>1353918</v>
      </c>
      <c r="AI48" s="178">
        <v>879979</v>
      </c>
      <c r="AJ48" s="178">
        <v>3992290</v>
      </c>
      <c r="AK48" s="179">
        <v>9546494</v>
      </c>
      <c r="AL48" s="177">
        <v>219809</v>
      </c>
      <c r="AM48" s="178">
        <v>203793</v>
      </c>
      <c r="AN48" s="178">
        <v>161837</v>
      </c>
      <c r="AO48" s="178">
        <v>343229</v>
      </c>
      <c r="AP48" s="179">
        <v>928668</v>
      </c>
      <c r="AQ48" s="177">
        <v>363007</v>
      </c>
      <c r="AR48" s="178">
        <v>398942</v>
      </c>
      <c r="AS48" s="178">
        <v>448997</v>
      </c>
      <c r="AT48" s="178">
        <v>1136144</v>
      </c>
      <c r="AU48" s="179">
        <v>2347090</v>
      </c>
      <c r="AV48" s="177">
        <v>44660</v>
      </c>
      <c r="AW48" s="178">
        <v>18734</v>
      </c>
      <c r="AX48" s="178">
        <v>21881</v>
      </c>
      <c r="AY48" s="178">
        <v>22628</v>
      </c>
      <c r="AZ48" s="179">
        <v>107903</v>
      </c>
      <c r="BA48" s="177">
        <v>313275</v>
      </c>
      <c r="BB48" s="178">
        <v>294820</v>
      </c>
      <c r="BC48" s="178">
        <v>342443</v>
      </c>
      <c r="BD48" s="178">
        <v>338027</v>
      </c>
      <c r="BE48" s="179">
        <v>1288565</v>
      </c>
      <c r="BF48" s="177">
        <f t="shared" si="14"/>
        <v>81583</v>
      </c>
      <c r="BG48" s="178">
        <f t="shared" si="8"/>
        <v>123620</v>
      </c>
      <c r="BH48" s="178">
        <f t="shared" si="9"/>
        <v>136213</v>
      </c>
      <c r="BI48" s="178">
        <f t="shared" si="10"/>
        <v>144648</v>
      </c>
      <c r="BJ48" s="179">
        <f t="shared" si="11"/>
        <v>486064</v>
      </c>
      <c r="BK48" s="177">
        <v>5385</v>
      </c>
      <c r="BL48" s="178">
        <v>7921</v>
      </c>
      <c r="BM48" s="178">
        <v>8134</v>
      </c>
      <c r="BN48" s="178">
        <v>11213</v>
      </c>
      <c r="BO48" s="179">
        <v>32653</v>
      </c>
      <c r="BP48" s="177">
        <v>27178</v>
      </c>
      <c r="BQ48" s="178">
        <v>33521</v>
      </c>
      <c r="BR48" s="178">
        <v>29315</v>
      </c>
      <c r="BS48" s="178">
        <v>28008</v>
      </c>
      <c r="BT48" s="179">
        <v>118022</v>
      </c>
      <c r="BU48" s="177">
        <v>24482</v>
      </c>
      <c r="BV48" s="178">
        <v>70489</v>
      </c>
      <c r="BW48" s="178">
        <v>89300</v>
      </c>
      <c r="BX48" s="178">
        <v>89316</v>
      </c>
      <c r="BY48" s="179">
        <v>273587</v>
      </c>
      <c r="BZ48" s="177">
        <v>8308</v>
      </c>
      <c r="CA48" s="178">
        <v>6514</v>
      </c>
      <c r="CB48" s="178">
        <v>6069</v>
      </c>
      <c r="CC48" s="178">
        <v>7067</v>
      </c>
      <c r="CD48" s="179">
        <v>27958</v>
      </c>
      <c r="CE48" s="177">
        <v>16230</v>
      </c>
      <c r="CF48" s="178">
        <v>5175</v>
      </c>
      <c r="CG48" s="178">
        <v>3395</v>
      </c>
      <c r="CH48" s="178">
        <v>9044</v>
      </c>
      <c r="CI48" s="179">
        <v>33844</v>
      </c>
    </row>
    <row r="49" spans="1:87">
      <c r="A49" s="170" t="s">
        <v>51</v>
      </c>
      <c r="B49" s="171" t="s">
        <v>26</v>
      </c>
      <c r="C49" s="172">
        <f t="shared" si="12"/>
        <v>1469696</v>
      </c>
      <c r="D49" s="173">
        <f t="shared" si="0"/>
        <v>1216111</v>
      </c>
      <c r="E49" s="173">
        <f t="shared" si="1"/>
        <v>1114377</v>
      </c>
      <c r="F49" s="173">
        <f t="shared" si="2"/>
        <v>1013422</v>
      </c>
      <c r="G49" s="174">
        <f t="shared" si="3"/>
        <v>4813606</v>
      </c>
      <c r="H49" s="172">
        <f t="shared" si="13"/>
        <v>1201188</v>
      </c>
      <c r="I49" s="173">
        <f t="shared" si="4"/>
        <v>962707</v>
      </c>
      <c r="J49" s="173">
        <f t="shared" si="5"/>
        <v>868642</v>
      </c>
      <c r="K49" s="173">
        <f t="shared" si="6"/>
        <v>863156</v>
      </c>
      <c r="L49" s="174">
        <f t="shared" si="7"/>
        <v>3895693</v>
      </c>
      <c r="M49" s="172">
        <v>169583</v>
      </c>
      <c r="N49" s="173">
        <v>111031</v>
      </c>
      <c r="O49" s="173">
        <v>88833</v>
      </c>
      <c r="P49" s="173">
        <v>76259</v>
      </c>
      <c r="Q49" s="174">
        <v>445706</v>
      </c>
      <c r="R49" s="172">
        <v>79456</v>
      </c>
      <c r="S49" s="173">
        <v>32354</v>
      </c>
      <c r="T49" s="173">
        <v>50045</v>
      </c>
      <c r="U49" s="173">
        <v>28167</v>
      </c>
      <c r="V49" s="174">
        <v>190022</v>
      </c>
      <c r="W49" s="172">
        <v>71611</v>
      </c>
      <c r="X49" s="173">
        <v>49288</v>
      </c>
      <c r="Y49" s="173">
        <v>42776</v>
      </c>
      <c r="Z49" s="173">
        <v>54620</v>
      </c>
      <c r="AA49" s="174">
        <v>218295</v>
      </c>
      <c r="AB49" s="172">
        <v>136311</v>
      </c>
      <c r="AC49" s="173">
        <v>189672</v>
      </c>
      <c r="AD49" s="173">
        <v>146507</v>
      </c>
      <c r="AE49" s="173">
        <v>288367</v>
      </c>
      <c r="AF49" s="174">
        <v>760857</v>
      </c>
      <c r="AG49" s="172">
        <v>233355</v>
      </c>
      <c r="AH49" s="173">
        <v>163338</v>
      </c>
      <c r="AI49" s="173">
        <v>132520</v>
      </c>
      <c r="AJ49" s="173">
        <v>104519</v>
      </c>
      <c r="AK49" s="174">
        <v>633732</v>
      </c>
      <c r="AL49" s="172">
        <v>21488</v>
      </c>
      <c r="AM49" s="173">
        <v>24757</v>
      </c>
      <c r="AN49" s="173">
        <v>23376</v>
      </c>
      <c r="AO49" s="173">
        <v>21470</v>
      </c>
      <c r="AP49" s="174">
        <v>91091</v>
      </c>
      <c r="AQ49" s="172">
        <v>115254</v>
      </c>
      <c r="AR49" s="173">
        <v>94458</v>
      </c>
      <c r="AS49" s="173">
        <v>82287</v>
      </c>
      <c r="AT49" s="173">
        <v>70531</v>
      </c>
      <c r="AU49" s="174">
        <v>362530</v>
      </c>
      <c r="AV49" s="172">
        <v>36869</v>
      </c>
      <c r="AW49" s="173">
        <v>20401</v>
      </c>
      <c r="AX49" s="173">
        <v>23351</v>
      </c>
      <c r="AY49" s="173">
        <v>15529</v>
      </c>
      <c r="AZ49" s="174">
        <v>96150</v>
      </c>
      <c r="BA49" s="172">
        <v>337261</v>
      </c>
      <c r="BB49" s="173">
        <v>277408</v>
      </c>
      <c r="BC49" s="173">
        <v>278947</v>
      </c>
      <c r="BD49" s="173">
        <v>203694</v>
      </c>
      <c r="BE49" s="174">
        <v>1097310</v>
      </c>
      <c r="BF49" s="172">
        <f t="shared" si="14"/>
        <v>268508</v>
      </c>
      <c r="BG49" s="173">
        <f t="shared" si="8"/>
        <v>253404</v>
      </c>
      <c r="BH49" s="173">
        <f t="shared" si="9"/>
        <v>245735</v>
      </c>
      <c r="BI49" s="173">
        <f t="shared" si="10"/>
        <v>150266</v>
      </c>
      <c r="BJ49" s="174">
        <f t="shared" si="11"/>
        <v>917913</v>
      </c>
      <c r="BK49" s="172">
        <v>8203</v>
      </c>
      <c r="BL49" s="173">
        <v>10212</v>
      </c>
      <c r="BM49" s="173">
        <v>6693</v>
      </c>
      <c r="BN49" s="173">
        <v>6255</v>
      </c>
      <c r="BO49" s="174">
        <v>31363</v>
      </c>
      <c r="BP49" s="172">
        <v>90249</v>
      </c>
      <c r="BQ49" s="173">
        <v>65014</v>
      </c>
      <c r="BR49" s="173">
        <v>63854</v>
      </c>
      <c r="BS49" s="173">
        <v>24096</v>
      </c>
      <c r="BT49" s="174">
        <v>243213</v>
      </c>
      <c r="BU49" s="172">
        <v>119242</v>
      </c>
      <c r="BV49" s="173">
        <v>133883</v>
      </c>
      <c r="BW49" s="173">
        <v>127044</v>
      </c>
      <c r="BX49" s="173">
        <v>81809</v>
      </c>
      <c r="BY49" s="174">
        <v>461978</v>
      </c>
      <c r="BZ49" s="172">
        <v>38259</v>
      </c>
      <c r="CA49" s="173">
        <v>37740</v>
      </c>
      <c r="CB49" s="173">
        <v>39156</v>
      </c>
      <c r="CC49" s="173">
        <v>29160</v>
      </c>
      <c r="CD49" s="174">
        <v>144315</v>
      </c>
      <c r="CE49" s="172">
        <v>12555</v>
      </c>
      <c r="CF49" s="173">
        <v>6555</v>
      </c>
      <c r="CG49" s="173">
        <v>8988</v>
      </c>
      <c r="CH49" s="173">
        <v>8946</v>
      </c>
      <c r="CI49" s="174">
        <v>37044</v>
      </c>
    </row>
    <row r="50" spans="1:87">
      <c r="A50" s="170"/>
      <c r="B50" s="171" t="s">
        <v>27</v>
      </c>
      <c r="C50" s="172">
        <f t="shared" si="12"/>
        <v>33217</v>
      </c>
      <c r="D50" s="173">
        <f t="shared" si="0"/>
        <v>21203</v>
      </c>
      <c r="E50" s="173">
        <f t="shared" si="1"/>
        <v>24565</v>
      </c>
      <c r="F50" s="173">
        <f t="shared" si="2"/>
        <v>19110</v>
      </c>
      <c r="G50" s="174">
        <f t="shared" si="3"/>
        <v>98095</v>
      </c>
      <c r="H50" s="172">
        <f t="shared" si="13"/>
        <v>20818</v>
      </c>
      <c r="I50" s="173">
        <f t="shared" si="4"/>
        <v>14992</v>
      </c>
      <c r="J50" s="173">
        <f t="shared" si="5"/>
        <v>14103</v>
      </c>
      <c r="K50" s="173">
        <f t="shared" si="6"/>
        <v>11250</v>
      </c>
      <c r="L50" s="174">
        <f t="shared" si="7"/>
        <v>61163</v>
      </c>
      <c r="M50" s="172">
        <v>1485</v>
      </c>
      <c r="N50" s="173">
        <v>1085</v>
      </c>
      <c r="O50" s="173">
        <v>196</v>
      </c>
      <c r="P50" s="173">
        <v>333</v>
      </c>
      <c r="Q50" s="174">
        <v>3099</v>
      </c>
      <c r="R50" s="172">
        <v>490</v>
      </c>
      <c r="S50" s="173">
        <v>931</v>
      </c>
      <c r="T50" s="173">
        <v>49</v>
      </c>
      <c r="U50" s="173">
        <v>539</v>
      </c>
      <c r="V50" s="174">
        <v>2009</v>
      </c>
      <c r="W50" s="172"/>
      <c r="X50" s="173"/>
      <c r="Y50" s="173"/>
      <c r="Z50" s="173"/>
      <c r="AA50" s="174"/>
      <c r="AB50" s="172">
        <v>3450</v>
      </c>
      <c r="AC50" s="173">
        <v>1330</v>
      </c>
      <c r="AD50" s="173">
        <v>940</v>
      </c>
      <c r="AE50" s="173">
        <v>49</v>
      </c>
      <c r="AF50" s="174">
        <v>5769</v>
      </c>
      <c r="AG50" s="172">
        <v>1323</v>
      </c>
      <c r="AH50" s="173">
        <v>784</v>
      </c>
      <c r="AI50" s="173">
        <v>196</v>
      </c>
      <c r="AJ50" s="173"/>
      <c r="AK50" s="174">
        <v>2303</v>
      </c>
      <c r="AL50" s="172">
        <v>312</v>
      </c>
      <c r="AM50" s="173">
        <v>78</v>
      </c>
      <c r="AN50" s="173"/>
      <c r="AO50" s="173"/>
      <c r="AP50" s="174">
        <v>390</v>
      </c>
      <c r="AQ50" s="172">
        <v>2556</v>
      </c>
      <c r="AR50" s="173">
        <v>1289</v>
      </c>
      <c r="AS50" s="173">
        <v>2021</v>
      </c>
      <c r="AT50" s="173">
        <v>199</v>
      </c>
      <c r="AU50" s="174">
        <v>6065</v>
      </c>
      <c r="AV50" s="172">
        <v>2671</v>
      </c>
      <c r="AW50" s="173">
        <v>2866</v>
      </c>
      <c r="AX50" s="173">
        <v>2610</v>
      </c>
      <c r="AY50" s="173">
        <v>2460</v>
      </c>
      <c r="AZ50" s="174">
        <v>10607</v>
      </c>
      <c r="BA50" s="172">
        <v>8531</v>
      </c>
      <c r="BB50" s="173">
        <v>6629</v>
      </c>
      <c r="BC50" s="173">
        <v>8091</v>
      </c>
      <c r="BD50" s="173">
        <v>7670</v>
      </c>
      <c r="BE50" s="174">
        <v>30921</v>
      </c>
      <c r="BF50" s="172">
        <f t="shared" si="14"/>
        <v>12399</v>
      </c>
      <c r="BG50" s="173">
        <f t="shared" si="8"/>
        <v>6211</v>
      </c>
      <c r="BH50" s="173">
        <f t="shared" si="9"/>
        <v>10462</v>
      </c>
      <c r="BI50" s="173">
        <f t="shared" si="10"/>
        <v>7860</v>
      </c>
      <c r="BJ50" s="174">
        <f t="shared" si="11"/>
        <v>36932</v>
      </c>
      <c r="BK50" s="172">
        <v>871</v>
      </c>
      <c r="BL50" s="173">
        <v>444</v>
      </c>
      <c r="BM50" s="173">
        <v>277</v>
      </c>
      <c r="BN50" s="173">
        <v>198</v>
      </c>
      <c r="BO50" s="174">
        <v>1790</v>
      </c>
      <c r="BP50" s="172">
        <v>2130</v>
      </c>
      <c r="BQ50" s="173">
        <v>1323</v>
      </c>
      <c r="BR50" s="173">
        <v>2124</v>
      </c>
      <c r="BS50" s="173">
        <v>891</v>
      </c>
      <c r="BT50" s="174">
        <v>6468</v>
      </c>
      <c r="BU50" s="172">
        <v>8903</v>
      </c>
      <c r="BV50" s="173">
        <v>4246</v>
      </c>
      <c r="BW50" s="173">
        <v>7764</v>
      </c>
      <c r="BX50" s="173">
        <v>6573</v>
      </c>
      <c r="BY50" s="174">
        <v>27486</v>
      </c>
      <c r="BZ50" s="172">
        <v>495</v>
      </c>
      <c r="CA50" s="173">
        <v>198</v>
      </c>
      <c r="CB50" s="173">
        <v>297</v>
      </c>
      <c r="CC50" s="173">
        <v>198</v>
      </c>
      <c r="CD50" s="174">
        <v>1188</v>
      </c>
      <c r="CE50" s="172"/>
      <c r="CF50" s="173"/>
      <c r="CG50" s="173"/>
      <c r="CH50" s="173"/>
      <c r="CI50" s="174"/>
    </row>
    <row r="51" spans="1:87">
      <c r="A51" s="170"/>
      <c r="B51" s="171" t="s">
        <v>28</v>
      </c>
      <c r="C51" s="172">
        <f t="shared" si="12"/>
        <v>2138004</v>
      </c>
      <c r="D51" s="173">
        <f t="shared" si="0"/>
        <v>1612215</v>
      </c>
      <c r="E51" s="173">
        <f t="shared" si="1"/>
        <v>2157311</v>
      </c>
      <c r="F51" s="173">
        <f t="shared" si="2"/>
        <v>3305757</v>
      </c>
      <c r="G51" s="174">
        <f t="shared" si="3"/>
        <v>9213287</v>
      </c>
      <c r="H51" s="172">
        <f t="shared" si="13"/>
        <v>1983267</v>
      </c>
      <c r="I51" s="173">
        <f t="shared" si="4"/>
        <v>1396395</v>
      </c>
      <c r="J51" s="173">
        <f t="shared" si="5"/>
        <v>1825746</v>
      </c>
      <c r="K51" s="173">
        <f t="shared" si="6"/>
        <v>2829216</v>
      </c>
      <c r="L51" s="174">
        <f t="shared" si="7"/>
        <v>8034624</v>
      </c>
      <c r="M51" s="172">
        <v>141174</v>
      </c>
      <c r="N51" s="173">
        <v>144441</v>
      </c>
      <c r="O51" s="173">
        <v>146882</v>
      </c>
      <c r="P51" s="173">
        <v>255169</v>
      </c>
      <c r="Q51" s="174">
        <v>687666</v>
      </c>
      <c r="R51" s="172">
        <v>9999</v>
      </c>
      <c r="S51" s="173">
        <v>5247</v>
      </c>
      <c r="T51" s="173">
        <v>112895</v>
      </c>
      <c r="U51" s="173">
        <v>310183</v>
      </c>
      <c r="V51" s="174">
        <v>438324</v>
      </c>
      <c r="W51" s="172">
        <v>248589</v>
      </c>
      <c r="X51" s="173">
        <v>277695</v>
      </c>
      <c r="Y51" s="173">
        <v>565622</v>
      </c>
      <c r="Z51" s="173">
        <v>393459</v>
      </c>
      <c r="AA51" s="174">
        <v>1485365</v>
      </c>
      <c r="AB51" s="172">
        <v>184338</v>
      </c>
      <c r="AC51" s="173">
        <v>232650</v>
      </c>
      <c r="AD51" s="173">
        <v>195902</v>
      </c>
      <c r="AE51" s="173">
        <v>181466</v>
      </c>
      <c r="AF51" s="174">
        <v>794356</v>
      </c>
      <c r="AG51" s="172">
        <v>1132461</v>
      </c>
      <c r="AH51" s="173">
        <v>378873</v>
      </c>
      <c r="AI51" s="173">
        <v>561157</v>
      </c>
      <c r="AJ51" s="173">
        <v>802999</v>
      </c>
      <c r="AK51" s="174">
        <v>2875490</v>
      </c>
      <c r="AL51" s="172">
        <v>64548</v>
      </c>
      <c r="AM51" s="173">
        <v>28908</v>
      </c>
      <c r="AN51" s="173">
        <v>61139</v>
      </c>
      <c r="AO51" s="173">
        <v>90159</v>
      </c>
      <c r="AP51" s="174">
        <v>244754</v>
      </c>
      <c r="AQ51" s="172">
        <v>60885</v>
      </c>
      <c r="AR51" s="173">
        <v>37422</v>
      </c>
      <c r="AS51" s="173">
        <v>134629</v>
      </c>
      <c r="AT51" s="173">
        <v>344261</v>
      </c>
      <c r="AU51" s="174">
        <v>577197</v>
      </c>
      <c r="AV51" s="172">
        <v>4851</v>
      </c>
      <c r="AW51" s="173"/>
      <c r="AX51" s="173"/>
      <c r="AY51" s="173">
        <v>15281</v>
      </c>
      <c r="AZ51" s="174">
        <v>20132</v>
      </c>
      <c r="BA51" s="172">
        <v>136422</v>
      </c>
      <c r="BB51" s="173">
        <v>291159</v>
      </c>
      <c r="BC51" s="173">
        <v>47520</v>
      </c>
      <c r="BD51" s="173">
        <v>436239</v>
      </c>
      <c r="BE51" s="174">
        <v>911340</v>
      </c>
      <c r="BF51" s="172">
        <f t="shared" si="14"/>
        <v>154737</v>
      </c>
      <c r="BG51" s="173">
        <f t="shared" si="8"/>
        <v>215820</v>
      </c>
      <c r="BH51" s="173">
        <f t="shared" si="9"/>
        <v>331565</v>
      </c>
      <c r="BI51" s="173">
        <f t="shared" si="10"/>
        <v>476541</v>
      </c>
      <c r="BJ51" s="174">
        <f t="shared" si="11"/>
        <v>1178663</v>
      </c>
      <c r="BK51" s="172">
        <v>18414</v>
      </c>
      <c r="BL51" s="173">
        <v>5544</v>
      </c>
      <c r="BM51" s="173">
        <v>29115</v>
      </c>
      <c r="BN51" s="173">
        <v>30444</v>
      </c>
      <c r="BO51" s="174">
        <v>83517</v>
      </c>
      <c r="BP51" s="172">
        <v>28611</v>
      </c>
      <c r="BQ51" s="173">
        <v>35937</v>
      </c>
      <c r="BR51" s="173">
        <v>37026</v>
      </c>
      <c r="BS51" s="173">
        <v>34155</v>
      </c>
      <c r="BT51" s="174">
        <v>135729</v>
      </c>
      <c r="BU51" s="172">
        <v>74151</v>
      </c>
      <c r="BV51" s="173">
        <v>140976</v>
      </c>
      <c r="BW51" s="173">
        <v>226417</v>
      </c>
      <c r="BX51" s="173">
        <v>341625</v>
      </c>
      <c r="BY51" s="174">
        <v>783169</v>
      </c>
      <c r="BZ51" s="172">
        <v>29403</v>
      </c>
      <c r="CA51" s="173">
        <v>8613</v>
      </c>
      <c r="CB51" s="173">
        <v>24174</v>
      </c>
      <c r="CC51" s="173">
        <v>38635</v>
      </c>
      <c r="CD51" s="174">
        <v>100825</v>
      </c>
      <c r="CE51" s="172">
        <v>4158</v>
      </c>
      <c r="CF51" s="173">
        <v>24750</v>
      </c>
      <c r="CG51" s="173">
        <v>14833</v>
      </c>
      <c r="CH51" s="173">
        <v>31682</v>
      </c>
      <c r="CI51" s="174">
        <v>75423</v>
      </c>
    </row>
    <row r="52" s="147" customFormat="1" ht="14.6" spans="1:87">
      <c r="A52" s="175" t="s">
        <v>52</v>
      </c>
      <c r="B52" s="176"/>
      <c r="C52" s="177">
        <f t="shared" si="12"/>
        <v>3640917</v>
      </c>
      <c r="D52" s="178">
        <f t="shared" si="0"/>
        <v>2849529</v>
      </c>
      <c r="E52" s="178">
        <f t="shared" si="1"/>
        <v>3296253</v>
      </c>
      <c r="F52" s="178">
        <f t="shared" si="2"/>
        <v>4338289</v>
      </c>
      <c r="G52" s="179">
        <f t="shared" si="3"/>
        <v>14124988</v>
      </c>
      <c r="H52" s="177">
        <f t="shared" si="13"/>
        <v>3205273</v>
      </c>
      <c r="I52" s="178">
        <f t="shared" si="4"/>
        <v>2374094</v>
      </c>
      <c r="J52" s="178">
        <f t="shared" si="5"/>
        <v>2708491</v>
      </c>
      <c r="K52" s="178">
        <f t="shared" si="6"/>
        <v>3703622</v>
      </c>
      <c r="L52" s="179">
        <f t="shared" si="7"/>
        <v>11991480</v>
      </c>
      <c r="M52" s="177">
        <v>312242</v>
      </c>
      <c r="N52" s="178">
        <v>256557</v>
      </c>
      <c r="O52" s="178">
        <v>235911</v>
      </c>
      <c r="P52" s="178">
        <v>331761</v>
      </c>
      <c r="Q52" s="179">
        <v>1136471</v>
      </c>
      <c r="R52" s="177">
        <v>89945</v>
      </c>
      <c r="S52" s="178">
        <v>38532</v>
      </c>
      <c r="T52" s="178">
        <v>162989</v>
      </c>
      <c r="U52" s="178">
        <v>338889</v>
      </c>
      <c r="V52" s="179">
        <v>630355</v>
      </c>
      <c r="W52" s="177">
        <v>320200</v>
      </c>
      <c r="X52" s="178">
        <v>326983</v>
      </c>
      <c r="Y52" s="178">
        <v>608398</v>
      </c>
      <c r="Z52" s="178">
        <v>448079</v>
      </c>
      <c r="AA52" s="179">
        <v>1703660</v>
      </c>
      <c r="AB52" s="177">
        <v>324099</v>
      </c>
      <c r="AC52" s="178">
        <v>423652</v>
      </c>
      <c r="AD52" s="178">
        <v>343349</v>
      </c>
      <c r="AE52" s="178">
        <v>469882</v>
      </c>
      <c r="AF52" s="179">
        <v>1560982</v>
      </c>
      <c r="AG52" s="177">
        <v>1367139</v>
      </c>
      <c r="AH52" s="178">
        <v>542995</v>
      </c>
      <c r="AI52" s="178">
        <v>693873</v>
      </c>
      <c r="AJ52" s="178">
        <v>907518</v>
      </c>
      <c r="AK52" s="179">
        <v>3511525</v>
      </c>
      <c r="AL52" s="177">
        <v>86348</v>
      </c>
      <c r="AM52" s="178">
        <v>53743</v>
      </c>
      <c r="AN52" s="178">
        <v>84515</v>
      </c>
      <c r="AO52" s="178">
        <v>111629</v>
      </c>
      <c r="AP52" s="179">
        <v>336235</v>
      </c>
      <c r="AQ52" s="177">
        <v>178695</v>
      </c>
      <c r="AR52" s="178">
        <v>133169</v>
      </c>
      <c r="AS52" s="178">
        <v>218937</v>
      </c>
      <c r="AT52" s="178">
        <v>414991</v>
      </c>
      <c r="AU52" s="179">
        <v>945792</v>
      </c>
      <c r="AV52" s="177">
        <v>44391</v>
      </c>
      <c r="AW52" s="178">
        <v>23267</v>
      </c>
      <c r="AX52" s="178">
        <v>25961</v>
      </c>
      <c r="AY52" s="178">
        <v>33270</v>
      </c>
      <c r="AZ52" s="179">
        <v>126889</v>
      </c>
      <c r="BA52" s="177">
        <v>482214</v>
      </c>
      <c r="BB52" s="178">
        <v>575196</v>
      </c>
      <c r="BC52" s="178">
        <v>334558</v>
      </c>
      <c r="BD52" s="178">
        <v>647603</v>
      </c>
      <c r="BE52" s="179">
        <v>2039571</v>
      </c>
      <c r="BF52" s="177">
        <f t="shared" si="14"/>
        <v>435644</v>
      </c>
      <c r="BG52" s="178">
        <f t="shared" si="8"/>
        <v>475435</v>
      </c>
      <c r="BH52" s="178">
        <f t="shared" si="9"/>
        <v>587762</v>
      </c>
      <c r="BI52" s="178">
        <f t="shared" si="10"/>
        <v>634667</v>
      </c>
      <c r="BJ52" s="179">
        <f t="shared" si="11"/>
        <v>2133508</v>
      </c>
      <c r="BK52" s="177">
        <v>27488</v>
      </c>
      <c r="BL52" s="178">
        <v>16200</v>
      </c>
      <c r="BM52" s="178">
        <v>36085</v>
      </c>
      <c r="BN52" s="178">
        <v>36897</v>
      </c>
      <c r="BO52" s="179">
        <v>116670</v>
      </c>
      <c r="BP52" s="177">
        <v>120990</v>
      </c>
      <c r="BQ52" s="178">
        <v>102274</v>
      </c>
      <c r="BR52" s="178">
        <v>103004</v>
      </c>
      <c r="BS52" s="178">
        <v>59142</v>
      </c>
      <c r="BT52" s="179">
        <v>385410</v>
      </c>
      <c r="BU52" s="177">
        <v>202296</v>
      </c>
      <c r="BV52" s="178">
        <v>279105</v>
      </c>
      <c r="BW52" s="178">
        <v>361225</v>
      </c>
      <c r="BX52" s="178">
        <v>430007</v>
      </c>
      <c r="BY52" s="179">
        <v>1272633</v>
      </c>
      <c r="BZ52" s="177">
        <v>68157</v>
      </c>
      <c r="CA52" s="178">
        <v>46551</v>
      </c>
      <c r="CB52" s="178">
        <v>63627</v>
      </c>
      <c r="CC52" s="178">
        <v>67993</v>
      </c>
      <c r="CD52" s="179">
        <v>246328</v>
      </c>
      <c r="CE52" s="177">
        <v>16713</v>
      </c>
      <c r="CF52" s="178">
        <v>31305</v>
      </c>
      <c r="CG52" s="178">
        <v>23821</v>
      </c>
      <c r="CH52" s="178">
        <v>40628</v>
      </c>
      <c r="CI52" s="179">
        <v>112467</v>
      </c>
    </row>
    <row r="53" spans="1:87">
      <c r="A53" s="170" t="s">
        <v>53</v>
      </c>
      <c r="B53" s="171" t="s">
        <v>26</v>
      </c>
      <c r="C53" s="172">
        <f t="shared" si="12"/>
        <v>1512266</v>
      </c>
      <c r="D53" s="173">
        <f t="shared" si="0"/>
        <v>1952165</v>
      </c>
      <c r="E53" s="173">
        <f t="shared" si="1"/>
        <v>2386886</v>
      </c>
      <c r="F53" s="173">
        <f t="shared" si="2"/>
        <v>2099935</v>
      </c>
      <c r="G53" s="174">
        <f t="shared" si="3"/>
        <v>7951252</v>
      </c>
      <c r="H53" s="172">
        <f t="shared" si="13"/>
        <v>1039146</v>
      </c>
      <c r="I53" s="173">
        <f t="shared" si="4"/>
        <v>1347426</v>
      </c>
      <c r="J53" s="173">
        <f t="shared" si="5"/>
        <v>1712095</v>
      </c>
      <c r="K53" s="173">
        <f t="shared" si="6"/>
        <v>1487441</v>
      </c>
      <c r="L53" s="174">
        <f t="shared" si="7"/>
        <v>5586108</v>
      </c>
      <c r="M53" s="172">
        <v>167097</v>
      </c>
      <c r="N53" s="173">
        <v>266069</v>
      </c>
      <c r="O53" s="173">
        <v>317436</v>
      </c>
      <c r="P53" s="173">
        <v>270715</v>
      </c>
      <c r="Q53" s="174">
        <v>1021317</v>
      </c>
      <c r="R53" s="172">
        <v>104059</v>
      </c>
      <c r="S53" s="173">
        <v>174659</v>
      </c>
      <c r="T53" s="173">
        <v>244951</v>
      </c>
      <c r="U53" s="173">
        <v>175950</v>
      </c>
      <c r="V53" s="174">
        <v>699619</v>
      </c>
      <c r="W53" s="172">
        <v>44184</v>
      </c>
      <c r="X53" s="173">
        <v>46598</v>
      </c>
      <c r="Y53" s="173">
        <v>70090</v>
      </c>
      <c r="Z53" s="173">
        <v>77476</v>
      </c>
      <c r="AA53" s="174">
        <v>238348</v>
      </c>
      <c r="AB53" s="172">
        <v>30363</v>
      </c>
      <c r="AC53" s="173">
        <v>202039</v>
      </c>
      <c r="AD53" s="173">
        <v>181541</v>
      </c>
      <c r="AE53" s="173">
        <v>116272</v>
      </c>
      <c r="AF53" s="174">
        <v>530215</v>
      </c>
      <c r="AG53" s="172">
        <v>112417</v>
      </c>
      <c r="AH53" s="173">
        <v>181616</v>
      </c>
      <c r="AI53" s="173">
        <v>174321</v>
      </c>
      <c r="AJ53" s="173">
        <v>152510</v>
      </c>
      <c r="AK53" s="174">
        <v>620864</v>
      </c>
      <c r="AL53" s="172">
        <v>15880</v>
      </c>
      <c r="AM53" s="173">
        <v>23265</v>
      </c>
      <c r="AN53" s="173">
        <v>38919</v>
      </c>
      <c r="AO53" s="173">
        <v>30042</v>
      </c>
      <c r="AP53" s="174">
        <v>108106</v>
      </c>
      <c r="AQ53" s="172">
        <v>40599</v>
      </c>
      <c r="AR53" s="173">
        <v>52581</v>
      </c>
      <c r="AS53" s="173">
        <v>89139</v>
      </c>
      <c r="AT53" s="173">
        <v>63086</v>
      </c>
      <c r="AU53" s="174">
        <v>245405</v>
      </c>
      <c r="AV53" s="172">
        <v>47685</v>
      </c>
      <c r="AW53" s="173">
        <v>21102</v>
      </c>
      <c r="AX53" s="173">
        <v>44152</v>
      </c>
      <c r="AY53" s="173">
        <v>53864</v>
      </c>
      <c r="AZ53" s="174">
        <v>166803</v>
      </c>
      <c r="BA53" s="172">
        <v>476862</v>
      </c>
      <c r="BB53" s="173">
        <v>379497</v>
      </c>
      <c r="BC53" s="173">
        <v>551546</v>
      </c>
      <c r="BD53" s="173">
        <v>547526</v>
      </c>
      <c r="BE53" s="174">
        <v>1955431</v>
      </c>
      <c r="BF53" s="172">
        <f t="shared" si="14"/>
        <v>473120</v>
      </c>
      <c r="BG53" s="173">
        <f t="shared" si="8"/>
        <v>604739</v>
      </c>
      <c r="BH53" s="173">
        <f t="shared" si="9"/>
        <v>674791</v>
      </c>
      <c r="BI53" s="173">
        <f t="shared" si="10"/>
        <v>612494</v>
      </c>
      <c r="BJ53" s="174">
        <f t="shared" si="11"/>
        <v>2365144</v>
      </c>
      <c r="BK53" s="172">
        <v>18080</v>
      </c>
      <c r="BL53" s="173">
        <v>27856</v>
      </c>
      <c r="BM53" s="173">
        <v>35198</v>
      </c>
      <c r="BN53" s="173">
        <v>22858</v>
      </c>
      <c r="BO53" s="174">
        <v>103992</v>
      </c>
      <c r="BP53" s="172">
        <v>161920</v>
      </c>
      <c r="BQ53" s="173">
        <v>215444</v>
      </c>
      <c r="BR53" s="173">
        <v>244829</v>
      </c>
      <c r="BS53" s="173">
        <v>170105</v>
      </c>
      <c r="BT53" s="174">
        <v>792298</v>
      </c>
      <c r="BU53" s="172">
        <v>216764</v>
      </c>
      <c r="BV53" s="173">
        <v>256461</v>
      </c>
      <c r="BW53" s="173">
        <v>312843</v>
      </c>
      <c r="BX53" s="173">
        <v>338922</v>
      </c>
      <c r="BY53" s="174">
        <v>1124990</v>
      </c>
      <c r="BZ53" s="172">
        <v>46089</v>
      </c>
      <c r="CA53" s="173">
        <v>52450</v>
      </c>
      <c r="CB53" s="173">
        <v>47963</v>
      </c>
      <c r="CC53" s="173">
        <v>36779</v>
      </c>
      <c r="CD53" s="174">
        <v>183281</v>
      </c>
      <c r="CE53" s="172">
        <v>30267</v>
      </c>
      <c r="CF53" s="173">
        <v>52528</v>
      </c>
      <c r="CG53" s="173">
        <v>33958</v>
      </c>
      <c r="CH53" s="173">
        <v>43830</v>
      </c>
      <c r="CI53" s="174">
        <v>160583</v>
      </c>
    </row>
    <row r="54" spans="1:87">
      <c r="A54" s="170"/>
      <c r="B54" s="171" t="s">
        <v>27</v>
      </c>
      <c r="C54" s="172">
        <f t="shared" si="12"/>
        <v>114251</v>
      </c>
      <c r="D54" s="173">
        <f t="shared" si="0"/>
        <v>289440</v>
      </c>
      <c r="E54" s="173">
        <f t="shared" si="1"/>
        <v>540033</v>
      </c>
      <c r="F54" s="173">
        <f t="shared" si="2"/>
        <v>467921</v>
      </c>
      <c r="G54" s="174">
        <f t="shared" si="3"/>
        <v>1411645</v>
      </c>
      <c r="H54" s="172">
        <f t="shared" si="13"/>
        <v>85580</v>
      </c>
      <c r="I54" s="173">
        <f t="shared" si="4"/>
        <v>233493</v>
      </c>
      <c r="J54" s="173">
        <f t="shared" si="5"/>
        <v>478523</v>
      </c>
      <c r="K54" s="173">
        <f t="shared" si="6"/>
        <v>346219</v>
      </c>
      <c r="L54" s="174">
        <f t="shared" si="7"/>
        <v>1143815</v>
      </c>
      <c r="M54" s="172">
        <v>2356</v>
      </c>
      <c r="N54" s="173">
        <v>25045</v>
      </c>
      <c r="O54" s="173">
        <v>50444</v>
      </c>
      <c r="P54" s="173">
        <v>28495</v>
      </c>
      <c r="Q54" s="174">
        <v>106340</v>
      </c>
      <c r="R54" s="172">
        <v>17220</v>
      </c>
      <c r="S54" s="173">
        <v>30522</v>
      </c>
      <c r="T54" s="173">
        <v>48621</v>
      </c>
      <c r="U54" s="173">
        <v>34944</v>
      </c>
      <c r="V54" s="174">
        <v>131307</v>
      </c>
      <c r="W54" s="172">
        <v>5234</v>
      </c>
      <c r="X54" s="173">
        <v>14982</v>
      </c>
      <c r="Y54" s="173">
        <v>49218</v>
      </c>
      <c r="Z54" s="173">
        <v>44843</v>
      </c>
      <c r="AA54" s="174">
        <v>114277</v>
      </c>
      <c r="AB54" s="172">
        <v>815</v>
      </c>
      <c r="AC54" s="173">
        <v>45110</v>
      </c>
      <c r="AD54" s="173">
        <v>74404</v>
      </c>
      <c r="AE54" s="173">
        <v>22584</v>
      </c>
      <c r="AF54" s="174">
        <v>142913</v>
      </c>
      <c r="AG54" s="172">
        <v>28850</v>
      </c>
      <c r="AH54" s="173">
        <v>93091</v>
      </c>
      <c r="AI54" s="173">
        <v>128841</v>
      </c>
      <c r="AJ54" s="173">
        <v>81494</v>
      </c>
      <c r="AK54" s="174">
        <v>332276</v>
      </c>
      <c r="AL54" s="172"/>
      <c r="AM54" s="173">
        <v>2300</v>
      </c>
      <c r="AN54" s="173">
        <v>4703</v>
      </c>
      <c r="AO54" s="173">
        <v>5661</v>
      </c>
      <c r="AP54" s="174">
        <v>12664</v>
      </c>
      <c r="AQ54" s="172">
        <v>569</v>
      </c>
      <c r="AR54" s="173">
        <v>1647</v>
      </c>
      <c r="AS54" s="173">
        <v>19789</v>
      </c>
      <c r="AT54" s="173">
        <v>14491</v>
      </c>
      <c r="AU54" s="174">
        <v>36496</v>
      </c>
      <c r="AV54" s="172"/>
      <c r="AW54" s="173"/>
      <c r="AX54" s="173">
        <v>9649</v>
      </c>
      <c r="AY54" s="173">
        <v>16477</v>
      </c>
      <c r="AZ54" s="174">
        <v>26126</v>
      </c>
      <c r="BA54" s="172">
        <v>30536</v>
      </c>
      <c r="BB54" s="173">
        <v>20796</v>
      </c>
      <c r="BC54" s="173">
        <v>92854</v>
      </c>
      <c r="BD54" s="173">
        <v>97230</v>
      </c>
      <c r="BE54" s="174">
        <v>241416</v>
      </c>
      <c r="BF54" s="172">
        <f t="shared" si="14"/>
        <v>28671</v>
      </c>
      <c r="BG54" s="173">
        <f t="shared" si="8"/>
        <v>55947</v>
      </c>
      <c r="BH54" s="173">
        <f t="shared" si="9"/>
        <v>61510</v>
      </c>
      <c r="BI54" s="173">
        <f t="shared" si="10"/>
        <v>121702</v>
      </c>
      <c r="BJ54" s="174">
        <f t="shared" si="11"/>
        <v>267830</v>
      </c>
      <c r="BK54" s="172">
        <v>413</v>
      </c>
      <c r="BL54" s="173">
        <v>2333</v>
      </c>
      <c r="BM54" s="173">
        <v>4310</v>
      </c>
      <c r="BN54" s="173">
        <v>3472</v>
      </c>
      <c r="BO54" s="174">
        <v>10528</v>
      </c>
      <c r="BP54" s="172">
        <v>5286</v>
      </c>
      <c r="BQ54" s="173">
        <v>9382</v>
      </c>
      <c r="BR54" s="173">
        <v>3444</v>
      </c>
      <c r="BS54" s="173">
        <v>21624</v>
      </c>
      <c r="BT54" s="174">
        <v>39736</v>
      </c>
      <c r="BU54" s="172">
        <v>22036</v>
      </c>
      <c r="BV54" s="173">
        <v>42617</v>
      </c>
      <c r="BW54" s="173">
        <v>45940</v>
      </c>
      <c r="BX54" s="173">
        <v>84759</v>
      </c>
      <c r="BY54" s="174">
        <v>195352</v>
      </c>
      <c r="BZ54" s="172">
        <v>936</v>
      </c>
      <c r="CA54" s="173">
        <v>1615</v>
      </c>
      <c r="CB54" s="173">
        <v>2376</v>
      </c>
      <c r="CC54" s="173">
        <v>3365</v>
      </c>
      <c r="CD54" s="174">
        <v>8292</v>
      </c>
      <c r="CE54" s="172"/>
      <c r="CF54" s="173"/>
      <c r="CG54" s="173">
        <v>5440</v>
      </c>
      <c r="CH54" s="173">
        <v>8482</v>
      </c>
      <c r="CI54" s="174">
        <v>13922</v>
      </c>
    </row>
    <row r="55" s="147" customFormat="1" ht="14.6" spans="1:87">
      <c r="A55" s="175" t="s">
        <v>54</v>
      </c>
      <c r="B55" s="176"/>
      <c r="C55" s="177">
        <f t="shared" si="12"/>
        <v>1626517</v>
      </c>
      <c r="D55" s="178">
        <f t="shared" si="0"/>
        <v>2241605</v>
      </c>
      <c r="E55" s="178">
        <f t="shared" si="1"/>
        <v>2926919</v>
      </c>
      <c r="F55" s="178">
        <f t="shared" si="2"/>
        <v>2567856</v>
      </c>
      <c r="G55" s="179">
        <f t="shared" si="3"/>
        <v>9362897</v>
      </c>
      <c r="H55" s="177">
        <f t="shared" si="13"/>
        <v>1124726</v>
      </c>
      <c r="I55" s="178">
        <f t="shared" si="4"/>
        <v>1580919</v>
      </c>
      <c r="J55" s="178">
        <f t="shared" si="5"/>
        <v>2190618</v>
      </c>
      <c r="K55" s="178">
        <f t="shared" si="6"/>
        <v>1833660</v>
      </c>
      <c r="L55" s="179">
        <f t="shared" si="7"/>
        <v>6729923</v>
      </c>
      <c r="M55" s="177">
        <v>169453</v>
      </c>
      <c r="N55" s="178">
        <v>291114</v>
      </c>
      <c r="O55" s="178">
        <v>367880</v>
      </c>
      <c r="P55" s="178">
        <v>299210</v>
      </c>
      <c r="Q55" s="179">
        <v>1127657</v>
      </c>
      <c r="R55" s="177">
        <v>121279</v>
      </c>
      <c r="S55" s="178">
        <v>205181</v>
      </c>
      <c r="T55" s="178">
        <v>293572</v>
      </c>
      <c r="U55" s="178">
        <v>210894</v>
      </c>
      <c r="V55" s="179">
        <v>830926</v>
      </c>
      <c r="W55" s="177">
        <v>49418</v>
      </c>
      <c r="X55" s="178">
        <v>61580</v>
      </c>
      <c r="Y55" s="178">
        <v>119308</v>
      </c>
      <c r="Z55" s="178">
        <v>122319</v>
      </c>
      <c r="AA55" s="179">
        <v>352625</v>
      </c>
      <c r="AB55" s="177">
        <v>31178</v>
      </c>
      <c r="AC55" s="178">
        <v>247149</v>
      </c>
      <c r="AD55" s="178">
        <v>255945</v>
      </c>
      <c r="AE55" s="178">
        <v>138856</v>
      </c>
      <c r="AF55" s="179">
        <v>673128</v>
      </c>
      <c r="AG55" s="177">
        <v>141267</v>
      </c>
      <c r="AH55" s="178">
        <v>274707</v>
      </c>
      <c r="AI55" s="178">
        <v>303162</v>
      </c>
      <c r="AJ55" s="178">
        <v>234004</v>
      </c>
      <c r="AK55" s="179">
        <v>953140</v>
      </c>
      <c r="AL55" s="177">
        <v>15880</v>
      </c>
      <c r="AM55" s="178">
        <v>25565</v>
      </c>
      <c r="AN55" s="178">
        <v>43622</v>
      </c>
      <c r="AO55" s="178">
        <v>35703</v>
      </c>
      <c r="AP55" s="179">
        <v>120770</v>
      </c>
      <c r="AQ55" s="177">
        <v>41168</v>
      </c>
      <c r="AR55" s="178">
        <v>54228</v>
      </c>
      <c r="AS55" s="178">
        <v>108928</v>
      </c>
      <c r="AT55" s="178">
        <v>77577</v>
      </c>
      <c r="AU55" s="179">
        <v>281901</v>
      </c>
      <c r="AV55" s="177">
        <v>47685</v>
      </c>
      <c r="AW55" s="178">
        <v>21102</v>
      </c>
      <c r="AX55" s="178">
        <v>53801</v>
      </c>
      <c r="AY55" s="178">
        <v>70341</v>
      </c>
      <c r="AZ55" s="179">
        <v>192929</v>
      </c>
      <c r="BA55" s="177">
        <v>507398</v>
      </c>
      <c r="BB55" s="178">
        <v>400293</v>
      </c>
      <c r="BC55" s="178">
        <v>644400</v>
      </c>
      <c r="BD55" s="178">
        <v>644756</v>
      </c>
      <c r="BE55" s="179">
        <v>2196847</v>
      </c>
      <c r="BF55" s="177">
        <f t="shared" si="14"/>
        <v>501791</v>
      </c>
      <c r="BG55" s="178">
        <f t="shared" si="8"/>
        <v>660686</v>
      </c>
      <c r="BH55" s="178">
        <f t="shared" si="9"/>
        <v>736301</v>
      </c>
      <c r="BI55" s="178">
        <f t="shared" si="10"/>
        <v>734196</v>
      </c>
      <c r="BJ55" s="179">
        <f t="shared" si="11"/>
        <v>2632974</v>
      </c>
      <c r="BK55" s="177">
        <v>18493</v>
      </c>
      <c r="BL55" s="178">
        <v>30189</v>
      </c>
      <c r="BM55" s="178">
        <v>39508</v>
      </c>
      <c r="BN55" s="178">
        <v>26330</v>
      </c>
      <c r="BO55" s="179">
        <v>114520</v>
      </c>
      <c r="BP55" s="177">
        <v>167206</v>
      </c>
      <c r="BQ55" s="178">
        <v>224826</v>
      </c>
      <c r="BR55" s="178">
        <v>248273</v>
      </c>
      <c r="BS55" s="178">
        <v>191729</v>
      </c>
      <c r="BT55" s="179">
        <v>832034</v>
      </c>
      <c r="BU55" s="177">
        <v>238800</v>
      </c>
      <c r="BV55" s="178">
        <v>299078</v>
      </c>
      <c r="BW55" s="178">
        <v>358783</v>
      </c>
      <c r="BX55" s="178">
        <v>423681</v>
      </c>
      <c r="BY55" s="179">
        <v>1320342</v>
      </c>
      <c r="BZ55" s="177">
        <v>47025</v>
      </c>
      <c r="CA55" s="178">
        <v>54065</v>
      </c>
      <c r="CB55" s="178">
        <v>50339</v>
      </c>
      <c r="CC55" s="178">
        <v>40144</v>
      </c>
      <c r="CD55" s="179">
        <v>191573</v>
      </c>
      <c r="CE55" s="177">
        <v>30267</v>
      </c>
      <c r="CF55" s="178">
        <v>52528</v>
      </c>
      <c r="CG55" s="178">
        <v>39398</v>
      </c>
      <c r="CH55" s="178">
        <v>52312</v>
      </c>
      <c r="CI55" s="179">
        <v>174505</v>
      </c>
    </row>
    <row r="56" spans="1:87">
      <c r="A56" s="170" t="s">
        <v>55</v>
      </c>
      <c r="B56" s="171" t="s">
        <v>26</v>
      </c>
      <c r="C56" s="172">
        <f t="shared" si="12"/>
        <v>2399450</v>
      </c>
      <c r="D56" s="173">
        <f t="shared" si="0"/>
        <v>1899746</v>
      </c>
      <c r="E56" s="173">
        <f t="shared" si="1"/>
        <v>1664498</v>
      </c>
      <c r="F56" s="173">
        <f t="shared" si="2"/>
        <v>1221472</v>
      </c>
      <c r="G56" s="174">
        <f t="shared" si="3"/>
        <v>7185166</v>
      </c>
      <c r="H56" s="172">
        <f t="shared" si="13"/>
        <v>2121098</v>
      </c>
      <c r="I56" s="173">
        <f t="shared" si="4"/>
        <v>1617632</v>
      </c>
      <c r="J56" s="173">
        <f t="shared" si="5"/>
        <v>1397763</v>
      </c>
      <c r="K56" s="173">
        <f t="shared" si="6"/>
        <v>979806</v>
      </c>
      <c r="L56" s="174">
        <f t="shared" si="7"/>
        <v>6116299</v>
      </c>
      <c r="M56" s="172">
        <v>369647</v>
      </c>
      <c r="N56" s="173">
        <v>212609</v>
      </c>
      <c r="O56" s="173">
        <v>180047</v>
      </c>
      <c r="P56" s="173">
        <v>133638</v>
      </c>
      <c r="Q56" s="174">
        <v>895941</v>
      </c>
      <c r="R56" s="172">
        <v>114840</v>
      </c>
      <c r="S56" s="173">
        <v>84596</v>
      </c>
      <c r="T56" s="173">
        <v>38243</v>
      </c>
      <c r="U56" s="173">
        <v>34189</v>
      </c>
      <c r="V56" s="174">
        <v>271868</v>
      </c>
      <c r="W56" s="172">
        <v>143021</v>
      </c>
      <c r="X56" s="173">
        <v>101148</v>
      </c>
      <c r="Y56" s="173">
        <v>125649</v>
      </c>
      <c r="Z56" s="173">
        <v>104008</v>
      </c>
      <c r="AA56" s="174">
        <v>473826</v>
      </c>
      <c r="AB56" s="172">
        <v>402272</v>
      </c>
      <c r="AC56" s="173">
        <v>392404</v>
      </c>
      <c r="AD56" s="173">
        <v>294834</v>
      </c>
      <c r="AE56" s="173">
        <v>110411</v>
      </c>
      <c r="AF56" s="174">
        <v>1199921</v>
      </c>
      <c r="AG56" s="172">
        <v>479200</v>
      </c>
      <c r="AH56" s="173">
        <v>371355</v>
      </c>
      <c r="AI56" s="173">
        <v>294665</v>
      </c>
      <c r="AJ56" s="173">
        <v>142067</v>
      </c>
      <c r="AK56" s="174">
        <v>1287287</v>
      </c>
      <c r="AL56" s="172">
        <v>75621</v>
      </c>
      <c r="AM56" s="173">
        <v>65087</v>
      </c>
      <c r="AN56" s="173">
        <v>74427</v>
      </c>
      <c r="AO56" s="173">
        <v>80756</v>
      </c>
      <c r="AP56" s="174">
        <v>295891</v>
      </c>
      <c r="AQ56" s="172">
        <v>143147</v>
      </c>
      <c r="AR56" s="173">
        <v>81312</v>
      </c>
      <c r="AS56" s="173">
        <v>65453</v>
      </c>
      <c r="AT56" s="173">
        <v>53851</v>
      </c>
      <c r="AU56" s="174">
        <v>343763</v>
      </c>
      <c r="AV56" s="172">
        <v>34577</v>
      </c>
      <c r="AW56" s="173">
        <v>26879</v>
      </c>
      <c r="AX56" s="173">
        <v>34471</v>
      </c>
      <c r="AY56" s="173">
        <v>25371</v>
      </c>
      <c r="AZ56" s="174">
        <v>121298</v>
      </c>
      <c r="BA56" s="172">
        <v>358773</v>
      </c>
      <c r="BB56" s="173">
        <v>282242</v>
      </c>
      <c r="BC56" s="173">
        <v>289974</v>
      </c>
      <c r="BD56" s="173">
        <v>295515</v>
      </c>
      <c r="BE56" s="174">
        <v>1226504</v>
      </c>
      <c r="BF56" s="172">
        <f t="shared" si="14"/>
        <v>278352</v>
      </c>
      <c r="BG56" s="173">
        <f t="shared" si="8"/>
        <v>282114</v>
      </c>
      <c r="BH56" s="173">
        <f t="shared" si="9"/>
        <v>266735</v>
      </c>
      <c r="BI56" s="173">
        <f t="shared" si="10"/>
        <v>241666</v>
      </c>
      <c r="BJ56" s="174">
        <f t="shared" si="11"/>
        <v>1068867</v>
      </c>
      <c r="BK56" s="172">
        <v>39612</v>
      </c>
      <c r="BL56" s="173">
        <v>38004</v>
      </c>
      <c r="BM56" s="173">
        <v>47232</v>
      </c>
      <c r="BN56" s="173">
        <v>25618</v>
      </c>
      <c r="BO56" s="174">
        <v>150466</v>
      </c>
      <c r="BP56" s="172">
        <v>52274</v>
      </c>
      <c r="BQ56" s="173">
        <v>77385</v>
      </c>
      <c r="BR56" s="173">
        <v>37057</v>
      </c>
      <c r="BS56" s="173">
        <v>53074</v>
      </c>
      <c r="BT56" s="174">
        <v>219790</v>
      </c>
      <c r="BU56" s="172">
        <v>168349</v>
      </c>
      <c r="BV56" s="173">
        <v>154482</v>
      </c>
      <c r="BW56" s="173">
        <v>171213</v>
      </c>
      <c r="BX56" s="173">
        <v>152198</v>
      </c>
      <c r="BY56" s="174">
        <v>646242</v>
      </c>
      <c r="BZ56" s="172">
        <v>14391</v>
      </c>
      <c r="CA56" s="173">
        <v>7206</v>
      </c>
      <c r="CB56" s="173">
        <v>10060</v>
      </c>
      <c r="CC56" s="173">
        <v>6912</v>
      </c>
      <c r="CD56" s="174">
        <v>38569</v>
      </c>
      <c r="CE56" s="172">
        <v>3726</v>
      </c>
      <c r="CF56" s="173">
        <v>5037</v>
      </c>
      <c r="CG56" s="173">
        <v>1173</v>
      </c>
      <c r="CH56" s="173">
        <v>3864</v>
      </c>
      <c r="CI56" s="174">
        <v>13800</v>
      </c>
    </row>
    <row r="57" spans="1:87">
      <c r="A57" s="170"/>
      <c r="B57" s="171" t="s">
        <v>27</v>
      </c>
      <c r="C57" s="172">
        <f t="shared" si="12"/>
        <v>8115</v>
      </c>
      <c r="D57" s="173">
        <f t="shared" si="0"/>
        <v>6429</v>
      </c>
      <c r="E57" s="173">
        <f t="shared" si="1"/>
        <v>7056</v>
      </c>
      <c r="F57" s="173">
        <f t="shared" si="2"/>
        <v>7840</v>
      </c>
      <c r="G57" s="174">
        <f t="shared" si="3"/>
        <v>29440</v>
      </c>
      <c r="H57" s="172">
        <f t="shared" si="13"/>
        <v>8115</v>
      </c>
      <c r="I57" s="173">
        <f t="shared" si="4"/>
        <v>6429</v>
      </c>
      <c r="J57" s="173">
        <f t="shared" si="5"/>
        <v>4606</v>
      </c>
      <c r="K57" s="173">
        <f t="shared" si="6"/>
        <v>3283</v>
      </c>
      <c r="L57" s="174">
        <f t="shared" si="7"/>
        <v>22433</v>
      </c>
      <c r="M57" s="172">
        <v>2842</v>
      </c>
      <c r="N57" s="173">
        <v>4312</v>
      </c>
      <c r="O57" s="173">
        <v>3038</v>
      </c>
      <c r="P57" s="173">
        <v>1372</v>
      </c>
      <c r="Q57" s="174">
        <v>11564</v>
      </c>
      <c r="R57" s="172"/>
      <c r="S57" s="173"/>
      <c r="T57" s="173"/>
      <c r="U57" s="173">
        <v>588</v>
      </c>
      <c r="V57" s="174">
        <v>588</v>
      </c>
      <c r="W57" s="172"/>
      <c r="X57" s="173"/>
      <c r="Y57" s="173"/>
      <c r="Z57" s="173"/>
      <c r="AA57" s="174"/>
      <c r="AB57" s="172">
        <v>177</v>
      </c>
      <c r="AC57" s="173">
        <v>59</v>
      </c>
      <c r="AD57" s="173"/>
      <c r="AE57" s="173"/>
      <c r="AF57" s="174">
        <v>236</v>
      </c>
      <c r="AG57" s="172">
        <v>5096</v>
      </c>
      <c r="AH57" s="173">
        <v>2058</v>
      </c>
      <c r="AI57" s="173">
        <v>1568</v>
      </c>
      <c r="AJ57" s="173">
        <v>1323</v>
      </c>
      <c r="AK57" s="174">
        <v>10045</v>
      </c>
      <c r="AL57" s="172"/>
      <c r="AM57" s="173"/>
      <c r="AN57" s="173"/>
      <c r="AO57" s="173"/>
      <c r="AP57" s="174"/>
      <c r="AQ57" s="172"/>
      <c r="AR57" s="173"/>
      <c r="AS57" s="173"/>
      <c r="AT57" s="173"/>
      <c r="AU57" s="174"/>
      <c r="AV57" s="172"/>
      <c r="AW57" s="173"/>
      <c r="AX57" s="173"/>
      <c r="AY57" s="173"/>
      <c r="AZ57" s="174"/>
      <c r="BA57" s="172"/>
      <c r="BB57" s="173"/>
      <c r="BC57" s="173"/>
      <c r="BD57" s="173"/>
      <c r="BE57" s="174"/>
      <c r="BF57" s="172">
        <f t="shared" si="14"/>
        <v>0</v>
      </c>
      <c r="BG57" s="173">
        <f t="shared" si="8"/>
        <v>0</v>
      </c>
      <c r="BH57" s="173">
        <f t="shared" si="9"/>
        <v>2450</v>
      </c>
      <c r="BI57" s="173">
        <f t="shared" si="10"/>
        <v>4557</v>
      </c>
      <c r="BJ57" s="174">
        <f t="shared" si="11"/>
        <v>7007</v>
      </c>
      <c r="BK57" s="172"/>
      <c r="BL57" s="173"/>
      <c r="BM57" s="173"/>
      <c r="BN57" s="173"/>
      <c r="BO57" s="174"/>
      <c r="BP57" s="172"/>
      <c r="BQ57" s="173"/>
      <c r="BR57" s="173"/>
      <c r="BS57" s="173"/>
      <c r="BT57" s="174"/>
      <c r="BU57" s="172"/>
      <c r="BV57" s="173"/>
      <c r="BW57" s="173">
        <v>2450</v>
      </c>
      <c r="BX57" s="173">
        <v>3675</v>
      </c>
      <c r="BY57" s="174">
        <v>6125</v>
      </c>
      <c r="BZ57" s="172"/>
      <c r="CA57" s="173"/>
      <c r="CB57" s="173"/>
      <c r="CC57" s="173">
        <v>882</v>
      </c>
      <c r="CD57" s="174">
        <v>882</v>
      </c>
      <c r="CE57" s="172"/>
      <c r="CF57" s="173"/>
      <c r="CG57" s="173"/>
      <c r="CH57" s="173"/>
      <c r="CI57" s="174"/>
    </row>
    <row r="58" spans="1:87">
      <c r="A58" s="170"/>
      <c r="B58" s="171" t="s">
        <v>28</v>
      </c>
      <c r="C58" s="172">
        <f t="shared" si="12"/>
        <v>7182</v>
      </c>
      <c r="D58" s="173">
        <f t="shared" si="0"/>
        <v>6384</v>
      </c>
      <c r="E58" s="173">
        <f t="shared" si="1"/>
        <v>716052</v>
      </c>
      <c r="F58" s="173">
        <f t="shared" si="2"/>
        <v>417484</v>
      </c>
      <c r="G58" s="174">
        <f t="shared" si="3"/>
        <v>1147102</v>
      </c>
      <c r="H58" s="172">
        <f t="shared" si="13"/>
        <v>1197</v>
      </c>
      <c r="I58" s="173">
        <f t="shared" si="4"/>
        <v>399</v>
      </c>
      <c r="J58" s="173">
        <f t="shared" si="5"/>
        <v>691871</v>
      </c>
      <c r="K58" s="173">
        <f t="shared" si="6"/>
        <v>358446</v>
      </c>
      <c r="L58" s="174">
        <f t="shared" si="7"/>
        <v>1051913</v>
      </c>
      <c r="M58" s="172">
        <v>399</v>
      </c>
      <c r="N58" s="173"/>
      <c r="O58" s="173">
        <v>152724</v>
      </c>
      <c r="P58" s="173">
        <v>90068</v>
      </c>
      <c r="Q58" s="174">
        <v>243191</v>
      </c>
      <c r="R58" s="172">
        <v>798</v>
      </c>
      <c r="S58" s="173">
        <v>399</v>
      </c>
      <c r="T58" s="173">
        <v>173182</v>
      </c>
      <c r="U58" s="173">
        <v>5429</v>
      </c>
      <c r="V58" s="174">
        <v>179808</v>
      </c>
      <c r="W58" s="172"/>
      <c r="X58" s="173"/>
      <c r="Y58" s="173">
        <v>173817</v>
      </c>
      <c r="Z58" s="173">
        <v>73247</v>
      </c>
      <c r="AA58" s="174">
        <v>247064</v>
      </c>
      <c r="AB58" s="172"/>
      <c r="AC58" s="173"/>
      <c r="AD58" s="173">
        <v>64479</v>
      </c>
      <c r="AE58" s="173">
        <v>49751</v>
      </c>
      <c r="AF58" s="174">
        <v>114230</v>
      </c>
      <c r="AG58" s="172"/>
      <c r="AH58" s="173"/>
      <c r="AI58" s="173"/>
      <c r="AJ58" s="173">
        <v>82236</v>
      </c>
      <c r="AK58" s="174">
        <v>82236</v>
      </c>
      <c r="AL58" s="172"/>
      <c r="AM58" s="173"/>
      <c r="AN58" s="173">
        <v>11214</v>
      </c>
      <c r="AO58" s="173"/>
      <c r="AP58" s="174">
        <v>11214</v>
      </c>
      <c r="AQ58" s="172"/>
      <c r="AR58" s="173"/>
      <c r="AS58" s="173">
        <v>37024</v>
      </c>
      <c r="AT58" s="173"/>
      <c r="AU58" s="174">
        <v>37024</v>
      </c>
      <c r="AV58" s="172"/>
      <c r="AW58" s="173"/>
      <c r="AX58" s="173">
        <v>8854</v>
      </c>
      <c r="AY58" s="173">
        <v>11036</v>
      </c>
      <c r="AZ58" s="174">
        <v>19890</v>
      </c>
      <c r="BA58" s="172"/>
      <c r="BB58" s="173"/>
      <c r="BC58" s="173">
        <v>70577</v>
      </c>
      <c r="BD58" s="173">
        <v>46679</v>
      </c>
      <c r="BE58" s="174">
        <v>117256</v>
      </c>
      <c r="BF58" s="172">
        <f t="shared" si="14"/>
        <v>5985</v>
      </c>
      <c r="BG58" s="173">
        <f t="shared" si="8"/>
        <v>5985</v>
      </c>
      <c r="BH58" s="173">
        <f t="shared" si="9"/>
        <v>24181</v>
      </c>
      <c r="BI58" s="173">
        <f t="shared" si="10"/>
        <v>59038</v>
      </c>
      <c r="BJ58" s="174">
        <f t="shared" si="11"/>
        <v>95189</v>
      </c>
      <c r="BK58" s="172">
        <v>798</v>
      </c>
      <c r="BL58" s="173">
        <v>399</v>
      </c>
      <c r="BM58" s="173">
        <v>1197</v>
      </c>
      <c r="BN58" s="173"/>
      <c r="BO58" s="174">
        <v>2394</v>
      </c>
      <c r="BP58" s="172"/>
      <c r="BQ58" s="173"/>
      <c r="BR58" s="173">
        <v>12905</v>
      </c>
      <c r="BS58" s="173">
        <v>17355</v>
      </c>
      <c r="BT58" s="174">
        <v>30260</v>
      </c>
      <c r="BU58" s="172">
        <v>5187</v>
      </c>
      <c r="BV58" s="173">
        <v>5586</v>
      </c>
      <c r="BW58" s="173">
        <v>5985</v>
      </c>
      <c r="BX58" s="173">
        <v>33940</v>
      </c>
      <c r="BY58" s="174">
        <v>50698</v>
      </c>
      <c r="BZ58" s="172"/>
      <c r="CA58" s="173"/>
      <c r="CB58" s="173"/>
      <c r="CC58" s="173">
        <v>7654</v>
      </c>
      <c r="CD58" s="174">
        <v>7654</v>
      </c>
      <c r="CE58" s="172"/>
      <c r="CF58" s="173"/>
      <c r="CG58" s="173">
        <v>4094</v>
      </c>
      <c r="CH58" s="173">
        <v>89</v>
      </c>
      <c r="CI58" s="174">
        <v>4183</v>
      </c>
    </row>
    <row r="59" s="147" customFormat="1" ht="14.6" spans="1:87">
      <c r="A59" s="175" t="s">
        <v>56</v>
      </c>
      <c r="B59" s="176"/>
      <c r="C59" s="177">
        <f t="shared" si="12"/>
        <v>2414747</v>
      </c>
      <c r="D59" s="178">
        <f t="shared" si="0"/>
        <v>1912559</v>
      </c>
      <c r="E59" s="178">
        <f t="shared" si="1"/>
        <v>2387606</v>
      </c>
      <c r="F59" s="178">
        <f t="shared" si="2"/>
        <v>1646796</v>
      </c>
      <c r="G59" s="179">
        <f t="shared" si="3"/>
        <v>8361708</v>
      </c>
      <c r="H59" s="177">
        <f t="shared" si="13"/>
        <v>2130410</v>
      </c>
      <c r="I59" s="178">
        <f t="shared" si="4"/>
        <v>1624460</v>
      </c>
      <c r="J59" s="178">
        <f t="shared" si="5"/>
        <v>2094240</v>
      </c>
      <c r="K59" s="178">
        <f t="shared" si="6"/>
        <v>1341535</v>
      </c>
      <c r="L59" s="179">
        <f t="shared" si="7"/>
        <v>7190645</v>
      </c>
      <c r="M59" s="177">
        <v>372888</v>
      </c>
      <c r="N59" s="178">
        <v>216921</v>
      </c>
      <c r="O59" s="178">
        <v>335809</v>
      </c>
      <c r="P59" s="178">
        <v>225078</v>
      </c>
      <c r="Q59" s="179">
        <v>1150696</v>
      </c>
      <c r="R59" s="177">
        <v>115638</v>
      </c>
      <c r="S59" s="178">
        <v>84995</v>
      </c>
      <c r="T59" s="178">
        <v>211425</v>
      </c>
      <c r="U59" s="178">
        <v>40206</v>
      </c>
      <c r="V59" s="179">
        <v>452264</v>
      </c>
      <c r="W59" s="177">
        <v>143021</v>
      </c>
      <c r="X59" s="178">
        <v>101148</v>
      </c>
      <c r="Y59" s="178">
        <v>299466</v>
      </c>
      <c r="Z59" s="178">
        <v>177255</v>
      </c>
      <c r="AA59" s="179">
        <v>720890</v>
      </c>
      <c r="AB59" s="177">
        <v>402449</v>
      </c>
      <c r="AC59" s="178">
        <v>392463</v>
      </c>
      <c r="AD59" s="178">
        <v>359313</v>
      </c>
      <c r="AE59" s="178">
        <v>160162</v>
      </c>
      <c r="AF59" s="179">
        <v>1314387</v>
      </c>
      <c r="AG59" s="177">
        <v>484296</v>
      </c>
      <c r="AH59" s="178">
        <v>373413</v>
      </c>
      <c r="AI59" s="178">
        <v>296233</v>
      </c>
      <c r="AJ59" s="178">
        <v>225626</v>
      </c>
      <c r="AK59" s="179">
        <v>1379568</v>
      </c>
      <c r="AL59" s="177">
        <v>75621</v>
      </c>
      <c r="AM59" s="178">
        <v>65087</v>
      </c>
      <c r="AN59" s="178">
        <v>85641</v>
      </c>
      <c r="AO59" s="178">
        <v>80756</v>
      </c>
      <c r="AP59" s="179">
        <v>307105</v>
      </c>
      <c r="AQ59" s="177">
        <v>143147</v>
      </c>
      <c r="AR59" s="178">
        <v>81312</v>
      </c>
      <c r="AS59" s="178">
        <v>102477</v>
      </c>
      <c r="AT59" s="178">
        <v>53851</v>
      </c>
      <c r="AU59" s="179">
        <v>380787</v>
      </c>
      <c r="AV59" s="177">
        <v>34577</v>
      </c>
      <c r="AW59" s="178">
        <v>26879</v>
      </c>
      <c r="AX59" s="178">
        <v>43325</v>
      </c>
      <c r="AY59" s="178">
        <v>36407</v>
      </c>
      <c r="AZ59" s="179">
        <v>141188</v>
      </c>
      <c r="BA59" s="177">
        <v>358773</v>
      </c>
      <c r="BB59" s="178">
        <v>282242</v>
      </c>
      <c r="BC59" s="178">
        <v>360551</v>
      </c>
      <c r="BD59" s="178">
        <v>342194</v>
      </c>
      <c r="BE59" s="179">
        <v>1343760</v>
      </c>
      <c r="BF59" s="177">
        <f t="shared" si="14"/>
        <v>284337</v>
      </c>
      <c r="BG59" s="178">
        <f t="shared" si="8"/>
        <v>288099</v>
      </c>
      <c r="BH59" s="178">
        <f t="shared" si="9"/>
        <v>293366</v>
      </c>
      <c r="BI59" s="178">
        <f t="shared" si="10"/>
        <v>305261</v>
      </c>
      <c r="BJ59" s="179">
        <f t="shared" si="11"/>
        <v>1171063</v>
      </c>
      <c r="BK59" s="177">
        <v>40410</v>
      </c>
      <c r="BL59" s="178">
        <v>38403</v>
      </c>
      <c r="BM59" s="178">
        <v>48429</v>
      </c>
      <c r="BN59" s="178">
        <v>25618</v>
      </c>
      <c r="BO59" s="179">
        <v>152860</v>
      </c>
      <c r="BP59" s="177">
        <v>52274</v>
      </c>
      <c r="BQ59" s="178">
        <v>77385</v>
      </c>
      <c r="BR59" s="178">
        <v>49962</v>
      </c>
      <c r="BS59" s="178">
        <v>70429</v>
      </c>
      <c r="BT59" s="179">
        <v>250050</v>
      </c>
      <c r="BU59" s="177">
        <v>173536</v>
      </c>
      <c r="BV59" s="178">
        <v>160068</v>
      </c>
      <c r="BW59" s="178">
        <v>179648</v>
      </c>
      <c r="BX59" s="178">
        <v>189813</v>
      </c>
      <c r="BY59" s="179">
        <v>703065</v>
      </c>
      <c r="BZ59" s="177">
        <v>14391</v>
      </c>
      <c r="CA59" s="178">
        <v>7206</v>
      </c>
      <c r="CB59" s="178">
        <v>10060</v>
      </c>
      <c r="CC59" s="178">
        <v>15448</v>
      </c>
      <c r="CD59" s="179">
        <v>47105</v>
      </c>
      <c r="CE59" s="177">
        <v>3726</v>
      </c>
      <c r="CF59" s="178">
        <v>5037</v>
      </c>
      <c r="CG59" s="178">
        <v>5267</v>
      </c>
      <c r="CH59" s="178">
        <v>3953</v>
      </c>
      <c r="CI59" s="179">
        <v>17983</v>
      </c>
    </row>
    <row r="60" spans="1:87">
      <c r="A60" s="170" t="s">
        <v>57</v>
      </c>
      <c r="B60" s="171" t="s">
        <v>26</v>
      </c>
      <c r="C60" s="172">
        <f t="shared" si="12"/>
        <v>2227527</v>
      </c>
      <c r="D60" s="173">
        <f t="shared" si="0"/>
        <v>1735350</v>
      </c>
      <c r="E60" s="173">
        <f t="shared" si="1"/>
        <v>1666350</v>
      </c>
      <c r="F60" s="173">
        <f t="shared" si="2"/>
        <v>1408842</v>
      </c>
      <c r="G60" s="174">
        <f t="shared" si="3"/>
        <v>7038069</v>
      </c>
      <c r="H60" s="172">
        <f t="shared" si="13"/>
        <v>1907988</v>
      </c>
      <c r="I60" s="173">
        <f t="shared" si="4"/>
        <v>1446861</v>
      </c>
      <c r="J60" s="173">
        <f t="shared" si="5"/>
        <v>1231305</v>
      </c>
      <c r="K60" s="173">
        <f t="shared" si="6"/>
        <v>966552</v>
      </c>
      <c r="L60" s="174">
        <f t="shared" si="7"/>
        <v>5552706</v>
      </c>
      <c r="M60" s="172">
        <v>165876</v>
      </c>
      <c r="N60" s="173">
        <v>145314</v>
      </c>
      <c r="O60" s="173">
        <v>107847</v>
      </c>
      <c r="P60" s="173">
        <v>93909</v>
      </c>
      <c r="Q60" s="174">
        <v>512946</v>
      </c>
      <c r="R60" s="172">
        <v>78384</v>
      </c>
      <c r="S60" s="173">
        <v>69345</v>
      </c>
      <c r="T60" s="173">
        <v>58926</v>
      </c>
      <c r="U60" s="173">
        <v>60030</v>
      </c>
      <c r="V60" s="174">
        <v>266685</v>
      </c>
      <c r="W60" s="172">
        <v>208104</v>
      </c>
      <c r="X60" s="173">
        <v>203619</v>
      </c>
      <c r="Y60" s="173">
        <v>140622</v>
      </c>
      <c r="Z60" s="173">
        <v>139242</v>
      </c>
      <c r="AA60" s="174">
        <v>691587</v>
      </c>
      <c r="AB60" s="172">
        <v>203205</v>
      </c>
      <c r="AC60" s="173">
        <v>64929</v>
      </c>
      <c r="AD60" s="173">
        <v>211899</v>
      </c>
      <c r="AE60" s="173">
        <v>146211</v>
      </c>
      <c r="AF60" s="174">
        <v>626244</v>
      </c>
      <c r="AG60" s="172">
        <v>932742</v>
      </c>
      <c r="AH60" s="173">
        <v>413586</v>
      </c>
      <c r="AI60" s="173">
        <v>266892</v>
      </c>
      <c r="AJ60" s="173">
        <v>174294</v>
      </c>
      <c r="AK60" s="174">
        <v>1787514</v>
      </c>
      <c r="AL60" s="172">
        <v>36846</v>
      </c>
      <c r="AM60" s="173">
        <v>68586</v>
      </c>
      <c r="AN60" s="173">
        <v>45471</v>
      </c>
      <c r="AO60" s="173">
        <v>22356</v>
      </c>
      <c r="AP60" s="174">
        <v>173259</v>
      </c>
      <c r="AQ60" s="172">
        <v>191061</v>
      </c>
      <c r="AR60" s="173">
        <v>121785</v>
      </c>
      <c r="AS60" s="173">
        <v>105087</v>
      </c>
      <c r="AT60" s="173">
        <v>96876</v>
      </c>
      <c r="AU60" s="174">
        <v>514809</v>
      </c>
      <c r="AV60" s="172">
        <v>207</v>
      </c>
      <c r="AW60" s="173">
        <v>34707</v>
      </c>
      <c r="AX60" s="173">
        <v>27117</v>
      </c>
      <c r="AY60" s="173">
        <v>21942</v>
      </c>
      <c r="AZ60" s="174">
        <v>83973</v>
      </c>
      <c r="BA60" s="172">
        <v>91563</v>
      </c>
      <c r="BB60" s="173">
        <v>324990</v>
      </c>
      <c r="BC60" s="173">
        <v>267444</v>
      </c>
      <c r="BD60" s="173">
        <v>211692</v>
      </c>
      <c r="BE60" s="174">
        <v>895689</v>
      </c>
      <c r="BF60" s="172">
        <f t="shared" si="14"/>
        <v>319539</v>
      </c>
      <c r="BG60" s="173">
        <f t="shared" si="8"/>
        <v>288489</v>
      </c>
      <c r="BH60" s="173">
        <f t="shared" si="9"/>
        <v>435045</v>
      </c>
      <c r="BI60" s="173">
        <f t="shared" si="10"/>
        <v>442290</v>
      </c>
      <c r="BJ60" s="174">
        <f t="shared" si="11"/>
        <v>1485363</v>
      </c>
      <c r="BK60" s="172">
        <v>20148</v>
      </c>
      <c r="BL60" s="173">
        <v>17526</v>
      </c>
      <c r="BM60" s="173">
        <v>18078</v>
      </c>
      <c r="BN60" s="173">
        <v>11799</v>
      </c>
      <c r="BO60" s="174">
        <v>67551</v>
      </c>
      <c r="BP60" s="172">
        <v>39744</v>
      </c>
      <c r="BQ60" s="173">
        <v>89838</v>
      </c>
      <c r="BR60" s="173">
        <v>141036</v>
      </c>
      <c r="BS60" s="173">
        <v>132342</v>
      </c>
      <c r="BT60" s="174">
        <v>402960</v>
      </c>
      <c r="BU60" s="172">
        <v>211554</v>
      </c>
      <c r="BV60" s="173">
        <v>144831</v>
      </c>
      <c r="BW60" s="173">
        <v>219834</v>
      </c>
      <c r="BX60" s="173">
        <v>229287</v>
      </c>
      <c r="BY60" s="174">
        <v>805506</v>
      </c>
      <c r="BZ60" s="172">
        <v>29118</v>
      </c>
      <c r="CA60" s="173">
        <v>24564</v>
      </c>
      <c r="CB60" s="173">
        <v>34707</v>
      </c>
      <c r="CC60" s="173">
        <v>46506</v>
      </c>
      <c r="CD60" s="174">
        <v>134895</v>
      </c>
      <c r="CE60" s="172">
        <v>18975</v>
      </c>
      <c r="CF60" s="173">
        <v>11730</v>
      </c>
      <c r="CG60" s="173">
        <v>21390</v>
      </c>
      <c r="CH60" s="173">
        <v>22356</v>
      </c>
      <c r="CI60" s="174">
        <v>74451</v>
      </c>
    </row>
    <row r="61" s="147" customFormat="1" ht="14.6" spans="1:87">
      <c r="A61" s="175" t="s">
        <v>58</v>
      </c>
      <c r="B61" s="176"/>
      <c r="C61" s="177">
        <f t="shared" si="12"/>
        <v>2227527</v>
      </c>
      <c r="D61" s="178">
        <f t="shared" si="0"/>
        <v>1735350</v>
      </c>
      <c r="E61" s="178">
        <f t="shared" si="1"/>
        <v>1666350</v>
      </c>
      <c r="F61" s="178">
        <f t="shared" si="2"/>
        <v>1408842</v>
      </c>
      <c r="G61" s="179">
        <f t="shared" si="3"/>
        <v>7038069</v>
      </c>
      <c r="H61" s="177">
        <f t="shared" si="13"/>
        <v>1907988</v>
      </c>
      <c r="I61" s="178">
        <f t="shared" si="4"/>
        <v>1446861</v>
      </c>
      <c r="J61" s="178">
        <f t="shared" si="5"/>
        <v>1231305</v>
      </c>
      <c r="K61" s="178">
        <f t="shared" si="6"/>
        <v>966552</v>
      </c>
      <c r="L61" s="179">
        <f t="shared" si="7"/>
        <v>5552706</v>
      </c>
      <c r="M61" s="177">
        <v>165876</v>
      </c>
      <c r="N61" s="178">
        <v>145314</v>
      </c>
      <c r="O61" s="178">
        <v>107847</v>
      </c>
      <c r="P61" s="178">
        <v>93909</v>
      </c>
      <c r="Q61" s="179">
        <v>512946</v>
      </c>
      <c r="R61" s="177">
        <v>78384</v>
      </c>
      <c r="S61" s="178">
        <v>69345</v>
      </c>
      <c r="T61" s="178">
        <v>58926</v>
      </c>
      <c r="U61" s="178">
        <v>60030</v>
      </c>
      <c r="V61" s="179">
        <v>266685</v>
      </c>
      <c r="W61" s="177">
        <v>208104</v>
      </c>
      <c r="X61" s="178">
        <v>203619</v>
      </c>
      <c r="Y61" s="178">
        <v>140622</v>
      </c>
      <c r="Z61" s="178">
        <v>139242</v>
      </c>
      <c r="AA61" s="179">
        <v>691587</v>
      </c>
      <c r="AB61" s="177">
        <v>203205</v>
      </c>
      <c r="AC61" s="178">
        <v>64929</v>
      </c>
      <c r="AD61" s="178">
        <v>211899</v>
      </c>
      <c r="AE61" s="178">
        <v>146211</v>
      </c>
      <c r="AF61" s="179">
        <v>626244</v>
      </c>
      <c r="AG61" s="177">
        <v>932742</v>
      </c>
      <c r="AH61" s="178">
        <v>413586</v>
      </c>
      <c r="AI61" s="178">
        <v>266892</v>
      </c>
      <c r="AJ61" s="178">
        <v>174294</v>
      </c>
      <c r="AK61" s="179">
        <v>1787514</v>
      </c>
      <c r="AL61" s="177">
        <v>36846</v>
      </c>
      <c r="AM61" s="178">
        <v>68586</v>
      </c>
      <c r="AN61" s="178">
        <v>45471</v>
      </c>
      <c r="AO61" s="178">
        <v>22356</v>
      </c>
      <c r="AP61" s="179">
        <v>173259</v>
      </c>
      <c r="AQ61" s="177">
        <v>191061</v>
      </c>
      <c r="AR61" s="178">
        <v>121785</v>
      </c>
      <c r="AS61" s="178">
        <v>105087</v>
      </c>
      <c r="AT61" s="178">
        <v>96876</v>
      </c>
      <c r="AU61" s="179">
        <v>514809</v>
      </c>
      <c r="AV61" s="177">
        <v>207</v>
      </c>
      <c r="AW61" s="178">
        <v>34707</v>
      </c>
      <c r="AX61" s="178">
        <v>27117</v>
      </c>
      <c r="AY61" s="178">
        <v>21942</v>
      </c>
      <c r="AZ61" s="179">
        <v>83973</v>
      </c>
      <c r="BA61" s="177">
        <v>91563</v>
      </c>
      <c r="BB61" s="178">
        <v>324990</v>
      </c>
      <c r="BC61" s="178">
        <v>267444</v>
      </c>
      <c r="BD61" s="178">
        <v>211692</v>
      </c>
      <c r="BE61" s="179">
        <v>895689</v>
      </c>
      <c r="BF61" s="177">
        <f t="shared" si="14"/>
        <v>319539</v>
      </c>
      <c r="BG61" s="178">
        <f t="shared" si="8"/>
        <v>288489</v>
      </c>
      <c r="BH61" s="178">
        <f t="shared" si="9"/>
        <v>435045</v>
      </c>
      <c r="BI61" s="178">
        <f t="shared" si="10"/>
        <v>442290</v>
      </c>
      <c r="BJ61" s="179">
        <f t="shared" si="11"/>
        <v>1485363</v>
      </c>
      <c r="BK61" s="177">
        <v>20148</v>
      </c>
      <c r="BL61" s="178">
        <v>17526</v>
      </c>
      <c r="BM61" s="178">
        <v>18078</v>
      </c>
      <c r="BN61" s="178">
        <v>11799</v>
      </c>
      <c r="BO61" s="179">
        <v>67551</v>
      </c>
      <c r="BP61" s="177">
        <v>39744</v>
      </c>
      <c r="BQ61" s="178">
        <v>89838</v>
      </c>
      <c r="BR61" s="178">
        <v>141036</v>
      </c>
      <c r="BS61" s="178">
        <v>132342</v>
      </c>
      <c r="BT61" s="179">
        <v>402960</v>
      </c>
      <c r="BU61" s="177">
        <v>211554</v>
      </c>
      <c r="BV61" s="178">
        <v>144831</v>
      </c>
      <c r="BW61" s="178">
        <v>219834</v>
      </c>
      <c r="BX61" s="178">
        <v>229287</v>
      </c>
      <c r="BY61" s="179">
        <v>805506</v>
      </c>
      <c r="BZ61" s="177">
        <v>29118</v>
      </c>
      <c r="CA61" s="178">
        <v>24564</v>
      </c>
      <c r="CB61" s="178">
        <v>34707</v>
      </c>
      <c r="CC61" s="178">
        <v>46506</v>
      </c>
      <c r="CD61" s="179">
        <v>134895</v>
      </c>
      <c r="CE61" s="177">
        <v>18975</v>
      </c>
      <c r="CF61" s="178">
        <v>11730</v>
      </c>
      <c r="CG61" s="178">
        <v>21390</v>
      </c>
      <c r="CH61" s="178">
        <v>22356</v>
      </c>
      <c r="CI61" s="179">
        <v>74451</v>
      </c>
    </row>
    <row r="62" spans="1:87">
      <c r="A62" s="170" t="s">
        <v>59</v>
      </c>
      <c r="B62" s="171" t="s">
        <v>26</v>
      </c>
      <c r="C62" s="172">
        <f t="shared" si="12"/>
        <v>2085530</v>
      </c>
      <c r="D62" s="173">
        <f t="shared" si="0"/>
        <v>1815405</v>
      </c>
      <c r="E62" s="173">
        <f t="shared" si="1"/>
        <v>1582421</v>
      </c>
      <c r="F62" s="173">
        <f t="shared" si="2"/>
        <v>1348717</v>
      </c>
      <c r="G62" s="174">
        <f t="shared" si="3"/>
        <v>6832073</v>
      </c>
      <c r="H62" s="172">
        <f t="shared" si="13"/>
        <v>1880034</v>
      </c>
      <c r="I62" s="173">
        <f t="shared" si="4"/>
        <v>1590035</v>
      </c>
      <c r="J62" s="173">
        <f t="shared" si="5"/>
        <v>1356473</v>
      </c>
      <c r="K62" s="173">
        <f t="shared" si="6"/>
        <v>1080298</v>
      </c>
      <c r="L62" s="174">
        <f t="shared" si="7"/>
        <v>5906840</v>
      </c>
      <c r="M62" s="172">
        <v>473512</v>
      </c>
      <c r="N62" s="173">
        <v>289713</v>
      </c>
      <c r="O62" s="173">
        <v>238536</v>
      </c>
      <c r="P62" s="173">
        <v>227134</v>
      </c>
      <c r="Q62" s="174">
        <v>1228895</v>
      </c>
      <c r="R62" s="172">
        <v>374751</v>
      </c>
      <c r="S62" s="173">
        <v>350962</v>
      </c>
      <c r="T62" s="173">
        <v>381372</v>
      </c>
      <c r="U62" s="173">
        <v>273033</v>
      </c>
      <c r="V62" s="174">
        <v>1380118</v>
      </c>
      <c r="W62" s="172">
        <v>51751</v>
      </c>
      <c r="X62" s="173">
        <v>43415</v>
      </c>
      <c r="Y62" s="173">
        <v>39105</v>
      </c>
      <c r="Z62" s="173">
        <v>28455</v>
      </c>
      <c r="AA62" s="174">
        <v>162726</v>
      </c>
      <c r="AB62" s="172">
        <v>182022</v>
      </c>
      <c r="AC62" s="173">
        <v>261672</v>
      </c>
      <c r="AD62" s="173">
        <v>158128</v>
      </c>
      <c r="AE62" s="173">
        <v>108754</v>
      </c>
      <c r="AF62" s="174">
        <v>710576</v>
      </c>
      <c r="AG62" s="172">
        <v>390605</v>
      </c>
      <c r="AH62" s="173">
        <v>270614</v>
      </c>
      <c r="AI62" s="173">
        <v>224353</v>
      </c>
      <c r="AJ62" s="173">
        <v>190525</v>
      </c>
      <c r="AK62" s="174">
        <v>1076097</v>
      </c>
      <c r="AL62" s="172">
        <v>46929</v>
      </c>
      <c r="AM62" s="173">
        <v>40053</v>
      </c>
      <c r="AN62" s="173">
        <v>30223</v>
      </c>
      <c r="AO62" s="173">
        <v>25714</v>
      </c>
      <c r="AP62" s="174">
        <v>142919</v>
      </c>
      <c r="AQ62" s="172">
        <v>100672</v>
      </c>
      <c r="AR62" s="173">
        <v>111643</v>
      </c>
      <c r="AS62" s="173">
        <v>74416</v>
      </c>
      <c r="AT62" s="173">
        <v>62724</v>
      </c>
      <c r="AU62" s="174">
        <v>349455</v>
      </c>
      <c r="AV62" s="172">
        <v>40981</v>
      </c>
      <c r="AW62" s="173">
        <v>27499</v>
      </c>
      <c r="AX62" s="173">
        <v>26932</v>
      </c>
      <c r="AY62" s="173">
        <v>20072</v>
      </c>
      <c r="AZ62" s="174">
        <v>115484</v>
      </c>
      <c r="BA62" s="172">
        <v>218811</v>
      </c>
      <c r="BB62" s="173">
        <v>194464</v>
      </c>
      <c r="BC62" s="173">
        <v>183408</v>
      </c>
      <c r="BD62" s="173">
        <v>143887</v>
      </c>
      <c r="BE62" s="174">
        <v>740570</v>
      </c>
      <c r="BF62" s="172">
        <f t="shared" si="14"/>
        <v>205496</v>
      </c>
      <c r="BG62" s="173">
        <f t="shared" si="8"/>
        <v>225370</v>
      </c>
      <c r="BH62" s="173">
        <f t="shared" si="9"/>
        <v>225948</v>
      </c>
      <c r="BI62" s="173">
        <f t="shared" si="10"/>
        <v>268419</v>
      </c>
      <c r="BJ62" s="174">
        <f t="shared" si="11"/>
        <v>925233</v>
      </c>
      <c r="BK62" s="172">
        <v>13798</v>
      </c>
      <c r="BL62" s="173">
        <v>8648</v>
      </c>
      <c r="BM62" s="173">
        <v>9381</v>
      </c>
      <c r="BN62" s="173">
        <v>12537</v>
      </c>
      <c r="BO62" s="174">
        <v>44364</v>
      </c>
      <c r="BP62" s="172">
        <v>73069</v>
      </c>
      <c r="BQ62" s="173">
        <v>93891</v>
      </c>
      <c r="BR62" s="173">
        <v>85191</v>
      </c>
      <c r="BS62" s="173">
        <v>95923</v>
      </c>
      <c r="BT62" s="174">
        <v>348074</v>
      </c>
      <c r="BU62" s="172">
        <v>93394</v>
      </c>
      <c r="BV62" s="173">
        <v>103082</v>
      </c>
      <c r="BW62" s="173">
        <v>113464</v>
      </c>
      <c r="BX62" s="173">
        <v>138576</v>
      </c>
      <c r="BY62" s="174">
        <v>448516</v>
      </c>
      <c r="BZ62" s="172">
        <v>18155</v>
      </c>
      <c r="CA62" s="173">
        <v>18510</v>
      </c>
      <c r="CB62" s="173">
        <v>14136</v>
      </c>
      <c r="CC62" s="173">
        <v>17430</v>
      </c>
      <c r="CD62" s="174">
        <v>68231</v>
      </c>
      <c r="CE62" s="172">
        <v>7080</v>
      </c>
      <c r="CF62" s="173">
        <v>1239</v>
      </c>
      <c r="CG62" s="173">
        <v>3776</v>
      </c>
      <c r="CH62" s="173">
        <v>3953</v>
      </c>
      <c r="CI62" s="174">
        <v>16048</v>
      </c>
    </row>
    <row r="63" s="147" customFormat="1" ht="14.6" spans="1:87">
      <c r="A63" s="175" t="s">
        <v>60</v>
      </c>
      <c r="B63" s="176"/>
      <c r="C63" s="177">
        <f t="shared" si="12"/>
        <v>2085530</v>
      </c>
      <c r="D63" s="178">
        <f t="shared" si="0"/>
        <v>1815405</v>
      </c>
      <c r="E63" s="178">
        <f t="shared" si="1"/>
        <v>1582421</v>
      </c>
      <c r="F63" s="178">
        <f t="shared" si="2"/>
        <v>1348717</v>
      </c>
      <c r="G63" s="179">
        <f t="shared" si="3"/>
        <v>6832073</v>
      </c>
      <c r="H63" s="177">
        <f t="shared" si="13"/>
        <v>1880034</v>
      </c>
      <c r="I63" s="178">
        <f t="shared" si="4"/>
        <v>1590035</v>
      </c>
      <c r="J63" s="178">
        <f t="shared" si="5"/>
        <v>1356473</v>
      </c>
      <c r="K63" s="178">
        <f t="shared" si="6"/>
        <v>1080298</v>
      </c>
      <c r="L63" s="179">
        <f t="shared" si="7"/>
        <v>5906840</v>
      </c>
      <c r="M63" s="177">
        <v>473512</v>
      </c>
      <c r="N63" s="178">
        <v>289713</v>
      </c>
      <c r="O63" s="178">
        <v>238536</v>
      </c>
      <c r="P63" s="178">
        <v>227134</v>
      </c>
      <c r="Q63" s="179">
        <v>1228895</v>
      </c>
      <c r="R63" s="177">
        <v>374751</v>
      </c>
      <c r="S63" s="178">
        <v>350962</v>
      </c>
      <c r="T63" s="178">
        <v>381372</v>
      </c>
      <c r="U63" s="178">
        <v>273033</v>
      </c>
      <c r="V63" s="179">
        <v>1380118</v>
      </c>
      <c r="W63" s="177">
        <v>51751</v>
      </c>
      <c r="X63" s="178">
        <v>43415</v>
      </c>
      <c r="Y63" s="178">
        <v>39105</v>
      </c>
      <c r="Z63" s="178">
        <v>28455</v>
      </c>
      <c r="AA63" s="179">
        <v>162726</v>
      </c>
      <c r="AB63" s="177">
        <v>182022</v>
      </c>
      <c r="AC63" s="178">
        <v>261672</v>
      </c>
      <c r="AD63" s="178">
        <v>158128</v>
      </c>
      <c r="AE63" s="178">
        <v>108754</v>
      </c>
      <c r="AF63" s="179">
        <v>710576</v>
      </c>
      <c r="AG63" s="177">
        <v>390605</v>
      </c>
      <c r="AH63" s="178">
        <v>270614</v>
      </c>
      <c r="AI63" s="178">
        <v>224353</v>
      </c>
      <c r="AJ63" s="178">
        <v>190525</v>
      </c>
      <c r="AK63" s="179">
        <v>1076097</v>
      </c>
      <c r="AL63" s="177">
        <v>46929</v>
      </c>
      <c r="AM63" s="178">
        <v>40053</v>
      </c>
      <c r="AN63" s="178">
        <v>30223</v>
      </c>
      <c r="AO63" s="178">
        <v>25714</v>
      </c>
      <c r="AP63" s="179">
        <v>142919</v>
      </c>
      <c r="AQ63" s="177">
        <v>100672</v>
      </c>
      <c r="AR63" s="178">
        <v>111643</v>
      </c>
      <c r="AS63" s="178">
        <v>74416</v>
      </c>
      <c r="AT63" s="178">
        <v>62724</v>
      </c>
      <c r="AU63" s="179">
        <v>349455</v>
      </c>
      <c r="AV63" s="177">
        <v>40981</v>
      </c>
      <c r="AW63" s="178">
        <v>27499</v>
      </c>
      <c r="AX63" s="178">
        <v>26932</v>
      </c>
      <c r="AY63" s="178">
        <v>20072</v>
      </c>
      <c r="AZ63" s="179">
        <v>115484</v>
      </c>
      <c r="BA63" s="177">
        <v>218811</v>
      </c>
      <c r="BB63" s="178">
        <v>194464</v>
      </c>
      <c r="BC63" s="178">
        <v>183408</v>
      </c>
      <c r="BD63" s="178">
        <v>143887</v>
      </c>
      <c r="BE63" s="179">
        <v>740570</v>
      </c>
      <c r="BF63" s="177">
        <f t="shared" si="14"/>
        <v>205496</v>
      </c>
      <c r="BG63" s="178">
        <f t="shared" si="8"/>
        <v>225370</v>
      </c>
      <c r="BH63" s="178">
        <f t="shared" si="9"/>
        <v>225948</v>
      </c>
      <c r="BI63" s="178">
        <f t="shared" si="10"/>
        <v>268419</v>
      </c>
      <c r="BJ63" s="179">
        <f t="shared" si="11"/>
        <v>925233</v>
      </c>
      <c r="BK63" s="177">
        <v>13798</v>
      </c>
      <c r="BL63" s="178">
        <v>8648</v>
      </c>
      <c r="BM63" s="178">
        <v>9381</v>
      </c>
      <c r="BN63" s="178">
        <v>12537</v>
      </c>
      <c r="BO63" s="179">
        <v>44364</v>
      </c>
      <c r="BP63" s="177">
        <v>73069</v>
      </c>
      <c r="BQ63" s="178">
        <v>93891</v>
      </c>
      <c r="BR63" s="178">
        <v>85191</v>
      </c>
      <c r="BS63" s="178">
        <v>95923</v>
      </c>
      <c r="BT63" s="179">
        <v>348074</v>
      </c>
      <c r="BU63" s="177">
        <v>93394</v>
      </c>
      <c r="BV63" s="178">
        <v>103082</v>
      </c>
      <c r="BW63" s="178">
        <v>113464</v>
      </c>
      <c r="BX63" s="178">
        <v>138576</v>
      </c>
      <c r="BY63" s="179">
        <v>448516</v>
      </c>
      <c r="BZ63" s="177">
        <v>18155</v>
      </c>
      <c r="CA63" s="178">
        <v>18510</v>
      </c>
      <c r="CB63" s="178">
        <v>14136</v>
      </c>
      <c r="CC63" s="178">
        <v>17430</v>
      </c>
      <c r="CD63" s="179">
        <v>68231</v>
      </c>
      <c r="CE63" s="177">
        <v>7080</v>
      </c>
      <c r="CF63" s="178">
        <v>1239</v>
      </c>
      <c r="CG63" s="178">
        <v>3776</v>
      </c>
      <c r="CH63" s="178">
        <v>3953</v>
      </c>
      <c r="CI63" s="179">
        <v>16048</v>
      </c>
    </row>
    <row r="64" spans="1:87">
      <c r="A64" s="170" t="s">
        <v>61</v>
      </c>
      <c r="B64" s="171" t="s">
        <v>26</v>
      </c>
      <c r="C64" s="172">
        <f t="shared" si="12"/>
        <v>1468204</v>
      </c>
      <c r="D64" s="173">
        <f t="shared" si="0"/>
        <v>1649308</v>
      </c>
      <c r="E64" s="173">
        <f t="shared" si="1"/>
        <v>1419026</v>
      </c>
      <c r="F64" s="173">
        <f t="shared" si="2"/>
        <v>1099321</v>
      </c>
      <c r="G64" s="174">
        <f t="shared" si="3"/>
        <v>5635859</v>
      </c>
      <c r="H64" s="172">
        <f t="shared" si="13"/>
        <v>1398713</v>
      </c>
      <c r="I64" s="173">
        <f t="shared" si="4"/>
        <v>1582869</v>
      </c>
      <c r="J64" s="173">
        <f t="shared" si="5"/>
        <v>1337332</v>
      </c>
      <c r="K64" s="173">
        <f t="shared" si="6"/>
        <v>1004665</v>
      </c>
      <c r="L64" s="174">
        <f t="shared" si="7"/>
        <v>5323579</v>
      </c>
      <c r="M64" s="172">
        <v>80704</v>
      </c>
      <c r="N64" s="173">
        <v>180325</v>
      </c>
      <c r="O64" s="173">
        <v>100894</v>
      </c>
      <c r="P64" s="173">
        <v>96203</v>
      </c>
      <c r="Q64" s="174">
        <v>458126</v>
      </c>
      <c r="R64" s="172">
        <v>454184</v>
      </c>
      <c r="S64" s="173">
        <v>641560</v>
      </c>
      <c r="T64" s="173">
        <v>429043</v>
      </c>
      <c r="U64" s="173">
        <v>301671</v>
      </c>
      <c r="V64" s="174">
        <v>1826458</v>
      </c>
      <c r="W64" s="172">
        <v>40347</v>
      </c>
      <c r="X64" s="173">
        <v>64140</v>
      </c>
      <c r="Y64" s="173">
        <v>42707</v>
      </c>
      <c r="Z64" s="173">
        <v>38233</v>
      </c>
      <c r="AA64" s="174">
        <v>185427</v>
      </c>
      <c r="AB64" s="172">
        <v>111456</v>
      </c>
      <c r="AC64" s="173">
        <v>150428</v>
      </c>
      <c r="AD64" s="173">
        <v>265261</v>
      </c>
      <c r="AE64" s="173">
        <v>132617</v>
      </c>
      <c r="AF64" s="174">
        <v>659762</v>
      </c>
      <c r="AG64" s="172">
        <v>303952</v>
      </c>
      <c r="AH64" s="173">
        <v>205210</v>
      </c>
      <c r="AI64" s="173">
        <v>159005</v>
      </c>
      <c r="AJ64" s="173">
        <v>143366</v>
      </c>
      <c r="AK64" s="174">
        <v>811533</v>
      </c>
      <c r="AL64" s="172">
        <v>18838</v>
      </c>
      <c r="AM64" s="173">
        <v>26006</v>
      </c>
      <c r="AN64" s="173">
        <v>28514</v>
      </c>
      <c r="AO64" s="173">
        <v>26065</v>
      </c>
      <c r="AP64" s="174">
        <v>99423</v>
      </c>
      <c r="AQ64" s="172">
        <v>261282</v>
      </c>
      <c r="AR64" s="173">
        <v>163683</v>
      </c>
      <c r="AS64" s="173">
        <v>125097</v>
      </c>
      <c r="AT64" s="173">
        <v>102424</v>
      </c>
      <c r="AU64" s="174">
        <v>652486</v>
      </c>
      <c r="AV64" s="172">
        <v>16370</v>
      </c>
      <c r="AW64" s="173">
        <v>13405</v>
      </c>
      <c r="AX64" s="173">
        <v>25611</v>
      </c>
      <c r="AY64" s="173">
        <v>16800</v>
      </c>
      <c r="AZ64" s="174">
        <v>72186</v>
      </c>
      <c r="BA64" s="172">
        <v>111580</v>
      </c>
      <c r="BB64" s="173">
        <v>138112</v>
      </c>
      <c r="BC64" s="173">
        <v>161200</v>
      </c>
      <c r="BD64" s="173">
        <v>147286</v>
      </c>
      <c r="BE64" s="174">
        <v>558178</v>
      </c>
      <c r="BF64" s="172">
        <f t="shared" si="14"/>
        <v>69491</v>
      </c>
      <c r="BG64" s="173">
        <f t="shared" si="8"/>
        <v>66439</v>
      </c>
      <c r="BH64" s="173">
        <f t="shared" si="9"/>
        <v>81694</v>
      </c>
      <c r="BI64" s="173">
        <f t="shared" si="10"/>
        <v>94656</v>
      </c>
      <c r="BJ64" s="174">
        <f t="shared" si="11"/>
        <v>312280</v>
      </c>
      <c r="BK64" s="172">
        <v>7122</v>
      </c>
      <c r="BL64" s="173">
        <v>1096</v>
      </c>
      <c r="BM64" s="173">
        <v>1013</v>
      </c>
      <c r="BN64" s="173">
        <v>1242</v>
      </c>
      <c r="BO64" s="174">
        <v>10473</v>
      </c>
      <c r="BP64" s="172">
        <v>22878</v>
      </c>
      <c r="BQ64" s="173">
        <v>21606</v>
      </c>
      <c r="BR64" s="173">
        <v>23667</v>
      </c>
      <c r="BS64" s="173">
        <v>22166</v>
      </c>
      <c r="BT64" s="174">
        <v>90317</v>
      </c>
      <c r="BU64" s="172">
        <v>31625</v>
      </c>
      <c r="BV64" s="173">
        <v>30105</v>
      </c>
      <c r="BW64" s="173">
        <v>48182</v>
      </c>
      <c r="BX64" s="173">
        <v>65253</v>
      </c>
      <c r="BY64" s="174">
        <v>175165</v>
      </c>
      <c r="BZ64" s="172">
        <v>2070</v>
      </c>
      <c r="CA64" s="173">
        <v>7698</v>
      </c>
      <c r="CB64" s="173">
        <v>5106</v>
      </c>
      <c r="CC64" s="173">
        <v>4339</v>
      </c>
      <c r="CD64" s="174">
        <v>19213</v>
      </c>
      <c r="CE64" s="172">
        <v>5796</v>
      </c>
      <c r="CF64" s="173">
        <v>5934</v>
      </c>
      <c r="CG64" s="173">
        <v>3726</v>
      </c>
      <c r="CH64" s="173">
        <v>1656</v>
      </c>
      <c r="CI64" s="174">
        <v>17112</v>
      </c>
    </row>
    <row r="65" spans="1:87">
      <c r="A65" s="170"/>
      <c r="B65" s="171" t="s">
        <v>27</v>
      </c>
      <c r="C65" s="172">
        <f t="shared" si="12"/>
        <v>20552</v>
      </c>
      <c r="D65" s="173">
        <f t="shared" si="0"/>
        <v>8562</v>
      </c>
      <c r="E65" s="173">
        <f t="shared" si="1"/>
        <v>11088</v>
      </c>
      <c r="F65" s="173">
        <f t="shared" si="2"/>
        <v>7116</v>
      </c>
      <c r="G65" s="174">
        <f t="shared" si="3"/>
        <v>47318</v>
      </c>
      <c r="H65" s="172">
        <f t="shared" si="13"/>
        <v>17403</v>
      </c>
      <c r="I65" s="173">
        <f t="shared" si="4"/>
        <v>8023</v>
      </c>
      <c r="J65" s="173">
        <f t="shared" si="5"/>
        <v>9652</v>
      </c>
      <c r="K65" s="173">
        <f t="shared" si="6"/>
        <v>5793</v>
      </c>
      <c r="L65" s="174">
        <f t="shared" si="7"/>
        <v>40871</v>
      </c>
      <c r="M65" s="172"/>
      <c r="N65" s="173"/>
      <c r="O65" s="173"/>
      <c r="P65" s="173"/>
      <c r="Q65" s="174"/>
      <c r="R65" s="172"/>
      <c r="S65" s="173"/>
      <c r="T65" s="173"/>
      <c r="U65" s="173"/>
      <c r="V65" s="174"/>
      <c r="W65" s="172">
        <v>2156</v>
      </c>
      <c r="X65" s="173">
        <v>833</v>
      </c>
      <c r="Y65" s="173">
        <v>98</v>
      </c>
      <c r="Z65" s="173">
        <v>686</v>
      </c>
      <c r="AA65" s="174">
        <v>3773</v>
      </c>
      <c r="AB65" s="172">
        <v>343</v>
      </c>
      <c r="AC65" s="173">
        <v>637</v>
      </c>
      <c r="AD65" s="173"/>
      <c r="AE65" s="173"/>
      <c r="AF65" s="174">
        <v>980</v>
      </c>
      <c r="AG65" s="172">
        <v>11814</v>
      </c>
      <c r="AH65" s="173">
        <v>4117</v>
      </c>
      <c r="AI65" s="173">
        <v>3938</v>
      </c>
      <c r="AJ65" s="173">
        <v>3222</v>
      </c>
      <c r="AK65" s="174">
        <v>23091</v>
      </c>
      <c r="AL65" s="172"/>
      <c r="AM65" s="173"/>
      <c r="AN65" s="173"/>
      <c r="AO65" s="173"/>
      <c r="AP65" s="174"/>
      <c r="AQ65" s="172">
        <v>1764</v>
      </c>
      <c r="AR65" s="173">
        <v>1764</v>
      </c>
      <c r="AS65" s="173">
        <v>4719</v>
      </c>
      <c r="AT65" s="173">
        <v>1470</v>
      </c>
      <c r="AU65" s="174">
        <v>9717</v>
      </c>
      <c r="AV65" s="172">
        <v>444</v>
      </c>
      <c r="AW65" s="173">
        <v>147</v>
      </c>
      <c r="AX65" s="173">
        <v>554</v>
      </c>
      <c r="AY65" s="173">
        <v>49</v>
      </c>
      <c r="AZ65" s="174">
        <v>1194</v>
      </c>
      <c r="BA65" s="172">
        <v>882</v>
      </c>
      <c r="BB65" s="173">
        <v>525</v>
      </c>
      <c r="BC65" s="173">
        <v>343</v>
      </c>
      <c r="BD65" s="173">
        <v>366</v>
      </c>
      <c r="BE65" s="174">
        <v>2116</v>
      </c>
      <c r="BF65" s="172">
        <f t="shared" si="14"/>
        <v>3149</v>
      </c>
      <c r="BG65" s="173">
        <f t="shared" si="8"/>
        <v>539</v>
      </c>
      <c r="BH65" s="173">
        <f t="shared" si="9"/>
        <v>1436</v>
      </c>
      <c r="BI65" s="173">
        <f t="shared" si="10"/>
        <v>1323</v>
      </c>
      <c r="BJ65" s="174">
        <f t="shared" si="11"/>
        <v>6447</v>
      </c>
      <c r="BK65" s="172"/>
      <c r="BL65" s="173"/>
      <c r="BM65" s="173"/>
      <c r="BN65" s="173"/>
      <c r="BO65" s="174"/>
      <c r="BP65" s="172">
        <v>343</v>
      </c>
      <c r="BQ65" s="173">
        <v>147</v>
      </c>
      <c r="BR65" s="173">
        <v>375</v>
      </c>
      <c r="BS65" s="173">
        <v>98</v>
      </c>
      <c r="BT65" s="174">
        <v>963</v>
      </c>
      <c r="BU65" s="172">
        <v>686</v>
      </c>
      <c r="BV65" s="173">
        <v>196</v>
      </c>
      <c r="BW65" s="173">
        <v>147</v>
      </c>
      <c r="BX65" s="173">
        <v>1225</v>
      </c>
      <c r="BY65" s="174">
        <v>2254</v>
      </c>
      <c r="BZ65" s="172"/>
      <c r="CA65" s="173"/>
      <c r="CB65" s="173"/>
      <c r="CC65" s="173"/>
      <c r="CD65" s="174"/>
      <c r="CE65" s="172">
        <v>2120</v>
      </c>
      <c r="CF65" s="173">
        <v>196</v>
      </c>
      <c r="CG65" s="173">
        <v>914</v>
      </c>
      <c r="CH65" s="173"/>
      <c r="CI65" s="174">
        <v>3230</v>
      </c>
    </row>
    <row r="66" s="147" customFormat="1" ht="14.6" spans="1:87">
      <c r="A66" s="175" t="s">
        <v>62</v>
      </c>
      <c r="B66" s="176"/>
      <c r="C66" s="177">
        <f t="shared" si="12"/>
        <v>1488756</v>
      </c>
      <c r="D66" s="178">
        <f t="shared" si="0"/>
        <v>1657870</v>
      </c>
      <c r="E66" s="178">
        <f t="shared" si="1"/>
        <v>1430114</v>
      </c>
      <c r="F66" s="178">
        <f t="shared" si="2"/>
        <v>1106437</v>
      </c>
      <c r="G66" s="179">
        <f t="shared" si="3"/>
        <v>5683177</v>
      </c>
      <c r="H66" s="177">
        <f t="shared" si="13"/>
        <v>1416116</v>
      </c>
      <c r="I66" s="178">
        <f t="shared" si="4"/>
        <v>1590892</v>
      </c>
      <c r="J66" s="178">
        <f t="shared" si="5"/>
        <v>1346984</v>
      </c>
      <c r="K66" s="178">
        <f t="shared" si="6"/>
        <v>1010458</v>
      </c>
      <c r="L66" s="179">
        <f t="shared" si="7"/>
        <v>5364450</v>
      </c>
      <c r="M66" s="177">
        <v>80704</v>
      </c>
      <c r="N66" s="178">
        <v>180325</v>
      </c>
      <c r="O66" s="178">
        <v>100894</v>
      </c>
      <c r="P66" s="178">
        <v>96203</v>
      </c>
      <c r="Q66" s="179">
        <v>458126</v>
      </c>
      <c r="R66" s="177">
        <v>454184</v>
      </c>
      <c r="S66" s="178">
        <v>641560</v>
      </c>
      <c r="T66" s="178">
        <v>429043</v>
      </c>
      <c r="U66" s="178">
        <v>301671</v>
      </c>
      <c r="V66" s="179">
        <v>1826458</v>
      </c>
      <c r="W66" s="177">
        <v>42503</v>
      </c>
      <c r="X66" s="178">
        <v>64973</v>
      </c>
      <c r="Y66" s="178">
        <v>42805</v>
      </c>
      <c r="Z66" s="178">
        <v>38919</v>
      </c>
      <c r="AA66" s="179">
        <v>189200</v>
      </c>
      <c r="AB66" s="177">
        <v>111799</v>
      </c>
      <c r="AC66" s="178">
        <v>151065</v>
      </c>
      <c r="AD66" s="178">
        <v>265261</v>
      </c>
      <c r="AE66" s="178">
        <v>132617</v>
      </c>
      <c r="AF66" s="179">
        <v>660742</v>
      </c>
      <c r="AG66" s="177">
        <v>315766</v>
      </c>
      <c r="AH66" s="178">
        <v>209327</v>
      </c>
      <c r="AI66" s="178">
        <v>162943</v>
      </c>
      <c r="AJ66" s="178">
        <v>146588</v>
      </c>
      <c r="AK66" s="179">
        <v>834624</v>
      </c>
      <c r="AL66" s="177">
        <v>18838</v>
      </c>
      <c r="AM66" s="178">
        <v>26006</v>
      </c>
      <c r="AN66" s="178">
        <v>28514</v>
      </c>
      <c r="AO66" s="178">
        <v>26065</v>
      </c>
      <c r="AP66" s="179">
        <v>99423</v>
      </c>
      <c r="AQ66" s="177">
        <v>263046</v>
      </c>
      <c r="AR66" s="178">
        <v>165447</v>
      </c>
      <c r="AS66" s="178">
        <v>129816</v>
      </c>
      <c r="AT66" s="178">
        <v>103894</v>
      </c>
      <c r="AU66" s="179">
        <v>662203</v>
      </c>
      <c r="AV66" s="177">
        <v>16814</v>
      </c>
      <c r="AW66" s="178">
        <v>13552</v>
      </c>
      <c r="AX66" s="178">
        <v>26165</v>
      </c>
      <c r="AY66" s="178">
        <v>16849</v>
      </c>
      <c r="AZ66" s="179">
        <v>73380</v>
      </c>
      <c r="BA66" s="177">
        <v>112462</v>
      </c>
      <c r="BB66" s="178">
        <v>138637</v>
      </c>
      <c r="BC66" s="178">
        <v>161543</v>
      </c>
      <c r="BD66" s="178">
        <v>147652</v>
      </c>
      <c r="BE66" s="179">
        <v>560294</v>
      </c>
      <c r="BF66" s="177">
        <f t="shared" si="14"/>
        <v>72640</v>
      </c>
      <c r="BG66" s="178">
        <f t="shared" si="8"/>
        <v>66978</v>
      </c>
      <c r="BH66" s="178">
        <f t="shared" si="9"/>
        <v>83130</v>
      </c>
      <c r="BI66" s="178">
        <f t="shared" si="10"/>
        <v>95979</v>
      </c>
      <c r="BJ66" s="179">
        <f t="shared" si="11"/>
        <v>318727</v>
      </c>
      <c r="BK66" s="177">
        <v>7122</v>
      </c>
      <c r="BL66" s="178">
        <v>1096</v>
      </c>
      <c r="BM66" s="178">
        <v>1013</v>
      </c>
      <c r="BN66" s="178">
        <v>1242</v>
      </c>
      <c r="BO66" s="179">
        <v>10473</v>
      </c>
      <c r="BP66" s="177">
        <v>23221</v>
      </c>
      <c r="BQ66" s="178">
        <v>21753</v>
      </c>
      <c r="BR66" s="178">
        <v>24042</v>
      </c>
      <c r="BS66" s="178">
        <v>22264</v>
      </c>
      <c r="BT66" s="179">
        <v>91280</v>
      </c>
      <c r="BU66" s="177">
        <v>32311</v>
      </c>
      <c r="BV66" s="178">
        <v>30301</v>
      </c>
      <c r="BW66" s="178">
        <v>48329</v>
      </c>
      <c r="BX66" s="178">
        <v>66478</v>
      </c>
      <c r="BY66" s="179">
        <v>177419</v>
      </c>
      <c r="BZ66" s="177">
        <v>2070</v>
      </c>
      <c r="CA66" s="178">
        <v>7698</v>
      </c>
      <c r="CB66" s="178">
        <v>5106</v>
      </c>
      <c r="CC66" s="178">
        <v>4339</v>
      </c>
      <c r="CD66" s="179">
        <v>19213</v>
      </c>
      <c r="CE66" s="177">
        <v>7916</v>
      </c>
      <c r="CF66" s="178">
        <v>6130</v>
      </c>
      <c r="CG66" s="178">
        <v>4640</v>
      </c>
      <c r="CH66" s="178">
        <v>1656</v>
      </c>
      <c r="CI66" s="179">
        <v>20342</v>
      </c>
    </row>
    <row r="67" spans="1:87">
      <c r="A67" s="170" t="s">
        <v>63</v>
      </c>
      <c r="B67" s="171" t="s">
        <v>26</v>
      </c>
      <c r="C67" s="172">
        <f t="shared" si="12"/>
        <v>1566705</v>
      </c>
      <c r="D67" s="173">
        <f t="shared" ref="D67:D130" si="15">I67+BG67</f>
        <v>1449147</v>
      </c>
      <c r="E67" s="173">
        <f t="shared" ref="E67:E130" si="16">J67+BH67</f>
        <v>1259784</v>
      </c>
      <c r="F67" s="173">
        <f t="shared" ref="F67:F130" si="17">K67+BI67</f>
        <v>1389930</v>
      </c>
      <c r="G67" s="174">
        <f t="shared" ref="G67:G130" si="18">L67+BJ67</f>
        <v>5665566</v>
      </c>
      <c r="H67" s="172">
        <f t="shared" si="13"/>
        <v>1265016</v>
      </c>
      <c r="I67" s="173">
        <f t="shared" ref="I67:I130" si="19">N67+S67+X67+AC67+AH67+AM67+AR67+AW67+BB67</f>
        <v>1097706</v>
      </c>
      <c r="J67" s="173">
        <f t="shared" ref="J67:J130" si="20">O67+T67+Y67+AD67+AI67+AN67+AS67+AX67+BC67</f>
        <v>911442</v>
      </c>
      <c r="K67" s="173">
        <f t="shared" ref="K67:K130" si="21">P67+U67+Z67+AE67+AJ67+AO67+AT67+AY67+BD67</f>
        <v>1026378</v>
      </c>
      <c r="L67" s="174">
        <f t="shared" ref="L67:L130" si="22">Q67+V67+AA67+AF67+AK67+AP67+AU67+AZ67+BE67</f>
        <v>4300542</v>
      </c>
      <c r="M67" s="172">
        <v>324144</v>
      </c>
      <c r="N67" s="173">
        <v>210207</v>
      </c>
      <c r="O67" s="173">
        <v>147024</v>
      </c>
      <c r="P67" s="173">
        <v>131265</v>
      </c>
      <c r="Q67" s="174">
        <v>812640</v>
      </c>
      <c r="R67" s="172">
        <v>460110</v>
      </c>
      <c r="S67" s="173">
        <v>419934</v>
      </c>
      <c r="T67" s="173">
        <v>383880</v>
      </c>
      <c r="U67" s="173">
        <v>359613</v>
      </c>
      <c r="V67" s="174">
        <v>1623537</v>
      </c>
      <c r="W67" s="172">
        <v>20802</v>
      </c>
      <c r="X67" s="173">
        <v>19272</v>
      </c>
      <c r="Y67" s="173">
        <v>20010</v>
      </c>
      <c r="Z67" s="173">
        <v>19809</v>
      </c>
      <c r="AA67" s="174">
        <v>79893</v>
      </c>
      <c r="AB67" s="172">
        <v>86472</v>
      </c>
      <c r="AC67" s="173">
        <v>123384</v>
      </c>
      <c r="AD67" s="173">
        <v>90456</v>
      </c>
      <c r="AE67" s="173">
        <v>71787</v>
      </c>
      <c r="AF67" s="174">
        <v>372099</v>
      </c>
      <c r="AG67" s="172">
        <v>111249</v>
      </c>
      <c r="AH67" s="173">
        <v>72843</v>
      </c>
      <c r="AI67" s="173">
        <v>66159</v>
      </c>
      <c r="AJ67" s="173">
        <v>177213</v>
      </c>
      <c r="AK67" s="174">
        <v>427464</v>
      </c>
      <c r="AL67" s="172">
        <v>66609</v>
      </c>
      <c r="AM67" s="173">
        <v>58161</v>
      </c>
      <c r="AN67" s="173">
        <v>44199</v>
      </c>
      <c r="AO67" s="173">
        <v>44742</v>
      </c>
      <c r="AP67" s="174">
        <v>213711</v>
      </c>
      <c r="AQ67" s="172">
        <v>70041</v>
      </c>
      <c r="AR67" s="173">
        <v>49329</v>
      </c>
      <c r="AS67" s="173">
        <v>44268</v>
      </c>
      <c r="AT67" s="173">
        <v>49878</v>
      </c>
      <c r="AU67" s="174">
        <v>213516</v>
      </c>
      <c r="AV67" s="172">
        <v>7101</v>
      </c>
      <c r="AW67" s="173">
        <v>28428</v>
      </c>
      <c r="AX67" s="173">
        <v>2070</v>
      </c>
      <c r="AY67" s="173">
        <v>2553</v>
      </c>
      <c r="AZ67" s="174">
        <v>40152</v>
      </c>
      <c r="BA67" s="172">
        <v>118488</v>
      </c>
      <c r="BB67" s="173">
        <v>116148</v>
      </c>
      <c r="BC67" s="173">
        <v>113376</v>
      </c>
      <c r="BD67" s="173">
        <v>169518</v>
      </c>
      <c r="BE67" s="174">
        <v>517530</v>
      </c>
      <c r="BF67" s="172">
        <f t="shared" si="14"/>
        <v>301689</v>
      </c>
      <c r="BG67" s="173">
        <f t="shared" ref="BG67:BG130" si="23">BL67+BQ67+BV67+CA67+CF67</f>
        <v>351441</v>
      </c>
      <c r="BH67" s="173">
        <f t="shared" ref="BH67:BH130" si="24">BM67+BR67+BW67+CB67+CG67</f>
        <v>348342</v>
      </c>
      <c r="BI67" s="173">
        <f t="shared" ref="BI67:BI130" si="25">BN67+BS67+BX67+CC67+CH67</f>
        <v>363552</v>
      </c>
      <c r="BJ67" s="174">
        <f t="shared" ref="BJ67:BJ130" si="26">BO67+BT67+BY67+CD67+CI67</f>
        <v>1365024</v>
      </c>
      <c r="BK67" s="172">
        <v>6894</v>
      </c>
      <c r="BL67" s="173">
        <v>16914</v>
      </c>
      <c r="BM67" s="173">
        <v>18483</v>
      </c>
      <c r="BN67" s="173">
        <v>28569</v>
      </c>
      <c r="BO67" s="174">
        <v>70860</v>
      </c>
      <c r="BP67" s="172">
        <v>170721</v>
      </c>
      <c r="BQ67" s="173">
        <v>155070</v>
      </c>
      <c r="BR67" s="173">
        <v>151452</v>
      </c>
      <c r="BS67" s="173">
        <v>154701</v>
      </c>
      <c r="BT67" s="174">
        <v>631944</v>
      </c>
      <c r="BU67" s="172">
        <v>82185</v>
      </c>
      <c r="BV67" s="173">
        <v>120141</v>
      </c>
      <c r="BW67" s="173">
        <v>135369</v>
      </c>
      <c r="BX67" s="173">
        <v>138693</v>
      </c>
      <c r="BY67" s="174">
        <v>476388</v>
      </c>
      <c r="BZ67" s="172">
        <v>24429</v>
      </c>
      <c r="CA67" s="173">
        <v>37956</v>
      </c>
      <c r="CB67" s="173">
        <v>25815</v>
      </c>
      <c r="CC67" s="173">
        <v>18780</v>
      </c>
      <c r="CD67" s="174">
        <v>106980</v>
      </c>
      <c r="CE67" s="172">
        <v>17460</v>
      </c>
      <c r="CF67" s="173">
        <v>21360</v>
      </c>
      <c r="CG67" s="173">
        <v>17223</v>
      </c>
      <c r="CH67" s="173">
        <v>22809</v>
      </c>
      <c r="CI67" s="174">
        <v>78852</v>
      </c>
    </row>
    <row r="68" s="147" customFormat="1" ht="14.6" spans="1:87">
      <c r="A68" s="175" t="s">
        <v>64</v>
      </c>
      <c r="B68" s="176"/>
      <c r="C68" s="177">
        <f t="shared" ref="C68:C131" si="27">H68+BF68</f>
        <v>1566705</v>
      </c>
      <c r="D68" s="178">
        <f t="shared" si="15"/>
        <v>1449147</v>
      </c>
      <c r="E68" s="178">
        <f t="shared" si="16"/>
        <v>1259784</v>
      </c>
      <c r="F68" s="178">
        <f t="shared" si="17"/>
        <v>1389930</v>
      </c>
      <c r="G68" s="179">
        <f t="shared" si="18"/>
        <v>5665566</v>
      </c>
      <c r="H68" s="177">
        <f t="shared" ref="H68:H131" si="28">M68+R68+W68+AB68+AG68+AL68+AQ68+AV68+BA68</f>
        <v>1265016</v>
      </c>
      <c r="I68" s="178">
        <f t="shared" si="19"/>
        <v>1097706</v>
      </c>
      <c r="J68" s="178">
        <f t="shared" si="20"/>
        <v>911442</v>
      </c>
      <c r="K68" s="178">
        <f t="shared" si="21"/>
        <v>1026378</v>
      </c>
      <c r="L68" s="179">
        <f t="shared" si="22"/>
        <v>4300542</v>
      </c>
      <c r="M68" s="177">
        <v>324144</v>
      </c>
      <c r="N68" s="178">
        <v>210207</v>
      </c>
      <c r="O68" s="178">
        <v>147024</v>
      </c>
      <c r="P68" s="178">
        <v>131265</v>
      </c>
      <c r="Q68" s="179">
        <v>812640</v>
      </c>
      <c r="R68" s="177">
        <v>460110</v>
      </c>
      <c r="S68" s="178">
        <v>419934</v>
      </c>
      <c r="T68" s="178">
        <v>383880</v>
      </c>
      <c r="U68" s="178">
        <v>359613</v>
      </c>
      <c r="V68" s="179">
        <v>1623537</v>
      </c>
      <c r="W68" s="177">
        <v>20802</v>
      </c>
      <c r="X68" s="178">
        <v>19272</v>
      </c>
      <c r="Y68" s="178">
        <v>20010</v>
      </c>
      <c r="Z68" s="178">
        <v>19809</v>
      </c>
      <c r="AA68" s="179">
        <v>79893</v>
      </c>
      <c r="AB68" s="177">
        <v>86472</v>
      </c>
      <c r="AC68" s="178">
        <v>123384</v>
      </c>
      <c r="AD68" s="178">
        <v>90456</v>
      </c>
      <c r="AE68" s="178">
        <v>71787</v>
      </c>
      <c r="AF68" s="179">
        <v>372099</v>
      </c>
      <c r="AG68" s="177">
        <v>111249</v>
      </c>
      <c r="AH68" s="178">
        <v>72843</v>
      </c>
      <c r="AI68" s="178">
        <v>66159</v>
      </c>
      <c r="AJ68" s="178">
        <v>177213</v>
      </c>
      <c r="AK68" s="179">
        <v>427464</v>
      </c>
      <c r="AL68" s="177">
        <v>66609</v>
      </c>
      <c r="AM68" s="178">
        <v>58161</v>
      </c>
      <c r="AN68" s="178">
        <v>44199</v>
      </c>
      <c r="AO68" s="178">
        <v>44742</v>
      </c>
      <c r="AP68" s="179">
        <v>213711</v>
      </c>
      <c r="AQ68" s="177">
        <v>70041</v>
      </c>
      <c r="AR68" s="178">
        <v>49329</v>
      </c>
      <c r="AS68" s="178">
        <v>44268</v>
      </c>
      <c r="AT68" s="178">
        <v>49878</v>
      </c>
      <c r="AU68" s="179">
        <v>213516</v>
      </c>
      <c r="AV68" s="177">
        <v>7101</v>
      </c>
      <c r="AW68" s="178">
        <v>28428</v>
      </c>
      <c r="AX68" s="178">
        <v>2070</v>
      </c>
      <c r="AY68" s="178">
        <v>2553</v>
      </c>
      <c r="AZ68" s="179">
        <v>40152</v>
      </c>
      <c r="BA68" s="177">
        <v>118488</v>
      </c>
      <c r="BB68" s="178">
        <v>116148</v>
      </c>
      <c r="BC68" s="178">
        <v>113376</v>
      </c>
      <c r="BD68" s="178">
        <v>169518</v>
      </c>
      <c r="BE68" s="179">
        <v>517530</v>
      </c>
      <c r="BF68" s="177">
        <f t="shared" ref="BF68:BF131" si="29">BK68+BP68+BU68+BZ68+CE68</f>
        <v>301689</v>
      </c>
      <c r="BG68" s="178">
        <f t="shared" si="23"/>
        <v>351441</v>
      </c>
      <c r="BH68" s="178">
        <f t="shared" si="24"/>
        <v>348342</v>
      </c>
      <c r="BI68" s="178">
        <f t="shared" si="25"/>
        <v>363552</v>
      </c>
      <c r="BJ68" s="179">
        <f t="shared" si="26"/>
        <v>1365024</v>
      </c>
      <c r="BK68" s="177">
        <v>6894</v>
      </c>
      <c r="BL68" s="178">
        <v>16914</v>
      </c>
      <c r="BM68" s="178">
        <v>18483</v>
      </c>
      <c r="BN68" s="178">
        <v>28569</v>
      </c>
      <c r="BO68" s="179">
        <v>70860</v>
      </c>
      <c r="BP68" s="177">
        <v>170721</v>
      </c>
      <c r="BQ68" s="178">
        <v>155070</v>
      </c>
      <c r="BR68" s="178">
        <v>151452</v>
      </c>
      <c r="BS68" s="178">
        <v>154701</v>
      </c>
      <c r="BT68" s="179">
        <v>631944</v>
      </c>
      <c r="BU68" s="177">
        <v>82185</v>
      </c>
      <c r="BV68" s="178">
        <v>120141</v>
      </c>
      <c r="BW68" s="178">
        <v>135369</v>
      </c>
      <c r="BX68" s="178">
        <v>138693</v>
      </c>
      <c r="BY68" s="179">
        <v>476388</v>
      </c>
      <c r="BZ68" s="177">
        <v>24429</v>
      </c>
      <c r="CA68" s="178">
        <v>37956</v>
      </c>
      <c r="CB68" s="178">
        <v>25815</v>
      </c>
      <c r="CC68" s="178">
        <v>18780</v>
      </c>
      <c r="CD68" s="179">
        <v>106980</v>
      </c>
      <c r="CE68" s="177">
        <v>17460</v>
      </c>
      <c r="CF68" s="178">
        <v>21360</v>
      </c>
      <c r="CG68" s="178">
        <v>17223</v>
      </c>
      <c r="CH68" s="178">
        <v>22809</v>
      </c>
      <c r="CI68" s="179">
        <v>78852</v>
      </c>
    </row>
    <row r="69" spans="1:87">
      <c r="A69" s="170" t="s">
        <v>65</v>
      </c>
      <c r="B69" s="171" t="s">
        <v>26</v>
      </c>
      <c r="C69" s="172">
        <f t="shared" si="27"/>
        <v>1706118</v>
      </c>
      <c r="D69" s="173">
        <f t="shared" si="15"/>
        <v>1256698</v>
      </c>
      <c r="E69" s="173">
        <f t="shared" si="16"/>
        <v>1096800</v>
      </c>
      <c r="F69" s="173">
        <f t="shared" si="17"/>
        <v>1116635</v>
      </c>
      <c r="G69" s="174">
        <f t="shared" si="18"/>
        <v>5176251</v>
      </c>
      <c r="H69" s="172">
        <f t="shared" si="28"/>
        <v>1491924</v>
      </c>
      <c r="I69" s="173">
        <f t="shared" si="19"/>
        <v>1054722</v>
      </c>
      <c r="J69" s="173">
        <f t="shared" si="20"/>
        <v>869876</v>
      </c>
      <c r="K69" s="173">
        <f t="shared" si="21"/>
        <v>870284</v>
      </c>
      <c r="L69" s="174">
        <f t="shared" si="22"/>
        <v>4286806</v>
      </c>
      <c r="M69" s="172">
        <v>549109</v>
      </c>
      <c r="N69" s="173">
        <v>339446</v>
      </c>
      <c r="O69" s="173">
        <v>268602</v>
      </c>
      <c r="P69" s="173">
        <v>315086</v>
      </c>
      <c r="Q69" s="174">
        <v>1472243</v>
      </c>
      <c r="R69" s="172">
        <v>188591</v>
      </c>
      <c r="S69" s="173">
        <v>141571</v>
      </c>
      <c r="T69" s="173">
        <v>108676</v>
      </c>
      <c r="U69" s="173">
        <v>99345</v>
      </c>
      <c r="V69" s="174">
        <v>538183</v>
      </c>
      <c r="W69" s="172">
        <v>19442</v>
      </c>
      <c r="X69" s="173">
        <v>11040</v>
      </c>
      <c r="Y69" s="173">
        <v>7030</v>
      </c>
      <c r="Z69" s="173">
        <v>6831</v>
      </c>
      <c r="AA69" s="174">
        <v>44343</v>
      </c>
      <c r="AB69" s="172">
        <v>134916</v>
      </c>
      <c r="AC69" s="173">
        <v>132127</v>
      </c>
      <c r="AD69" s="173">
        <v>55675</v>
      </c>
      <c r="AE69" s="173">
        <v>5244</v>
      </c>
      <c r="AF69" s="174">
        <v>327962</v>
      </c>
      <c r="AG69" s="172">
        <v>231383</v>
      </c>
      <c r="AH69" s="173">
        <v>157609</v>
      </c>
      <c r="AI69" s="173">
        <v>126169</v>
      </c>
      <c r="AJ69" s="173">
        <v>104511</v>
      </c>
      <c r="AK69" s="174">
        <v>619672</v>
      </c>
      <c r="AL69" s="172">
        <v>31387</v>
      </c>
      <c r="AM69" s="173">
        <v>31870</v>
      </c>
      <c r="AN69" s="173">
        <v>39736</v>
      </c>
      <c r="AO69" s="173">
        <v>42971</v>
      </c>
      <c r="AP69" s="174">
        <v>145964</v>
      </c>
      <c r="AQ69" s="172">
        <v>110920</v>
      </c>
      <c r="AR69" s="173">
        <v>64576</v>
      </c>
      <c r="AS69" s="173">
        <v>62413</v>
      </c>
      <c r="AT69" s="173">
        <v>52923</v>
      </c>
      <c r="AU69" s="174">
        <v>290832</v>
      </c>
      <c r="AV69" s="172">
        <v>29386</v>
      </c>
      <c r="AW69" s="173">
        <v>16008</v>
      </c>
      <c r="AX69" s="173">
        <v>16138</v>
      </c>
      <c r="AY69" s="173">
        <v>25737</v>
      </c>
      <c r="AZ69" s="174">
        <v>87269</v>
      </c>
      <c r="BA69" s="172">
        <v>196790</v>
      </c>
      <c r="BB69" s="173">
        <v>160475</v>
      </c>
      <c r="BC69" s="173">
        <v>185437</v>
      </c>
      <c r="BD69" s="173">
        <v>217636</v>
      </c>
      <c r="BE69" s="174">
        <v>760338</v>
      </c>
      <c r="BF69" s="172">
        <f t="shared" si="29"/>
        <v>214194</v>
      </c>
      <c r="BG69" s="173">
        <f t="shared" si="23"/>
        <v>201976</v>
      </c>
      <c r="BH69" s="173">
        <f t="shared" si="24"/>
        <v>226924</v>
      </c>
      <c r="BI69" s="173">
        <f t="shared" si="25"/>
        <v>246351</v>
      </c>
      <c r="BJ69" s="174">
        <f t="shared" si="26"/>
        <v>889445</v>
      </c>
      <c r="BK69" s="172">
        <v>2752</v>
      </c>
      <c r="BL69" s="173">
        <v>1311</v>
      </c>
      <c r="BM69" s="173">
        <v>2553</v>
      </c>
      <c r="BN69" s="173">
        <v>414</v>
      </c>
      <c r="BO69" s="174">
        <v>7030</v>
      </c>
      <c r="BP69" s="172">
        <v>92794</v>
      </c>
      <c r="BQ69" s="173">
        <v>93126</v>
      </c>
      <c r="BR69" s="173">
        <v>98208</v>
      </c>
      <c r="BS69" s="173">
        <v>98715</v>
      </c>
      <c r="BT69" s="174">
        <v>382843</v>
      </c>
      <c r="BU69" s="172">
        <v>91961</v>
      </c>
      <c r="BV69" s="173">
        <v>80507</v>
      </c>
      <c r="BW69" s="173">
        <v>110861</v>
      </c>
      <c r="BX69" s="173">
        <v>137777</v>
      </c>
      <c r="BY69" s="174">
        <v>421106</v>
      </c>
      <c r="BZ69" s="172">
        <v>11783</v>
      </c>
      <c r="CA69" s="173">
        <v>10886</v>
      </c>
      <c r="CB69" s="173">
        <v>4883</v>
      </c>
      <c r="CC69" s="173">
        <v>6340</v>
      </c>
      <c r="CD69" s="174">
        <v>33892</v>
      </c>
      <c r="CE69" s="172">
        <v>14904</v>
      </c>
      <c r="CF69" s="173">
        <v>16146</v>
      </c>
      <c r="CG69" s="173">
        <v>10419</v>
      </c>
      <c r="CH69" s="173">
        <v>3105</v>
      </c>
      <c r="CI69" s="174">
        <v>44574</v>
      </c>
    </row>
    <row r="70" spans="1:87">
      <c r="A70" s="170"/>
      <c r="B70" s="171" t="s">
        <v>27</v>
      </c>
      <c r="C70" s="172">
        <f t="shared" si="27"/>
        <v>0</v>
      </c>
      <c r="D70" s="173">
        <f t="shared" si="15"/>
        <v>17464</v>
      </c>
      <c r="E70" s="173">
        <f t="shared" si="16"/>
        <v>25075</v>
      </c>
      <c r="F70" s="173">
        <f t="shared" si="17"/>
        <v>24485</v>
      </c>
      <c r="G70" s="174">
        <f t="shared" si="18"/>
        <v>67024</v>
      </c>
      <c r="H70" s="172">
        <f t="shared" si="28"/>
        <v>0</v>
      </c>
      <c r="I70" s="173">
        <f t="shared" si="19"/>
        <v>17464</v>
      </c>
      <c r="J70" s="173">
        <f t="shared" si="20"/>
        <v>25075</v>
      </c>
      <c r="K70" s="173">
        <f t="shared" si="21"/>
        <v>24485</v>
      </c>
      <c r="L70" s="174">
        <f t="shared" si="22"/>
        <v>67024</v>
      </c>
      <c r="M70" s="172"/>
      <c r="N70" s="173">
        <v>17464</v>
      </c>
      <c r="O70" s="173">
        <v>25075</v>
      </c>
      <c r="P70" s="173">
        <v>24485</v>
      </c>
      <c r="Q70" s="174">
        <v>67024</v>
      </c>
      <c r="R70" s="172"/>
      <c r="S70" s="173"/>
      <c r="T70" s="173"/>
      <c r="U70" s="173"/>
      <c r="V70" s="174"/>
      <c r="W70" s="172"/>
      <c r="X70" s="173"/>
      <c r="Y70" s="173"/>
      <c r="Z70" s="173"/>
      <c r="AA70" s="174"/>
      <c r="AB70" s="172"/>
      <c r="AC70" s="173"/>
      <c r="AD70" s="173"/>
      <c r="AE70" s="173"/>
      <c r="AF70" s="174"/>
      <c r="AG70" s="172"/>
      <c r="AH70" s="173"/>
      <c r="AI70" s="173"/>
      <c r="AJ70" s="173"/>
      <c r="AK70" s="174"/>
      <c r="AL70" s="172"/>
      <c r="AM70" s="173"/>
      <c r="AN70" s="173"/>
      <c r="AO70" s="173"/>
      <c r="AP70" s="174"/>
      <c r="AQ70" s="172"/>
      <c r="AR70" s="173"/>
      <c r="AS70" s="173"/>
      <c r="AT70" s="173"/>
      <c r="AU70" s="174"/>
      <c r="AV70" s="172"/>
      <c r="AW70" s="173"/>
      <c r="AX70" s="173"/>
      <c r="AY70" s="173"/>
      <c r="AZ70" s="174"/>
      <c r="BA70" s="172"/>
      <c r="BB70" s="173"/>
      <c r="BC70" s="173"/>
      <c r="BD70" s="173"/>
      <c r="BE70" s="174"/>
      <c r="BF70" s="172">
        <f t="shared" si="29"/>
        <v>0</v>
      </c>
      <c r="BG70" s="173">
        <f t="shared" si="23"/>
        <v>0</v>
      </c>
      <c r="BH70" s="173">
        <f t="shared" si="24"/>
        <v>0</v>
      </c>
      <c r="BI70" s="173">
        <f t="shared" si="25"/>
        <v>0</v>
      </c>
      <c r="BJ70" s="174">
        <f t="shared" si="26"/>
        <v>0</v>
      </c>
      <c r="BK70" s="172"/>
      <c r="BL70" s="173"/>
      <c r="BM70" s="173"/>
      <c r="BN70" s="173"/>
      <c r="BO70" s="174"/>
      <c r="BP70" s="172"/>
      <c r="BQ70" s="173"/>
      <c r="BR70" s="173"/>
      <c r="BS70" s="173"/>
      <c r="BT70" s="174"/>
      <c r="BU70" s="172"/>
      <c r="BV70" s="173"/>
      <c r="BW70" s="173"/>
      <c r="BX70" s="173"/>
      <c r="BY70" s="174"/>
      <c r="BZ70" s="172"/>
      <c r="CA70" s="173"/>
      <c r="CB70" s="173"/>
      <c r="CC70" s="173"/>
      <c r="CD70" s="174"/>
      <c r="CE70" s="172"/>
      <c r="CF70" s="173"/>
      <c r="CG70" s="173"/>
      <c r="CH70" s="173"/>
      <c r="CI70" s="174"/>
    </row>
    <row r="71" s="147" customFormat="1" ht="14.6" spans="1:87">
      <c r="A71" s="175" t="s">
        <v>66</v>
      </c>
      <c r="B71" s="176"/>
      <c r="C71" s="177">
        <f t="shared" si="27"/>
        <v>1706118</v>
      </c>
      <c r="D71" s="178">
        <f t="shared" si="15"/>
        <v>1274162</v>
      </c>
      <c r="E71" s="178">
        <f t="shared" si="16"/>
        <v>1121875</v>
      </c>
      <c r="F71" s="178">
        <f t="shared" si="17"/>
        <v>1141120</v>
      </c>
      <c r="G71" s="179">
        <f t="shared" si="18"/>
        <v>5243275</v>
      </c>
      <c r="H71" s="177">
        <f t="shared" si="28"/>
        <v>1491924</v>
      </c>
      <c r="I71" s="178">
        <f t="shared" si="19"/>
        <v>1072186</v>
      </c>
      <c r="J71" s="178">
        <f t="shared" si="20"/>
        <v>894951</v>
      </c>
      <c r="K71" s="178">
        <f t="shared" si="21"/>
        <v>894769</v>
      </c>
      <c r="L71" s="179">
        <f t="shared" si="22"/>
        <v>4353830</v>
      </c>
      <c r="M71" s="177">
        <v>549109</v>
      </c>
      <c r="N71" s="178">
        <v>356910</v>
      </c>
      <c r="O71" s="178">
        <v>293677</v>
      </c>
      <c r="P71" s="178">
        <v>339571</v>
      </c>
      <c r="Q71" s="179">
        <v>1539267</v>
      </c>
      <c r="R71" s="177">
        <v>188591</v>
      </c>
      <c r="S71" s="178">
        <v>141571</v>
      </c>
      <c r="T71" s="178">
        <v>108676</v>
      </c>
      <c r="U71" s="178">
        <v>99345</v>
      </c>
      <c r="V71" s="179">
        <v>538183</v>
      </c>
      <c r="W71" s="177">
        <v>19442</v>
      </c>
      <c r="X71" s="178">
        <v>11040</v>
      </c>
      <c r="Y71" s="178">
        <v>7030</v>
      </c>
      <c r="Z71" s="178">
        <v>6831</v>
      </c>
      <c r="AA71" s="179">
        <v>44343</v>
      </c>
      <c r="AB71" s="177">
        <v>134916</v>
      </c>
      <c r="AC71" s="178">
        <v>132127</v>
      </c>
      <c r="AD71" s="178">
        <v>55675</v>
      </c>
      <c r="AE71" s="178">
        <v>5244</v>
      </c>
      <c r="AF71" s="179">
        <v>327962</v>
      </c>
      <c r="AG71" s="177">
        <v>231383</v>
      </c>
      <c r="AH71" s="178">
        <v>157609</v>
      </c>
      <c r="AI71" s="178">
        <v>126169</v>
      </c>
      <c r="AJ71" s="178">
        <v>104511</v>
      </c>
      <c r="AK71" s="179">
        <v>619672</v>
      </c>
      <c r="AL71" s="177">
        <v>31387</v>
      </c>
      <c r="AM71" s="178">
        <v>31870</v>
      </c>
      <c r="AN71" s="178">
        <v>39736</v>
      </c>
      <c r="AO71" s="178">
        <v>42971</v>
      </c>
      <c r="AP71" s="179">
        <v>145964</v>
      </c>
      <c r="AQ71" s="177">
        <v>110920</v>
      </c>
      <c r="AR71" s="178">
        <v>64576</v>
      </c>
      <c r="AS71" s="178">
        <v>62413</v>
      </c>
      <c r="AT71" s="178">
        <v>52923</v>
      </c>
      <c r="AU71" s="179">
        <v>290832</v>
      </c>
      <c r="AV71" s="177">
        <v>29386</v>
      </c>
      <c r="AW71" s="178">
        <v>16008</v>
      </c>
      <c r="AX71" s="178">
        <v>16138</v>
      </c>
      <c r="AY71" s="178">
        <v>25737</v>
      </c>
      <c r="AZ71" s="179">
        <v>87269</v>
      </c>
      <c r="BA71" s="177">
        <v>196790</v>
      </c>
      <c r="BB71" s="178">
        <v>160475</v>
      </c>
      <c r="BC71" s="178">
        <v>185437</v>
      </c>
      <c r="BD71" s="178">
        <v>217636</v>
      </c>
      <c r="BE71" s="179">
        <v>760338</v>
      </c>
      <c r="BF71" s="177">
        <f t="shared" si="29"/>
        <v>214194</v>
      </c>
      <c r="BG71" s="178">
        <f t="shared" si="23"/>
        <v>201976</v>
      </c>
      <c r="BH71" s="178">
        <f t="shared" si="24"/>
        <v>226924</v>
      </c>
      <c r="BI71" s="178">
        <f t="shared" si="25"/>
        <v>246351</v>
      </c>
      <c r="BJ71" s="179">
        <f t="shared" si="26"/>
        <v>889445</v>
      </c>
      <c r="BK71" s="177">
        <v>2752</v>
      </c>
      <c r="BL71" s="178">
        <v>1311</v>
      </c>
      <c r="BM71" s="178">
        <v>2553</v>
      </c>
      <c r="BN71" s="178">
        <v>414</v>
      </c>
      <c r="BO71" s="179">
        <v>7030</v>
      </c>
      <c r="BP71" s="177">
        <v>92794</v>
      </c>
      <c r="BQ71" s="178">
        <v>93126</v>
      </c>
      <c r="BR71" s="178">
        <v>98208</v>
      </c>
      <c r="BS71" s="178">
        <v>98715</v>
      </c>
      <c r="BT71" s="179">
        <v>382843</v>
      </c>
      <c r="BU71" s="177">
        <v>91961</v>
      </c>
      <c r="BV71" s="178">
        <v>80507</v>
      </c>
      <c r="BW71" s="178">
        <v>110861</v>
      </c>
      <c r="BX71" s="178">
        <v>137777</v>
      </c>
      <c r="BY71" s="179">
        <v>421106</v>
      </c>
      <c r="BZ71" s="177">
        <v>11783</v>
      </c>
      <c r="CA71" s="178">
        <v>10886</v>
      </c>
      <c r="CB71" s="178">
        <v>4883</v>
      </c>
      <c r="CC71" s="178">
        <v>6340</v>
      </c>
      <c r="CD71" s="179">
        <v>33892</v>
      </c>
      <c r="CE71" s="177">
        <v>14904</v>
      </c>
      <c r="CF71" s="178">
        <v>16146</v>
      </c>
      <c r="CG71" s="178">
        <v>10419</v>
      </c>
      <c r="CH71" s="178">
        <v>3105</v>
      </c>
      <c r="CI71" s="179">
        <v>44574</v>
      </c>
    </row>
    <row r="72" spans="1:87">
      <c r="A72" s="170" t="s">
        <v>67</v>
      </c>
      <c r="B72" s="171" t="s">
        <v>26</v>
      </c>
      <c r="C72" s="172">
        <f t="shared" si="27"/>
        <v>1743423</v>
      </c>
      <c r="D72" s="173">
        <f t="shared" si="15"/>
        <v>1293474</v>
      </c>
      <c r="E72" s="173">
        <f t="shared" si="16"/>
        <v>1053906</v>
      </c>
      <c r="F72" s="173">
        <f t="shared" si="17"/>
        <v>813027</v>
      </c>
      <c r="G72" s="174">
        <f t="shared" si="18"/>
        <v>4903830</v>
      </c>
      <c r="H72" s="172">
        <f t="shared" si="28"/>
        <v>1456383</v>
      </c>
      <c r="I72" s="173">
        <f t="shared" si="19"/>
        <v>1050939</v>
      </c>
      <c r="J72" s="173">
        <f t="shared" si="20"/>
        <v>807507</v>
      </c>
      <c r="K72" s="173">
        <f t="shared" si="21"/>
        <v>599541</v>
      </c>
      <c r="L72" s="174">
        <f t="shared" si="22"/>
        <v>3914370</v>
      </c>
      <c r="M72" s="172">
        <v>260613</v>
      </c>
      <c r="N72" s="173">
        <v>60099</v>
      </c>
      <c r="O72" s="173">
        <v>36708</v>
      </c>
      <c r="P72" s="173">
        <v>14283</v>
      </c>
      <c r="Q72" s="174">
        <v>371703</v>
      </c>
      <c r="R72" s="172">
        <v>288144</v>
      </c>
      <c r="S72" s="173">
        <v>256749</v>
      </c>
      <c r="T72" s="173">
        <v>212727</v>
      </c>
      <c r="U72" s="173">
        <v>186783</v>
      </c>
      <c r="V72" s="174">
        <v>944403</v>
      </c>
      <c r="W72" s="172">
        <v>41055</v>
      </c>
      <c r="X72" s="173">
        <v>35811</v>
      </c>
      <c r="Y72" s="173">
        <v>58029</v>
      </c>
      <c r="Z72" s="173">
        <v>11316</v>
      </c>
      <c r="AA72" s="174">
        <v>146211</v>
      </c>
      <c r="AB72" s="172">
        <v>111021</v>
      </c>
      <c r="AC72" s="173">
        <v>206310</v>
      </c>
      <c r="AD72" s="173">
        <v>184713</v>
      </c>
      <c r="AE72" s="173">
        <v>165738</v>
      </c>
      <c r="AF72" s="174">
        <v>667782</v>
      </c>
      <c r="AG72" s="172">
        <v>196719</v>
      </c>
      <c r="AH72" s="173">
        <v>143175</v>
      </c>
      <c r="AI72" s="173">
        <v>171741</v>
      </c>
      <c r="AJ72" s="173">
        <v>154215</v>
      </c>
      <c r="AK72" s="174">
        <v>665850</v>
      </c>
      <c r="AL72" s="172">
        <v>15939</v>
      </c>
      <c r="AM72" s="173">
        <v>10626</v>
      </c>
      <c r="AN72" s="173">
        <v>18423</v>
      </c>
      <c r="AO72" s="173">
        <v>16698</v>
      </c>
      <c r="AP72" s="174">
        <v>61686</v>
      </c>
      <c r="AQ72" s="172">
        <v>151386</v>
      </c>
      <c r="AR72" s="173">
        <v>107226</v>
      </c>
      <c r="AS72" s="173">
        <v>74520</v>
      </c>
      <c r="AT72" s="173">
        <v>49404</v>
      </c>
      <c r="AU72" s="174">
        <v>382536</v>
      </c>
      <c r="AV72" s="172"/>
      <c r="AW72" s="173"/>
      <c r="AX72" s="173"/>
      <c r="AY72" s="173"/>
      <c r="AZ72" s="174"/>
      <c r="BA72" s="172">
        <v>391506</v>
      </c>
      <c r="BB72" s="173">
        <v>230943</v>
      </c>
      <c r="BC72" s="173">
        <v>50646</v>
      </c>
      <c r="BD72" s="173">
        <v>1104</v>
      </c>
      <c r="BE72" s="174">
        <v>674199</v>
      </c>
      <c r="BF72" s="172">
        <f t="shared" si="29"/>
        <v>287040</v>
      </c>
      <c r="BG72" s="173">
        <f t="shared" si="23"/>
        <v>242535</v>
      </c>
      <c r="BH72" s="173">
        <f t="shared" si="24"/>
        <v>246399</v>
      </c>
      <c r="BI72" s="173">
        <f t="shared" si="25"/>
        <v>213486</v>
      </c>
      <c r="BJ72" s="174">
        <f t="shared" si="26"/>
        <v>989460</v>
      </c>
      <c r="BK72" s="172">
        <v>5934</v>
      </c>
      <c r="BL72" s="173">
        <v>3174</v>
      </c>
      <c r="BM72" s="173"/>
      <c r="BN72" s="173"/>
      <c r="BO72" s="174">
        <v>9108</v>
      </c>
      <c r="BP72" s="172">
        <v>74865</v>
      </c>
      <c r="BQ72" s="173">
        <v>77694</v>
      </c>
      <c r="BR72" s="173">
        <v>76797</v>
      </c>
      <c r="BS72" s="173">
        <v>44850</v>
      </c>
      <c r="BT72" s="174">
        <v>274206</v>
      </c>
      <c r="BU72" s="172">
        <v>167394</v>
      </c>
      <c r="BV72" s="173">
        <v>161667</v>
      </c>
      <c r="BW72" s="173">
        <v>144348</v>
      </c>
      <c r="BX72" s="173">
        <v>164841</v>
      </c>
      <c r="BY72" s="174">
        <v>638250</v>
      </c>
      <c r="BZ72" s="172">
        <v>38847</v>
      </c>
      <c r="CA72" s="173"/>
      <c r="CB72" s="173">
        <v>25254</v>
      </c>
      <c r="CC72" s="173">
        <v>3795</v>
      </c>
      <c r="CD72" s="174">
        <v>67896</v>
      </c>
      <c r="CE72" s="172"/>
      <c r="CF72" s="173"/>
      <c r="CG72" s="173"/>
      <c r="CH72" s="173"/>
      <c r="CI72" s="174"/>
    </row>
    <row r="73" s="147" customFormat="1" ht="14.6" spans="1:87">
      <c r="A73" s="175" t="s">
        <v>68</v>
      </c>
      <c r="B73" s="176"/>
      <c r="C73" s="177">
        <f t="shared" si="27"/>
        <v>1743423</v>
      </c>
      <c r="D73" s="178">
        <f t="shared" si="15"/>
        <v>1293474</v>
      </c>
      <c r="E73" s="178">
        <f t="shared" si="16"/>
        <v>1053906</v>
      </c>
      <c r="F73" s="178">
        <f t="shared" si="17"/>
        <v>813027</v>
      </c>
      <c r="G73" s="179">
        <f t="shared" si="18"/>
        <v>4903830</v>
      </c>
      <c r="H73" s="177">
        <f t="shared" si="28"/>
        <v>1456383</v>
      </c>
      <c r="I73" s="178">
        <f t="shared" si="19"/>
        <v>1050939</v>
      </c>
      <c r="J73" s="178">
        <f t="shared" si="20"/>
        <v>807507</v>
      </c>
      <c r="K73" s="178">
        <f t="shared" si="21"/>
        <v>599541</v>
      </c>
      <c r="L73" s="179">
        <f t="shared" si="22"/>
        <v>3914370</v>
      </c>
      <c r="M73" s="177">
        <v>260613</v>
      </c>
      <c r="N73" s="178">
        <v>60099</v>
      </c>
      <c r="O73" s="178">
        <v>36708</v>
      </c>
      <c r="P73" s="178">
        <v>14283</v>
      </c>
      <c r="Q73" s="179">
        <v>371703</v>
      </c>
      <c r="R73" s="177">
        <v>288144</v>
      </c>
      <c r="S73" s="178">
        <v>256749</v>
      </c>
      <c r="T73" s="178">
        <v>212727</v>
      </c>
      <c r="U73" s="178">
        <v>186783</v>
      </c>
      <c r="V73" s="179">
        <v>944403</v>
      </c>
      <c r="W73" s="177">
        <v>41055</v>
      </c>
      <c r="X73" s="178">
        <v>35811</v>
      </c>
      <c r="Y73" s="178">
        <v>58029</v>
      </c>
      <c r="Z73" s="178">
        <v>11316</v>
      </c>
      <c r="AA73" s="179">
        <v>146211</v>
      </c>
      <c r="AB73" s="177">
        <v>111021</v>
      </c>
      <c r="AC73" s="178">
        <v>206310</v>
      </c>
      <c r="AD73" s="178">
        <v>184713</v>
      </c>
      <c r="AE73" s="178">
        <v>165738</v>
      </c>
      <c r="AF73" s="179">
        <v>667782</v>
      </c>
      <c r="AG73" s="177">
        <v>196719</v>
      </c>
      <c r="AH73" s="178">
        <v>143175</v>
      </c>
      <c r="AI73" s="178">
        <v>171741</v>
      </c>
      <c r="AJ73" s="178">
        <v>154215</v>
      </c>
      <c r="AK73" s="179">
        <v>665850</v>
      </c>
      <c r="AL73" s="177">
        <v>15939</v>
      </c>
      <c r="AM73" s="178">
        <v>10626</v>
      </c>
      <c r="AN73" s="178">
        <v>18423</v>
      </c>
      <c r="AO73" s="178">
        <v>16698</v>
      </c>
      <c r="AP73" s="179">
        <v>61686</v>
      </c>
      <c r="AQ73" s="177">
        <v>151386</v>
      </c>
      <c r="AR73" s="178">
        <v>107226</v>
      </c>
      <c r="AS73" s="178">
        <v>74520</v>
      </c>
      <c r="AT73" s="178">
        <v>49404</v>
      </c>
      <c r="AU73" s="179">
        <v>382536</v>
      </c>
      <c r="AV73" s="177"/>
      <c r="AW73" s="178"/>
      <c r="AX73" s="178"/>
      <c r="AY73" s="178"/>
      <c r="AZ73" s="179"/>
      <c r="BA73" s="177">
        <v>391506</v>
      </c>
      <c r="BB73" s="178">
        <v>230943</v>
      </c>
      <c r="BC73" s="178">
        <v>50646</v>
      </c>
      <c r="BD73" s="178">
        <v>1104</v>
      </c>
      <c r="BE73" s="179">
        <v>674199</v>
      </c>
      <c r="BF73" s="177">
        <f t="shared" si="29"/>
        <v>287040</v>
      </c>
      <c r="BG73" s="178">
        <f t="shared" si="23"/>
        <v>242535</v>
      </c>
      <c r="BH73" s="178">
        <f t="shared" si="24"/>
        <v>246399</v>
      </c>
      <c r="BI73" s="178">
        <f t="shared" si="25"/>
        <v>213486</v>
      </c>
      <c r="BJ73" s="179">
        <f t="shared" si="26"/>
        <v>989460</v>
      </c>
      <c r="BK73" s="177">
        <v>5934</v>
      </c>
      <c r="BL73" s="178">
        <v>3174</v>
      </c>
      <c r="BM73" s="178"/>
      <c r="BN73" s="178"/>
      <c r="BO73" s="179">
        <v>9108</v>
      </c>
      <c r="BP73" s="177">
        <v>74865</v>
      </c>
      <c r="BQ73" s="178">
        <v>77694</v>
      </c>
      <c r="BR73" s="178">
        <v>76797</v>
      </c>
      <c r="BS73" s="178">
        <v>44850</v>
      </c>
      <c r="BT73" s="179">
        <v>274206</v>
      </c>
      <c r="BU73" s="177">
        <v>167394</v>
      </c>
      <c r="BV73" s="178">
        <v>161667</v>
      </c>
      <c r="BW73" s="178">
        <v>144348</v>
      </c>
      <c r="BX73" s="178">
        <v>164841</v>
      </c>
      <c r="BY73" s="179">
        <v>638250</v>
      </c>
      <c r="BZ73" s="177">
        <v>38847</v>
      </c>
      <c r="CA73" s="178"/>
      <c r="CB73" s="178">
        <v>25254</v>
      </c>
      <c r="CC73" s="178">
        <v>3795</v>
      </c>
      <c r="CD73" s="179">
        <v>67896</v>
      </c>
      <c r="CE73" s="177"/>
      <c r="CF73" s="178"/>
      <c r="CG73" s="178"/>
      <c r="CH73" s="178"/>
      <c r="CI73" s="179"/>
    </row>
    <row r="74" spans="1:87">
      <c r="A74" s="170" t="s">
        <v>69</v>
      </c>
      <c r="B74" s="171" t="s">
        <v>26</v>
      </c>
      <c r="C74" s="172">
        <f t="shared" si="27"/>
        <v>1151109</v>
      </c>
      <c r="D74" s="173">
        <f t="shared" si="15"/>
        <v>962457</v>
      </c>
      <c r="E74" s="173">
        <f t="shared" si="16"/>
        <v>1374837</v>
      </c>
      <c r="F74" s="173">
        <f t="shared" si="17"/>
        <v>1129858</v>
      </c>
      <c r="G74" s="174">
        <f t="shared" si="18"/>
        <v>4618261</v>
      </c>
      <c r="H74" s="172">
        <f t="shared" si="28"/>
        <v>935913</v>
      </c>
      <c r="I74" s="173">
        <f t="shared" si="19"/>
        <v>794898</v>
      </c>
      <c r="J74" s="173">
        <f t="shared" si="20"/>
        <v>1015466</v>
      </c>
      <c r="K74" s="173">
        <f t="shared" si="21"/>
        <v>702073</v>
      </c>
      <c r="L74" s="174">
        <f t="shared" si="22"/>
        <v>3448350</v>
      </c>
      <c r="M74" s="172">
        <v>417041</v>
      </c>
      <c r="N74" s="173">
        <v>255565</v>
      </c>
      <c r="O74" s="173">
        <v>377778</v>
      </c>
      <c r="P74" s="173">
        <v>205558</v>
      </c>
      <c r="Q74" s="174">
        <v>1255942</v>
      </c>
      <c r="R74" s="172">
        <v>436791</v>
      </c>
      <c r="S74" s="173">
        <v>439003</v>
      </c>
      <c r="T74" s="173">
        <v>485376</v>
      </c>
      <c r="U74" s="173">
        <v>390655</v>
      </c>
      <c r="V74" s="174">
        <v>1751825</v>
      </c>
      <c r="W74" s="172"/>
      <c r="X74" s="173"/>
      <c r="Y74" s="173"/>
      <c r="Z74" s="173"/>
      <c r="AA74" s="174"/>
      <c r="AB74" s="172"/>
      <c r="AC74" s="173"/>
      <c r="AD74" s="173"/>
      <c r="AE74" s="173"/>
      <c r="AF74" s="174"/>
      <c r="AG74" s="172"/>
      <c r="AH74" s="173"/>
      <c r="AI74" s="173"/>
      <c r="AJ74" s="173"/>
      <c r="AK74" s="174"/>
      <c r="AL74" s="172"/>
      <c r="AM74" s="173"/>
      <c r="AN74" s="173"/>
      <c r="AO74" s="173"/>
      <c r="AP74" s="174"/>
      <c r="AQ74" s="172">
        <v>82081</v>
      </c>
      <c r="AR74" s="173">
        <v>100330</v>
      </c>
      <c r="AS74" s="173">
        <v>152312</v>
      </c>
      <c r="AT74" s="173">
        <v>105860</v>
      </c>
      <c r="AU74" s="174">
        <v>440583</v>
      </c>
      <c r="AV74" s="172"/>
      <c r="AW74" s="173"/>
      <c r="AX74" s="173"/>
      <c r="AY74" s="173"/>
      <c r="AZ74" s="174"/>
      <c r="BA74" s="172"/>
      <c r="BB74" s="173"/>
      <c r="BC74" s="173"/>
      <c r="BD74" s="173"/>
      <c r="BE74" s="174"/>
      <c r="BF74" s="172">
        <f t="shared" si="29"/>
        <v>215196</v>
      </c>
      <c r="BG74" s="173">
        <f t="shared" si="23"/>
        <v>167559</v>
      </c>
      <c r="BH74" s="173">
        <f t="shared" si="24"/>
        <v>359371</v>
      </c>
      <c r="BI74" s="173">
        <f t="shared" si="25"/>
        <v>427785</v>
      </c>
      <c r="BJ74" s="174">
        <f t="shared" si="26"/>
        <v>1169911</v>
      </c>
      <c r="BK74" s="172"/>
      <c r="BL74" s="173"/>
      <c r="BM74" s="173"/>
      <c r="BN74" s="173"/>
      <c r="BO74" s="174"/>
      <c r="BP74" s="172">
        <v>79237</v>
      </c>
      <c r="BQ74" s="173">
        <v>155472</v>
      </c>
      <c r="BR74" s="173">
        <v>207217</v>
      </c>
      <c r="BS74" s="173">
        <v>218593</v>
      </c>
      <c r="BT74" s="174">
        <v>660519</v>
      </c>
      <c r="BU74" s="172">
        <v>124978</v>
      </c>
      <c r="BV74" s="173">
        <v>790</v>
      </c>
      <c r="BW74" s="173">
        <v>152154</v>
      </c>
      <c r="BX74" s="173">
        <v>177039</v>
      </c>
      <c r="BY74" s="174">
        <v>454961</v>
      </c>
      <c r="BZ74" s="172"/>
      <c r="CA74" s="173"/>
      <c r="CB74" s="173"/>
      <c r="CC74" s="173">
        <v>23858</v>
      </c>
      <c r="CD74" s="174">
        <v>23858</v>
      </c>
      <c r="CE74" s="172">
        <v>10981</v>
      </c>
      <c r="CF74" s="173">
        <v>11297</v>
      </c>
      <c r="CG74" s="173"/>
      <c r="CH74" s="173">
        <v>8295</v>
      </c>
      <c r="CI74" s="174">
        <v>30573</v>
      </c>
    </row>
    <row r="75" s="147" customFormat="1" ht="14.6" spans="1:87">
      <c r="A75" s="175" t="s">
        <v>70</v>
      </c>
      <c r="B75" s="176"/>
      <c r="C75" s="177">
        <f t="shared" si="27"/>
        <v>1151109</v>
      </c>
      <c r="D75" s="178">
        <f t="shared" si="15"/>
        <v>962457</v>
      </c>
      <c r="E75" s="178">
        <f t="shared" si="16"/>
        <v>1374837</v>
      </c>
      <c r="F75" s="178">
        <f t="shared" si="17"/>
        <v>1129858</v>
      </c>
      <c r="G75" s="179">
        <f t="shared" si="18"/>
        <v>4618261</v>
      </c>
      <c r="H75" s="177">
        <f t="shared" si="28"/>
        <v>935913</v>
      </c>
      <c r="I75" s="178">
        <f t="shared" si="19"/>
        <v>794898</v>
      </c>
      <c r="J75" s="178">
        <f t="shared" si="20"/>
        <v>1015466</v>
      </c>
      <c r="K75" s="178">
        <f t="shared" si="21"/>
        <v>702073</v>
      </c>
      <c r="L75" s="179">
        <f t="shared" si="22"/>
        <v>3448350</v>
      </c>
      <c r="M75" s="177">
        <v>417041</v>
      </c>
      <c r="N75" s="178">
        <v>255565</v>
      </c>
      <c r="O75" s="178">
        <v>377778</v>
      </c>
      <c r="P75" s="178">
        <v>205558</v>
      </c>
      <c r="Q75" s="179">
        <v>1255942</v>
      </c>
      <c r="R75" s="177">
        <v>436791</v>
      </c>
      <c r="S75" s="178">
        <v>439003</v>
      </c>
      <c r="T75" s="178">
        <v>485376</v>
      </c>
      <c r="U75" s="178">
        <v>390655</v>
      </c>
      <c r="V75" s="179">
        <v>1751825</v>
      </c>
      <c r="W75" s="177"/>
      <c r="X75" s="178"/>
      <c r="Y75" s="178"/>
      <c r="Z75" s="178"/>
      <c r="AA75" s="179"/>
      <c r="AB75" s="177"/>
      <c r="AC75" s="178"/>
      <c r="AD75" s="178"/>
      <c r="AE75" s="178"/>
      <c r="AF75" s="179"/>
      <c r="AG75" s="177"/>
      <c r="AH75" s="178"/>
      <c r="AI75" s="178"/>
      <c r="AJ75" s="178"/>
      <c r="AK75" s="179"/>
      <c r="AL75" s="177"/>
      <c r="AM75" s="178"/>
      <c r="AN75" s="178"/>
      <c r="AO75" s="178"/>
      <c r="AP75" s="179"/>
      <c r="AQ75" s="177">
        <v>82081</v>
      </c>
      <c r="AR75" s="178">
        <v>100330</v>
      </c>
      <c r="AS75" s="178">
        <v>152312</v>
      </c>
      <c r="AT75" s="178">
        <v>105860</v>
      </c>
      <c r="AU75" s="179">
        <v>440583</v>
      </c>
      <c r="AV75" s="177"/>
      <c r="AW75" s="178"/>
      <c r="AX75" s="178"/>
      <c r="AY75" s="178"/>
      <c r="AZ75" s="179"/>
      <c r="BA75" s="177"/>
      <c r="BB75" s="178"/>
      <c r="BC75" s="178"/>
      <c r="BD75" s="178"/>
      <c r="BE75" s="179"/>
      <c r="BF75" s="177">
        <f t="shared" si="29"/>
        <v>215196</v>
      </c>
      <c r="BG75" s="178">
        <f t="shared" si="23"/>
        <v>167559</v>
      </c>
      <c r="BH75" s="178">
        <f t="shared" si="24"/>
        <v>359371</v>
      </c>
      <c r="BI75" s="178">
        <f t="shared" si="25"/>
        <v>427785</v>
      </c>
      <c r="BJ75" s="179">
        <f t="shared" si="26"/>
        <v>1169911</v>
      </c>
      <c r="BK75" s="177"/>
      <c r="BL75" s="178"/>
      <c r="BM75" s="178"/>
      <c r="BN75" s="178"/>
      <c r="BO75" s="179"/>
      <c r="BP75" s="177">
        <v>79237</v>
      </c>
      <c r="BQ75" s="178">
        <v>155472</v>
      </c>
      <c r="BR75" s="178">
        <v>207217</v>
      </c>
      <c r="BS75" s="178">
        <v>218593</v>
      </c>
      <c r="BT75" s="179">
        <v>660519</v>
      </c>
      <c r="BU75" s="177">
        <v>124978</v>
      </c>
      <c r="BV75" s="178">
        <v>790</v>
      </c>
      <c r="BW75" s="178">
        <v>152154</v>
      </c>
      <c r="BX75" s="178">
        <v>177039</v>
      </c>
      <c r="BY75" s="179">
        <v>454961</v>
      </c>
      <c r="BZ75" s="177"/>
      <c r="CA75" s="178"/>
      <c r="CB75" s="178"/>
      <c r="CC75" s="178">
        <v>23858</v>
      </c>
      <c r="CD75" s="179">
        <v>23858</v>
      </c>
      <c r="CE75" s="177">
        <v>10981</v>
      </c>
      <c r="CF75" s="178">
        <v>11297</v>
      </c>
      <c r="CG75" s="178"/>
      <c r="CH75" s="178">
        <v>8295</v>
      </c>
      <c r="CI75" s="179">
        <v>30573</v>
      </c>
    </row>
    <row r="76" spans="1:87">
      <c r="A76" s="170" t="s">
        <v>71</v>
      </c>
      <c r="B76" s="171" t="s">
        <v>26</v>
      </c>
      <c r="C76" s="172">
        <f t="shared" si="27"/>
        <v>438482</v>
      </c>
      <c r="D76" s="173">
        <f t="shared" si="15"/>
        <v>408792</v>
      </c>
      <c r="E76" s="173">
        <f t="shared" si="16"/>
        <v>1286115</v>
      </c>
      <c r="F76" s="173">
        <f t="shared" si="17"/>
        <v>1063510</v>
      </c>
      <c r="G76" s="174">
        <f t="shared" si="18"/>
        <v>3196899</v>
      </c>
      <c r="H76" s="172">
        <f t="shared" si="28"/>
        <v>399695</v>
      </c>
      <c r="I76" s="173">
        <f t="shared" si="19"/>
        <v>366255</v>
      </c>
      <c r="J76" s="173">
        <f t="shared" si="20"/>
        <v>1208275</v>
      </c>
      <c r="K76" s="173">
        <f t="shared" si="21"/>
        <v>967835</v>
      </c>
      <c r="L76" s="174">
        <f t="shared" si="22"/>
        <v>2942060</v>
      </c>
      <c r="M76" s="172">
        <v>79496</v>
      </c>
      <c r="N76" s="173">
        <v>58935</v>
      </c>
      <c r="O76" s="173">
        <v>182362</v>
      </c>
      <c r="P76" s="173">
        <v>128478</v>
      </c>
      <c r="Q76" s="174">
        <v>449271</v>
      </c>
      <c r="R76" s="172">
        <v>28680</v>
      </c>
      <c r="S76" s="173">
        <v>31233</v>
      </c>
      <c r="T76" s="173">
        <v>124968</v>
      </c>
      <c r="U76" s="173">
        <v>70823</v>
      </c>
      <c r="V76" s="174">
        <v>255704</v>
      </c>
      <c r="W76" s="172">
        <v>9641</v>
      </c>
      <c r="X76" s="173">
        <v>10610</v>
      </c>
      <c r="Y76" s="173">
        <v>43509</v>
      </c>
      <c r="Z76" s="173">
        <v>59820</v>
      </c>
      <c r="AA76" s="174">
        <v>123580</v>
      </c>
      <c r="AB76" s="172">
        <v>18082</v>
      </c>
      <c r="AC76" s="173">
        <v>44897</v>
      </c>
      <c r="AD76" s="173">
        <v>157835</v>
      </c>
      <c r="AE76" s="173">
        <v>114489</v>
      </c>
      <c r="AF76" s="174">
        <v>335303</v>
      </c>
      <c r="AG76" s="172">
        <v>106053</v>
      </c>
      <c r="AH76" s="173">
        <v>82593</v>
      </c>
      <c r="AI76" s="173">
        <v>412198</v>
      </c>
      <c r="AJ76" s="173">
        <v>291853</v>
      </c>
      <c r="AK76" s="174">
        <v>892697</v>
      </c>
      <c r="AL76" s="172">
        <v>7299</v>
      </c>
      <c r="AM76" s="173">
        <v>10080</v>
      </c>
      <c r="AN76" s="173">
        <v>21438</v>
      </c>
      <c r="AO76" s="173">
        <v>28448</v>
      </c>
      <c r="AP76" s="174">
        <v>67265</v>
      </c>
      <c r="AQ76" s="172">
        <v>51961</v>
      </c>
      <c r="AR76" s="173">
        <v>45348</v>
      </c>
      <c r="AS76" s="173">
        <v>115136</v>
      </c>
      <c r="AT76" s="173">
        <v>78463</v>
      </c>
      <c r="AU76" s="174">
        <v>290908</v>
      </c>
      <c r="AV76" s="172">
        <v>12090</v>
      </c>
      <c r="AW76" s="173">
        <v>11337</v>
      </c>
      <c r="AX76" s="173">
        <v>19110</v>
      </c>
      <c r="AY76" s="173">
        <v>30501</v>
      </c>
      <c r="AZ76" s="174">
        <v>73038</v>
      </c>
      <c r="BA76" s="172">
        <v>86393</v>
      </c>
      <c r="BB76" s="173">
        <v>71222</v>
      </c>
      <c r="BC76" s="173">
        <v>131719</v>
      </c>
      <c r="BD76" s="173">
        <v>164960</v>
      </c>
      <c r="BE76" s="174">
        <v>454294</v>
      </c>
      <c r="BF76" s="172">
        <f t="shared" si="29"/>
        <v>38787</v>
      </c>
      <c r="BG76" s="173">
        <f t="shared" si="23"/>
        <v>42537</v>
      </c>
      <c r="BH76" s="173">
        <f t="shared" si="24"/>
        <v>77840</v>
      </c>
      <c r="BI76" s="173">
        <f t="shared" si="25"/>
        <v>95675</v>
      </c>
      <c r="BJ76" s="174">
        <f t="shared" si="26"/>
        <v>254839</v>
      </c>
      <c r="BK76" s="172">
        <v>1449</v>
      </c>
      <c r="BL76" s="173">
        <v>2876</v>
      </c>
      <c r="BM76" s="173">
        <v>6093</v>
      </c>
      <c r="BN76" s="173">
        <v>6253</v>
      </c>
      <c r="BO76" s="174">
        <v>16671</v>
      </c>
      <c r="BP76" s="172">
        <v>14657</v>
      </c>
      <c r="BQ76" s="173">
        <v>14193</v>
      </c>
      <c r="BR76" s="173">
        <v>14605</v>
      </c>
      <c r="BS76" s="173">
        <v>18006</v>
      </c>
      <c r="BT76" s="174">
        <v>61461</v>
      </c>
      <c r="BU76" s="172">
        <v>20197</v>
      </c>
      <c r="BV76" s="173">
        <v>22178</v>
      </c>
      <c r="BW76" s="173">
        <v>49207</v>
      </c>
      <c r="BX76" s="173">
        <v>59233</v>
      </c>
      <c r="BY76" s="174">
        <v>150815</v>
      </c>
      <c r="BZ76" s="172">
        <v>2484</v>
      </c>
      <c r="CA76" s="173">
        <v>3290</v>
      </c>
      <c r="CB76" s="173">
        <v>5865</v>
      </c>
      <c r="CC76" s="173">
        <v>5567</v>
      </c>
      <c r="CD76" s="174">
        <v>17206</v>
      </c>
      <c r="CE76" s="172"/>
      <c r="CF76" s="173"/>
      <c r="CG76" s="173">
        <v>2070</v>
      </c>
      <c r="CH76" s="173">
        <v>6616</v>
      </c>
      <c r="CI76" s="174">
        <v>8686</v>
      </c>
    </row>
    <row r="77" spans="1:87">
      <c r="A77" s="170"/>
      <c r="B77" s="171" t="s">
        <v>27</v>
      </c>
      <c r="C77" s="172">
        <f t="shared" si="27"/>
        <v>37819</v>
      </c>
      <c r="D77" s="173">
        <f t="shared" si="15"/>
        <v>36424</v>
      </c>
      <c r="E77" s="173">
        <f t="shared" si="16"/>
        <v>587085</v>
      </c>
      <c r="F77" s="173">
        <f t="shared" si="17"/>
        <v>380454</v>
      </c>
      <c r="G77" s="174">
        <f t="shared" si="18"/>
        <v>1041782</v>
      </c>
      <c r="H77" s="172">
        <f t="shared" si="28"/>
        <v>33966</v>
      </c>
      <c r="I77" s="173">
        <f t="shared" si="19"/>
        <v>33226</v>
      </c>
      <c r="J77" s="173">
        <f t="shared" si="20"/>
        <v>583590</v>
      </c>
      <c r="K77" s="173">
        <f t="shared" si="21"/>
        <v>364609</v>
      </c>
      <c r="L77" s="174">
        <f t="shared" si="22"/>
        <v>1015391</v>
      </c>
      <c r="M77" s="172">
        <v>3306</v>
      </c>
      <c r="N77" s="173">
        <v>2090</v>
      </c>
      <c r="O77" s="173">
        <v>40836</v>
      </c>
      <c r="P77" s="173">
        <v>24757</v>
      </c>
      <c r="Q77" s="174">
        <v>70989</v>
      </c>
      <c r="R77" s="172">
        <v>156</v>
      </c>
      <c r="S77" s="173">
        <v>429</v>
      </c>
      <c r="T77" s="173">
        <v>15186</v>
      </c>
      <c r="U77" s="173">
        <v>11694</v>
      </c>
      <c r="V77" s="174">
        <v>27465</v>
      </c>
      <c r="W77" s="172">
        <v>8473</v>
      </c>
      <c r="X77" s="173">
        <v>7417</v>
      </c>
      <c r="Y77" s="173">
        <v>33995</v>
      </c>
      <c r="Z77" s="173">
        <v>45639</v>
      </c>
      <c r="AA77" s="174">
        <v>95524</v>
      </c>
      <c r="AB77" s="172">
        <v>429</v>
      </c>
      <c r="AC77" s="173">
        <v>3228</v>
      </c>
      <c r="AD77" s="173">
        <v>93219</v>
      </c>
      <c r="AE77" s="173">
        <v>37973</v>
      </c>
      <c r="AF77" s="174">
        <v>134849</v>
      </c>
      <c r="AG77" s="172">
        <v>8931</v>
      </c>
      <c r="AH77" s="173">
        <v>8346</v>
      </c>
      <c r="AI77" s="173">
        <v>313137</v>
      </c>
      <c r="AJ77" s="173">
        <v>156890</v>
      </c>
      <c r="AK77" s="174">
        <v>487304</v>
      </c>
      <c r="AL77" s="172">
        <v>195</v>
      </c>
      <c r="AM77" s="173">
        <v>468</v>
      </c>
      <c r="AN77" s="173">
        <v>22035</v>
      </c>
      <c r="AO77" s="173">
        <v>7461</v>
      </c>
      <c r="AP77" s="174">
        <v>30159</v>
      </c>
      <c r="AQ77" s="172">
        <v>1507</v>
      </c>
      <c r="AR77" s="173">
        <v>741</v>
      </c>
      <c r="AS77" s="173">
        <v>19048</v>
      </c>
      <c r="AT77" s="173">
        <v>9937</v>
      </c>
      <c r="AU77" s="174">
        <v>31233</v>
      </c>
      <c r="AV77" s="172">
        <v>274</v>
      </c>
      <c r="AW77" s="173">
        <v>215</v>
      </c>
      <c r="AX77" s="173">
        <v>7286</v>
      </c>
      <c r="AY77" s="173">
        <v>12348</v>
      </c>
      <c r="AZ77" s="174">
        <v>20123</v>
      </c>
      <c r="BA77" s="172">
        <v>10695</v>
      </c>
      <c r="BB77" s="173">
        <v>10292</v>
      </c>
      <c r="BC77" s="173">
        <v>38848</v>
      </c>
      <c r="BD77" s="173">
        <v>57910</v>
      </c>
      <c r="BE77" s="174">
        <v>117745</v>
      </c>
      <c r="BF77" s="172">
        <f t="shared" si="29"/>
        <v>3853</v>
      </c>
      <c r="BG77" s="173">
        <f t="shared" si="23"/>
        <v>3198</v>
      </c>
      <c r="BH77" s="173">
        <f t="shared" si="24"/>
        <v>3495</v>
      </c>
      <c r="BI77" s="173">
        <f t="shared" si="25"/>
        <v>15845</v>
      </c>
      <c r="BJ77" s="174">
        <f t="shared" si="26"/>
        <v>26391</v>
      </c>
      <c r="BK77" s="172"/>
      <c r="BL77" s="173"/>
      <c r="BM77" s="173"/>
      <c r="BN77" s="173"/>
      <c r="BO77" s="174"/>
      <c r="BP77" s="172">
        <v>1623</v>
      </c>
      <c r="BQ77" s="173">
        <v>1613</v>
      </c>
      <c r="BR77" s="173">
        <v>1367</v>
      </c>
      <c r="BS77" s="173">
        <v>4270</v>
      </c>
      <c r="BT77" s="174">
        <v>8873</v>
      </c>
      <c r="BU77" s="172">
        <v>2230</v>
      </c>
      <c r="BV77" s="173">
        <v>1585</v>
      </c>
      <c r="BW77" s="173">
        <v>2128</v>
      </c>
      <c r="BX77" s="173">
        <v>11575</v>
      </c>
      <c r="BY77" s="174">
        <v>17518</v>
      </c>
      <c r="BZ77" s="172"/>
      <c r="CA77" s="173"/>
      <c r="CB77" s="173"/>
      <c r="CC77" s="173"/>
      <c r="CD77" s="174"/>
      <c r="CE77" s="172"/>
      <c r="CF77" s="173"/>
      <c r="CG77" s="173"/>
      <c r="CH77" s="173"/>
      <c r="CI77" s="174"/>
    </row>
    <row r="78" s="147" customFormat="1" ht="14.6" spans="1:87">
      <c r="A78" s="175" t="s">
        <v>72</v>
      </c>
      <c r="B78" s="176"/>
      <c r="C78" s="177">
        <f t="shared" si="27"/>
        <v>476301</v>
      </c>
      <c r="D78" s="178">
        <f t="shared" si="15"/>
        <v>445216</v>
      </c>
      <c r="E78" s="178">
        <f t="shared" si="16"/>
        <v>1873200</v>
      </c>
      <c r="F78" s="178">
        <f t="shared" si="17"/>
        <v>1443964</v>
      </c>
      <c r="G78" s="179">
        <f t="shared" si="18"/>
        <v>4238681</v>
      </c>
      <c r="H78" s="177">
        <f t="shared" si="28"/>
        <v>433661</v>
      </c>
      <c r="I78" s="178">
        <f t="shared" si="19"/>
        <v>399481</v>
      </c>
      <c r="J78" s="178">
        <f t="shared" si="20"/>
        <v>1791865</v>
      </c>
      <c r="K78" s="178">
        <f t="shared" si="21"/>
        <v>1332444</v>
      </c>
      <c r="L78" s="179">
        <f t="shared" si="22"/>
        <v>3957451</v>
      </c>
      <c r="M78" s="177">
        <v>82802</v>
      </c>
      <c r="N78" s="178">
        <v>61025</v>
      </c>
      <c r="O78" s="178">
        <v>223198</v>
      </c>
      <c r="P78" s="178">
        <v>153235</v>
      </c>
      <c r="Q78" s="179">
        <v>520260</v>
      </c>
      <c r="R78" s="177">
        <v>28836</v>
      </c>
      <c r="S78" s="178">
        <v>31662</v>
      </c>
      <c r="T78" s="178">
        <v>140154</v>
      </c>
      <c r="U78" s="178">
        <v>82517</v>
      </c>
      <c r="V78" s="179">
        <v>283169</v>
      </c>
      <c r="W78" s="177">
        <v>18114</v>
      </c>
      <c r="X78" s="178">
        <v>18027</v>
      </c>
      <c r="Y78" s="178">
        <v>77504</v>
      </c>
      <c r="Z78" s="178">
        <v>105459</v>
      </c>
      <c r="AA78" s="179">
        <v>219104</v>
      </c>
      <c r="AB78" s="177">
        <v>18511</v>
      </c>
      <c r="AC78" s="178">
        <v>48125</v>
      </c>
      <c r="AD78" s="178">
        <v>251054</v>
      </c>
      <c r="AE78" s="178">
        <v>152462</v>
      </c>
      <c r="AF78" s="179">
        <v>470152</v>
      </c>
      <c r="AG78" s="177">
        <v>114984</v>
      </c>
      <c r="AH78" s="178">
        <v>90939</v>
      </c>
      <c r="AI78" s="178">
        <v>725335</v>
      </c>
      <c r="AJ78" s="178">
        <v>448743</v>
      </c>
      <c r="AK78" s="179">
        <v>1380001</v>
      </c>
      <c r="AL78" s="177">
        <v>7494</v>
      </c>
      <c r="AM78" s="178">
        <v>10548</v>
      </c>
      <c r="AN78" s="178">
        <v>43473</v>
      </c>
      <c r="AO78" s="178">
        <v>35909</v>
      </c>
      <c r="AP78" s="179">
        <v>97424</v>
      </c>
      <c r="AQ78" s="177">
        <v>53468</v>
      </c>
      <c r="AR78" s="178">
        <v>46089</v>
      </c>
      <c r="AS78" s="178">
        <v>134184</v>
      </c>
      <c r="AT78" s="178">
        <v>88400</v>
      </c>
      <c r="AU78" s="179">
        <v>322141</v>
      </c>
      <c r="AV78" s="177">
        <v>12364</v>
      </c>
      <c r="AW78" s="178">
        <v>11552</v>
      </c>
      <c r="AX78" s="178">
        <v>26396</v>
      </c>
      <c r="AY78" s="178">
        <v>42849</v>
      </c>
      <c r="AZ78" s="179">
        <v>93161</v>
      </c>
      <c r="BA78" s="177">
        <v>97088</v>
      </c>
      <c r="BB78" s="178">
        <v>81514</v>
      </c>
      <c r="BC78" s="178">
        <v>170567</v>
      </c>
      <c r="BD78" s="178">
        <v>222870</v>
      </c>
      <c r="BE78" s="179">
        <v>572039</v>
      </c>
      <c r="BF78" s="177">
        <f t="shared" si="29"/>
        <v>42640</v>
      </c>
      <c r="BG78" s="178">
        <f t="shared" si="23"/>
        <v>45735</v>
      </c>
      <c r="BH78" s="178">
        <f t="shared" si="24"/>
        <v>81335</v>
      </c>
      <c r="BI78" s="178">
        <f t="shared" si="25"/>
        <v>111520</v>
      </c>
      <c r="BJ78" s="179">
        <f t="shared" si="26"/>
        <v>281230</v>
      </c>
      <c r="BK78" s="177">
        <v>1449</v>
      </c>
      <c r="BL78" s="178">
        <v>2876</v>
      </c>
      <c r="BM78" s="178">
        <v>6093</v>
      </c>
      <c r="BN78" s="178">
        <v>6253</v>
      </c>
      <c r="BO78" s="179">
        <v>16671</v>
      </c>
      <c r="BP78" s="177">
        <v>16280</v>
      </c>
      <c r="BQ78" s="178">
        <v>15806</v>
      </c>
      <c r="BR78" s="178">
        <v>15972</v>
      </c>
      <c r="BS78" s="178">
        <v>22276</v>
      </c>
      <c r="BT78" s="179">
        <v>70334</v>
      </c>
      <c r="BU78" s="177">
        <v>22427</v>
      </c>
      <c r="BV78" s="178">
        <v>23763</v>
      </c>
      <c r="BW78" s="178">
        <v>51335</v>
      </c>
      <c r="BX78" s="178">
        <v>70808</v>
      </c>
      <c r="BY78" s="179">
        <v>168333</v>
      </c>
      <c r="BZ78" s="177">
        <v>2484</v>
      </c>
      <c r="CA78" s="178">
        <v>3290</v>
      </c>
      <c r="CB78" s="178">
        <v>5865</v>
      </c>
      <c r="CC78" s="178">
        <v>5567</v>
      </c>
      <c r="CD78" s="179">
        <v>17206</v>
      </c>
      <c r="CE78" s="177"/>
      <c r="CF78" s="178"/>
      <c r="CG78" s="178">
        <v>2070</v>
      </c>
      <c r="CH78" s="178">
        <v>6616</v>
      </c>
      <c r="CI78" s="179">
        <v>8686</v>
      </c>
    </row>
    <row r="79" spans="1:87">
      <c r="A79" s="170" t="s">
        <v>73</v>
      </c>
      <c r="B79" s="171" t="s">
        <v>26</v>
      </c>
      <c r="C79" s="172">
        <f t="shared" si="27"/>
        <v>1131324</v>
      </c>
      <c r="D79" s="173">
        <f t="shared" si="15"/>
        <v>1057269</v>
      </c>
      <c r="E79" s="173">
        <f t="shared" si="16"/>
        <v>1044852</v>
      </c>
      <c r="F79" s="173">
        <f t="shared" si="17"/>
        <v>910777</v>
      </c>
      <c r="G79" s="174">
        <f t="shared" si="18"/>
        <v>4144222</v>
      </c>
      <c r="H79" s="172">
        <f t="shared" si="28"/>
        <v>931086</v>
      </c>
      <c r="I79" s="173">
        <f t="shared" si="19"/>
        <v>875204</v>
      </c>
      <c r="J79" s="173">
        <f t="shared" si="20"/>
        <v>896279</v>
      </c>
      <c r="K79" s="173">
        <f t="shared" si="21"/>
        <v>725729</v>
      </c>
      <c r="L79" s="174">
        <f t="shared" si="22"/>
        <v>3428298</v>
      </c>
      <c r="M79" s="172">
        <v>98634</v>
      </c>
      <c r="N79" s="173">
        <v>112667</v>
      </c>
      <c r="O79" s="173">
        <v>125119</v>
      </c>
      <c r="P79" s="173">
        <v>68061</v>
      </c>
      <c r="Q79" s="174">
        <v>404481</v>
      </c>
      <c r="R79" s="172">
        <v>37950</v>
      </c>
      <c r="S79" s="173">
        <v>54640</v>
      </c>
      <c r="T79" s="173">
        <v>66715</v>
      </c>
      <c r="U79" s="173">
        <v>23083</v>
      </c>
      <c r="V79" s="174">
        <v>182388</v>
      </c>
      <c r="W79" s="172">
        <v>68481</v>
      </c>
      <c r="X79" s="173">
        <v>84940</v>
      </c>
      <c r="Y79" s="173">
        <v>35769</v>
      </c>
      <c r="Z79" s="173">
        <v>12012</v>
      </c>
      <c r="AA79" s="174">
        <v>201202</v>
      </c>
      <c r="AB79" s="172">
        <v>134664</v>
      </c>
      <c r="AC79" s="173">
        <v>83299</v>
      </c>
      <c r="AD79" s="173">
        <v>9108</v>
      </c>
      <c r="AE79" s="173">
        <v>5658</v>
      </c>
      <c r="AF79" s="174">
        <v>232729</v>
      </c>
      <c r="AG79" s="172">
        <v>326469</v>
      </c>
      <c r="AH79" s="173">
        <v>274887</v>
      </c>
      <c r="AI79" s="173">
        <v>245604</v>
      </c>
      <c r="AJ79" s="173">
        <v>217240</v>
      </c>
      <c r="AK79" s="174">
        <v>1064200</v>
      </c>
      <c r="AL79" s="172">
        <v>18203</v>
      </c>
      <c r="AM79" s="173">
        <v>23564</v>
      </c>
      <c r="AN79" s="173">
        <v>30504</v>
      </c>
      <c r="AO79" s="173">
        <v>33086</v>
      </c>
      <c r="AP79" s="174">
        <v>105357</v>
      </c>
      <c r="AQ79" s="172">
        <v>145681</v>
      </c>
      <c r="AR79" s="173">
        <v>145009</v>
      </c>
      <c r="AS79" s="173">
        <v>157453</v>
      </c>
      <c r="AT79" s="173">
        <v>101717</v>
      </c>
      <c r="AU79" s="174">
        <v>549860</v>
      </c>
      <c r="AV79" s="172">
        <v>16950</v>
      </c>
      <c r="AW79" s="173">
        <v>15735</v>
      </c>
      <c r="AX79" s="173">
        <v>24824</v>
      </c>
      <c r="AY79" s="173">
        <v>25920</v>
      </c>
      <c r="AZ79" s="174">
        <v>83429</v>
      </c>
      <c r="BA79" s="172">
        <v>84054</v>
      </c>
      <c r="BB79" s="173">
        <v>80463</v>
      </c>
      <c r="BC79" s="173">
        <v>201183</v>
      </c>
      <c r="BD79" s="173">
        <v>238952</v>
      </c>
      <c r="BE79" s="174">
        <v>604652</v>
      </c>
      <c r="BF79" s="172">
        <f t="shared" si="29"/>
        <v>200238</v>
      </c>
      <c r="BG79" s="173">
        <f t="shared" si="23"/>
        <v>182065</v>
      </c>
      <c r="BH79" s="173">
        <f t="shared" si="24"/>
        <v>148573</v>
      </c>
      <c r="BI79" s="173">
        <f t="shared" si="25"/>
        <v>185048</v>
      </c>
      <c r="BJ79" s="174">
        <f t="shared" si="26"/>
        <v>715924</v>
      </c>
      <c r="BK79" s="172">
        <v>6823</v>
      </c>
      <c r="BL79" s="173">
        <v>8970</v>
      </c>
      <c r="BM79" s="173">
        <v>9384</v>
      </c>
      <c r="BN79" s="173">
        <v>16974</v>
      </c>
      <c r="BO79" s="174">
        <v>42151</v>
      </c>
      <c r="BP79" s="172">
        <v>72758</v>
      </c>
      <c r="BQ79" s="173">
        <v>49797</v>
      </c>
      <c r="BR79" s="173">
        <v>25875</v>
      </c>
      <c r="BS79" s="173">
        <v>47143</v>
      </c>
      <c r="BT79" s="174">
        <v>195573</v>
      </c>
      <c r="BU79" s="172">
        <v>103354</v>
      </c>
      <c r="BV79" s="173">
        <v>88798</v>
      </c>
      <c r="BW79" s="173">
        <v>98893</v>
      </c>
      <c r="BX79" s="173">
        <v>93124</v>
      </c>
      <c r="BY79" s="174">
        <v>384169</v>
      </c>
      <c r="BZ79" s="172">
        <v>16613</v>
      </c>
      <c r="CA79" s="173">
        <v>25185</v>
      </c>
      <c r="CB79" s="173">
        <v>12627</v>
      </c>
      <c r="CC79" s="173">
        <v>17112</v>
      </c>
      <c r="CD79" s="174">
        <v>71537</v>
      </c>
      <c r="CE79" s="172">
        <v>690</v>
      </c>
      <c r="CF79" s="173">
        <v>9315</v>
      </c>
      <c r="CG79" s="173">
        <v>1794</v>
      </c>
      <c r="CH79" s="173">
        <v>10695</v>
      </c>
      <c r="CI79" s="174">
        <v>22494</v>
      </c>
    </row>
    <row r="80" spans="1:87">
      <c r="A80" s="170"/>
      <c r="B80" s="171" t="s">
        <v>27</v>
      </c>
      <c r="C80" s="172">
        <f t="shared" si="27"/>
        <v>9772</v>
      </c>
      <c r="D80" s="173">
        <f t="shared" si="15"/>
        <v>9671</v>
      </c>
      <c r="E80" s="173">
        <f t="shared" si="16"/>
        <v>9999</v>
      </c>
      <c r="F80" s="173">
        <f t="shared" si="17"/>
        <v>11642</v>
      </c>
      <c r="G80" s="174">
        <f t="shared" si="18"/>
        <v>41084</v>
      </c>
      <c r="H80" s="172">
        <f t="shared" si="28"/>
        <v>3665</v>
      </c>
      <c r="I80" s="173">
        <f t="shared" si="19"/>
        <v>2948</v>
      </c>
      <c r="J80" s="173">
        <f t="shared" si="20"/>
        <v>1955</v>
      </c>
      <c r="K80" s="173">
        <f t="shared" si="21"/>
        <v>3054</v>
      </c>
      <c r="L80" s="174">
        <f t="shared" si="22"/>
        <v>11622</v>
      </c>
      <c r="M80" s="172">
        <v>2427</v>
      </c>
      <c r="N80" s="173">
        <v>1888</v>
      </c>
      <c r="O80" s="173">
        <v>1416</v>
      </c>
      <c r="P80" s="173">
        <v>2680</v>
      </c>
      <c r="Q80" s="174">
        <v>8411</v>
      </c>
      <c r="R80" s="172"/>
      <c r="S80" s="173"/>
      <c r="T80" s="173"/>
      <c r="U80" s="173"/>
      <c r="V80" s="174"/>
      <c r="W80" s="172">
        <v>49</v>
      </c>
      <c r="X80" s="173"/>
      <c r="Y80" s="173"/>
      <c r="Z80" s="173"/>
      <c r="AA80" s="174">
        <v>49</v>
      </c>
      <c r="AB80" s="172">
        <v>227</v>
      </c>
      <c r="AC80" s="173">
        <v>245</v>
      </c>
      <c r="AD80" s="173"/>
      <c r="AE80" s="173">
        <v>98</v>
      </c>
      <c r="AF80" s="174">
        <v>570</v>
      </c>
      <c r="AG80" s="172"/>
      <c r="AH80" s="173"/>
      <c r="AI80" s="173"/>
      <c r="AJ80" s="173"/>
      <c r="AK80" s="174"/>
      <c r="AL80" s="172"/>
      <c r="AM80" s="173">
        <v>129</v>
      </c>
      <c r="AN80" s="173">
        <v>245</v>
      </c>
      <c r="AO80" s="173"/>
      <c r="AP80" s="174">
        <v>374</v>
      </c>
      <c r="AQ80" s="172"/>
      <c r="AR80" s="173"/>
      <c r="AS80" s="173"/>
      <c r="AT80" s="173"/>
      <c r="AU80" s="174"/>
      <c r="AV80" s="172"/>
      <c r="AW80" s="173"/>
      <c r="AX80" s="173"/>
      <c r="AY80" s="173"/>
      <c r="AZ80" s="174"/>
      <c r="BA80" s="172">
        <v>962</v>
      </c>
      <c r="BB80" s="173">
        <v>686</v>
      </c>
      <c r="BC80" s="173">
        <v>294</v>
      </c>
      <c r="BD80" s="173">
        <v>276</v>
      </c>
      <c r="BE80" s="174">
        <v>2218</v>
      </c>
      <c r="BF80" s="172">
        <f t="shared" si="29"/>
        <v>6107</v>
      </c>
      <c r="BG80" s="173">
        <f t="shared" si="23"/>
        <v>6723</v>
      </c>
      <c r="BH80" s="173">
        <f t="shared" si="24"/>
        <v>8044</v>
      </c>
      <c r="BI80" s="173">
        <f t="shared" si="25"/>
        <v>8588</v>
      </c>
      <c r="BJ80" s="174">
        <f t="shared" si="26"/>
        <v>29462</v>
      </c>
      <c r="BK80" s="172">
        <v>1550</v>
      </c>
      <c r="BL80" s="173">
        <v>343</v>
      </c>
      <c r="BM80" s="173">
        <v>343</v>
      </c>
      <c r="BN80" s="173">
        <v>343</v>
      </c>
      <c r="BO80" s="174">
        <v>2579</v>
      </c>
      <c r="BP80" s="172">
        <v>784</v>
      </c>
      <c r="BQ80" s="173">
        <v>1421</v>
      </c>
      <c r="BR80" s="173">
        <v>1568</v>
      </c>
      <c r="BS80" s="173">
        <v>1519</v>
      </c>
      <c r="BT80" s="174">
        <v>5292</v>
      </c>
      <c r="BU80" s="172">
        <v>3185</v>
      </c>
      <c r="BV80" s="173">
        <v>4665</v>
      </c>
      <c r="BW80" s="173">
        <v>5643</v>
      </c>
      <c r="BX80" s="173">
        <v>5991</v>
      </c>
      <c r="BY80" s="174">
        <v>19484</v>
      </c>
      <c r="BZ80" s="172">
        <v>588</v>
      </c>
      <c r="CA80" s="173">
        <v>294</v>
      </c>
      <c r="CB80" s="173">
        <v>490</v>
      </c>
      <c r="CC80" s="173">
        <v>735</v>
      </c>
      <c r="CD80" s="174">
        <v>2107</v>
      </c>
      <c r="CE80" s="172"/>
      <c r="CF80" s="173"/>
      <c r="CG80" s="173"/>
      <c r="CH80" s="173"/>
      <c r="CI80" s="174"/>
    </row>
    <row r="81" s="147" customFormat="1" ht="14.6" spans="1:87">
      <c r="A81" s="175" t="s">
        <v>74</v>
      </c>
      <c r="B81" s="176"/>
      <c r="C81" s="177">
        <f t="shared" si="27"/>
        <v>1141096</v>
      </c>
      <c r="D81" s="178">
        <f t="shared" si="15"/>
        <v>1066940</v>
      </c>
      <c r="E81" s="178">
        <f t="shared" si="16"/>
        <v>1054851</v>
      </c>
      <c r="F81" s="178">
        <f t="shared" si="17"/>
        <v>922419</v>
      </c>
      <c r="G81" s="179">
        <f t="shared" si="18"/>
        <v>4185306</v>
      </c>
      <c r="H81" s="177">
        <f t="shared" si="28"/>
        <v>934751</v>
      </c>
      <c r="I81" s="178">
        <f t="shared" si="19"/>
        <v>878152</v>
      </c>
      <c r="J81" s="178">
        <f t="shared" si="20"/>
        <v>898234</v>
      </c>
      <c r="K81" s="178">
        <f t="shared" si="21"/>
        <v>728783</v>
      </c>
      <c r="L81" s="179">
        <f t="shared" si="22"/>
        <v>3439920</v>
      </c>
      <c r="M81" s="177">
        <v>101061</v>
      </c>
      <c r="N81" s="178">
        <v>114555</v>
      </c>
      <c r="O81" s="178">
        <v>126535</v>
      </c>
      <c r="P81" s="178">
        <v>70741</v>
      </c>
      <c r="Q81" s="179">
        <v>412892</v>
      </c>
      <c r="R81" s="177">
        <v>37950</v>
      </c>
      <c r="S81" s="178">
        <v>54640</v>
      </c>
      <c r="T81" s="178">
        <v>66715</v>
      </c>
      <c r="U81" s="178">
        <v>23083</v>
      </c>
      <c r="V81" s="179">
        <v>182388</v>
      </c>
      <c r="W81" s="177">
        <v>68530</v>
      </c>
      <c r="X81" s="178">
        <v>84940</v>
      </c>
      <c r="Y81" s="178">
        <v>35769</v>
      </c>
      <c r="Z81" s="178">
        <v>12012</v>
      </c>
      <c r="AA81" s="179">
        <v>201251</v>
      </c>
      <c r="AB81" s="177">
        <v>134891</v>
      </c>
      <c r="AC81" s="178">
        <v>83544</v>
      </c>
      <c r="AD81" s="178">
        <v>9108</v>
      </c>
      <c r="AE81" s="178">
        <v>5756</v>
      </c>
      <c r="AF81" s="179">
        <v>233299</v>
      </c>
      <c r="AG81" s="177">
        <v>326469</v>
      </c>
      <c r="AH81" s="178">
        <v>274887</v>
      </c>
      <c r="AI81" s="178">
        <v>245604</v>
      </c>
      <c r="AJ81" s="178">
        <v>217240</v>
      </c>
      <c r="AK81" s="179">
        <v>1064200</v>
      </c>
      <c r="AL81" s="177">
        <v>18203</v>
      </c>
      <c r="AM81" s="178">
        <v>23693</v>
      </c>
      <c r="AN81" s="178">
        <v>30749</v>
      </c>
      <c r="AO81" s="178">
        <v>33086</v>
      </c>
      <c r="AP81" s="179">
        <v>105731</v>
      </c>
      <c r="AQ81" s="177">
        <v>145681</v>
      </c>
      <c r="AR81" s="178">
        <v>145009</v>
      </c>
      <c r="AS81" s="178">
        <v>157453</v>
      </c>
      <c r="AT81" s="178">
        <v>101717</v>
      </c>
      <c r="AU81" s="179">
        <v>549860</v>
      </c>
      <c r="AV81" s="177">
        <v>16950</v>
      </c>
      <c r="AW81" s="178">
        <v>15735</v>
      </c>
      <c r="AX81" s="178">
        <v>24824</v>
      </c>
      <c r="AY81" s="178">
        <v>25920</v>
      </c>
      <c r="AZ81" s="179">
        <v>83429</v>
      </c>
      <c r="BA81" s="177">
        <v>85016</v>
      </c>
      <c r="BB81" s="178">
        <v>81149</v>
      </c>
      <c r="BC81" s="178">
        <v>201477</v>
      </c>
      <c r="BD81" s="178">
        <v>239228</v>
      </c>
      <c r="BE81" s="179">
        <v>606870</v>
      </c>
      <c r="BF81" s="177">
        <f t="shared" si="29"/>
        <v>206345</v>
      </c>
      <c r="BG81" s="178">
        <f t="shared" si="23"/>
        <v>188788</v>
      </c>
      <c r="BH81" s="178">
        <f t="shared" si="24"/>
        <v>156617</v>
      </c>
      <c r="BI81" s="178">
        <f t="shared" si="25"/>
        <v>193636</v>
      </c>
      <c r="BJ81" s="179">
        <f t="shared" si="26"/>
        <v>745386</v>
      </c>
      <c r="BK81" s="177">
        <v>8373</v>
      </c>
      <c r="BL81" s="178">
        <v>9313</v>
      </c>
      <c r="BM81" s="178">
        <v>9727</v>
      </c>
      <c r="BN81" s="178">
        <v>17317</v>
      </c>
      <c r="BO81" s="179">
        <v>44730</v>
      </c>
      <c r="BP81" s="177">
        <v>73542</v>
      </c>
      <c r="BQ81" s="178">
        <v>51218</v>
      </c>
      <c r="BR81" s="178">
        <v>27443</v>
      </c>
      <c r="BS81" s="178">
        <v>48662</v>
      </c>
      <c r="BT81" s="179">
        <v>200865</v>
      </c>
      <c r="BU81" s="177">
        <v>106539</v>
      </c>
      <c r="BV81" s="178">
        <v>93463</v>
      </c>
      <c r="BW81" s="178">
        <v>104536</v>
      </c>
      <c r="BX81" s="178">
        <v>99115</v>
      </c>
      <c r="BY81" s="179">
        <v>403653</v>
      </c>
      <c r="BZ81" s="177">
        <v>17201</v>
      </c>
      <c r="CA81" s="178">
        <v>25479</v>
      </c>
      <c r="CB81" s="178">
        <v>13117</v>
      </c>
      <c r="CC81" s="178">
        <v>17847</v>
      </c>
      <c r="CD81" s="179">
        <v>73644</v>
      </c>
      <c r="CE81" s="177">
        <v>690</v>
      </c>
      <c r="CF81" s="178">
        <v>9315</v>
      </c>
      <c r="CG81" s="178">
        <v>1794</v>
      </c>
      <c r="CH81" s="178">
        <v>10695</v>
      </c>
      <c r="CI81" s="179">
        <v>22494</v>
      </c>
    </row>
    <row r="82" spans="1:87">
      <c r="A82" s="170" t="s">
        <v>75</v>
      </c>
      <c r="B82" s="171" t="s">
        <v>26</v>
      </c>
      <c r="C82" s="172">
        <f t="shared" si="27"/>
        <v>1036725</v>
      </c>
      <c r="D82" s="173">
        <f t="shared" si="15"/>
        <v>1038214</v>
      </c>
      <c r="E82" s="173">
        <f t="shared" si="16"/>
        <v>1066119</v>
      </c>
      <c r="F82" s="173">
        <f t="shared" si="17"/>
        <v>869400</v>
      </c>
      <c r="G82" s="174">
        <f t="shared" si="18"/>
        <v>4010458</v>
      </c>
      <c r="H82" s="172">
        <f t="shared" si="28"/>
        <v>850287</v>
      </c>
      <c r="I82" s="173">
        <f t="shared" si="19"/>
        <v>749932</v>
      </c>
      <c r="J82" s="173">
        <f t="shared" si="20"/>
        <v>755412</v>
      </c>
      <c r="K82" s="173">
        <f t="shared" si="21"/>
        <v>539925</v>
      </c>
      <c r="L82" s="174">
        <f t="shared" si="22"/>
        <v>2895556</v>
      </c>
      <c r="M82" s="172"/>
      <c r="N82" s="173"/>
      <c r="O82" s="173"/>
      <c r="P82" s="173"/>
      <c r="Q82" s="174"/>
      <c r="R82" s="172">
        <v>328233</v>
      </c>
      <c r="S82" s="173">
        <v>282555</v>
      </c>
      <c r="T82" s="173">
        <v>280416</v>
      </c>
      <c r="U82" s="173">
        <v>230943</v>
      </c>
      <c r="V82" s="174">
        <v>1122147</v>
      </c>
      <c r="W82" s="172">
        <v>36432</v>
      </c>
      <c r="X82" s="173">
        <v>40503</v>
      </c>
      <c r="Y82" s="173">
        <v>44574</v>
      </c>
      <c r="Z82" s="173">
        <v>26082</v>
      </c>
      <c r="AA82" s="174">
        <v>147591</v>
      </c>
      <c r="AB82" s="172">
        <v>170844</v>
      </c>
      <c r="AC82" s="173">
        <v>131071</v>
      </c>
      <c r="AD82" s="173">
        <v>132066</v>
      </c>
      <c r="AE82" s="173">
        <v>14766</v>
      </c>
      <c r="AF82" s="174">
        <v>448747</v>
      </c>
      <c r="AG82" s="172">
        <v>242259</v>
      </c>
      <c r="AH82" s="173">
        <v>238602</v>
      </c>
      <c r="AI82" s="173">
        <v>249849</v>
      </c>
      <c r="AJ82" s="173">
        <v>196374</v>
      </c>
      <c r="AK82" s="174">
        <v>927084</v>
      </c>
      <c r="AL82" s="172">
        <v>20010</v>
      </c>
      <c r="AM82" s="173">
        <v>6831</v>
      </c>
      <c r="AN82" s="173"/>
      <c r="AO82" s="173">
        <v>1656</v>
      </c>
      <c r="AP82" s="174">
        <v>28497</v>
      </c>
      <c r="AQ82" s="172">
        <v>52509</v>
      </c>
      <c r="AR82" s="173">
        <v>50370</v>
      </c>
      <c r="AS82" s="173">
        <v>48507</v>
      </c>
      <c r="AT82" s="173">
        <v>70104</v>
      </c>
      <c r="AU82" s="174">
        <v>221490</v>
      </c>
      <c r="AV82" s="172"/>
      <c r="AW82" s="173"/>
      <c r="AX82" s="173"/>
      <c r="AY82" s="173"/>
      <c r="AZ82" s="174"/>
      <c r="BA82" s="172"/>
      <c r="BB82" s="173"/>
      <c r="BC82" s="173"/>
      <c r="BD82" s="173"/>
      <c r="BE82" s="174"/>
      <c r="BF82" s="172">
        <f t="shared" si="29"/>
        <v>186438</v>
      </c>
      <c r="BG82" s="173">
        <f t="shared" si="23"/>
        <v>288282</v>
      </c>
      <c r="BH82" s="173">
        <f t="shared" si="24"/>
        <v>310707</v>
      </c>
      <c r="BI82" s="173">
        <f t="shared" si="25"/>
        <v>329475</v>
      </c>
      <c r="BJ82" s="174">
        <f t="shared" si="26"/>
        <v>1114902</v>
      </c>
      <c r="BK82" s="172">
        <v>1587</v>
      </c>
      <c r="BL82" s="173">
        <v>12834</v>
      </c>
      <c r="BM82" s="173">
        <v>24702</v>
      </c>
      <c r="BN82" s="173">
        <v>11937</v>
      </c>
      <c r="BO82" s="174">
        <v>51060</v>
      </c>
      <c r="BP82" s="172">
        <v>115230</v>
      </c>
      <c r="BQ82" s="173">
        <v>121716</v>
      </c>
      <c r="BR82" s="173">
        <v>119094</v>
      </c>
      <c r="BS82" s="173">
        <v>143520</v>
      </c>
      <c r="BT82" s="174">
        <v>499560</v>
      </c>
      <c r="BU82" s="172">
        <v>49128</v>
      </c>
      <c r="BV82" s="173">
        <v>122820</v>
      </c>
      <c r="BW82" s="173">
        <v>134964</v>
      </c>
      <c r="BX82" s="173">
        <v>140346</v>
      </c>
      <c r="BY82" s="174">
        <v>447258</v>
      </c>
      <c r="BZ82" s="172">
        <v>17043</v>
      </c>
      <c r="CA82" s="173">
        <v>29394</v>
      </c>
      <c r="CB82" s="173">
        <v>31947</v>
      </c>
      <c r="CC82" s="173">
        <v>33672</v>
      </c>
      <c r="CD82" s="174">
        <v>112056</v>
      </c>
      <c r="CE82" s="172">
        <v>3450</v>
      </c>
      <c r="CF82" s="173">
        <v>1518</v>
      </c>
      <c r="CG82" s="173"/>
      <c r="CH82" s="173"/>
      <c r="CI82" s="174">
        <v>4968</v>
      </c>
    </row>
    <row r="83" s="147" customFormat="1" ht="14.6" spans="1:87">
      <c r="A83" s="175" t="s">
        <v>76</v>
      </c>
      <c r="B83" s="176"/>
      <c r="C83" s="177">
        <f t="shared" si="27"/>
        <v>1036725</v>
      </c>
      <c r="D83" s="178">
        <f t="shared" si="15"/>
        <v>1038214</v>
      </c>
      <c r="E83" s="178">
        <f t="shared" si="16"/>
        <v>1066119</v>
      </c>
      <c r="F83" s="178">
        <f t="shared" si="17"/>
        <v>869400</v>
      </c>
      <c r="G83" s="179">
        <f t="shared" si="18"/>
        <v>4010458</v>
      </c>
      <c r="H83" s="177">
        <f t="shared" si="28"/>
        <v>850287</v>
      </c>
      <c r="I83" s="178">
        <f t="shared" si="19"/>
        <v>749932</v>
      </c>
      <c r="J83" s="178">
        <f t="shared" si="20"/>
        <v>755412</v>
      </c>
      <c r="K83" s="178">
        <f t="shared" si="21"/>
        <v>539925</v>
      </c>
      <c r="L83" s="179">
        <f t="shared" si="22"/>
        <v>2895556</v>
      </c>
      <c r="M83" s="177"/>
      <c r="N83" s="178"/>
      <c r="O83" s="178"/>
      <c r="P83" s="178"/>
      <c r="Q83" s="179"/>
      <c r="R83" s="177">
        <v>328233</v>
      </c>
      <c r="S83" s="178">
        <v>282555</v>
      </c>
      <c r="T83" s="178">
        <v>280416</v>
      </c>
      <c r="U83" s="178">
        <v>230943</v>
      </c>
      <c r="V83" s="179">
        <v>1122147</v>
      </c>
      <c r="W83" s="177">
        <v>36432</v>
      </c>
      <c r="X83" s="178">
        <v>40503</v>
      </c>
      <c r="Y83" s="178">
        <v>44574</v>
      </c>
      <c r="Z83" s="178">
        <v>26082</v>
      </c>
      <c r="AA83" s="179">
        <v>147591</v>
      </c>
      <c r="AB83" s="177">
        <v>170844</v>
      </c>
      <c r="AC83" s="178">
        <v>131071</v>
      </c>
      <c r="AD83" s="178">
        <v>132066</v>
      </c>
      <c r="AE83" s="178">
        <v>14766</v>
      </c>
      <c r="AF83" s="179">
        <v>448747</v>
      </c>
      <c r="AG83" s="177">
        <v>242259</v>
      </c>
      <c r="AH83" s="178">
        <v>238602</v>
      </c>
      <c r="AI83" s="178">
        <v>249849</v>
      </c>
      <c r="AJ83" s="178">
        <v>196374</v>
      </c>
      <c r="AK83" s="179">
        <v>927084</v>
      </c>
      <c r="AL83" s="177">
        <v>20010</v>
      </c>
      <c r="AM83" s="178">
        <v>6831</v>
      </c>
      <c r="AN83" s="178"/>
      <c r="AO83" s="178">
        <v>1656</v>
      </c>
      <c r="AP83" s="179">
        <v>28497</v>
      </c>
      <c r="AQ83" s="177">
        <v>52509</v>
      </c>
      <c r="AR83" s="178">
        <v>50370</v>
      </c>
      <c r="AS83" s="178">
        <v>48507</v>
      </c>
      <c r="AT83" s="178">
        <v>70104</v>
      </c>
      <c r="AU83" s="179">
        <v>221490</v>
      </c>
      <c r="AV83" s="177"/>
      <c r="AW83" s="178"/>
      <c r="AX83" s="178"/>
      <c r="AY83" s="178"/>
      <c r="AZ83" s="179"/>
      <c r="BA83" s="177"/>
      <c r="BB83" s="178"/>
      <c r="BC83" s="178"/>
      <c r="BD83" s="178"/>
      <c r="BE83" s="179"/>
      <c r="BF83" s="177">
        <f t="shared" si="29"/>
        <v>186438</v>
      </c>
      <c r="BG83" s="178">
        <f t="shared" si="23"/>
        <v>288282</v>
      </c>
      <c r="BH83" s="178">
        <f t="shared" si="24"/>
        <v>310707</v>
      </c>
      <c r="BI83" s="178">
        <f t="shared" si="25"/>
        <v>329475</v>
      </c>
      <c r="BJ83" s="179">
        <f t="shared" si="26"/>
        <v>1114902</v>
      </c>
      <c r="BK83" s="177">
        <v>1587</v>
      </c>
      <c r="BL83" s="178">
        <v>12834</v>
      </c>
      <c r="BM83" s="178">
        <v>24702</v>
      </c>
      <c r="BN83" s="178">
        <v>11937</v>
      </c>
      <c r="BO83" s="179">
        <v>51060</v>
      </c>
      <c r="BP83" s="177">
        <v>115230</v>
      </c>
      <c r="BQ83" s="178">
        <v>121716</v>
      </c>
      <c r="BR83" s="178">
        <v>119094</v>
      </c>
      <c r="BS83" s="178">
        <v>143520</v>
      </c>
      <c r="BT83" s="179">
        <v>499560</v>
      </c>
      <c r="BU83" s="177">
        <v>49128</v>
      </c>
      <c r="BV83" s="178">
        <v>122820</v>
      </c>
      <c r="BW83" s="178">
        <v>134964</v>
      </c>
      <c r="BX83" s="178">
        <v>140346</v>
      </c>
      <c r="BY83" s="179">
        <v>447258</v>
      </c>
      <c r="BZ83" s="177">
        <v>17043</v>
      </c>
      <c r="CA83" s="178">
        <v>29394</v>
      </c>
      <c r="CB83" s="178">
        <v>31947</v>
      </c>
      <c r="CC83" s="178">
        <v>33672</v>
      </c>
      <c r="CD83" s="179">
        <v>112056</v>
      </c>
      <c r="CE83" s="177">
        <v>3450</v>
      </c>
      <c r="CF83" s="178">
        <v>1518</v>
      </c>
      <c r="CG83" s="178"/>
      <c r="CH83" s="178"/>
      <c r="CI83" s="179">
        <v>4968</v>
      </c>
    </row>
    <row r="84" spans="1:87">
      <c r="A84" s="170" t="s">
        <v>77</v>
      </c>
      <c r="B84" s="171" t="s">
        <v>26</v>
      </c>
      <c r="C84" s="172">
        <f t="shared" si="27"/>
        <v>333781</v>
      </c>
      <c r="D84" s="173">
        <f t="shared" si="15"/>
        <v>310621</v>
      </c>
      <c r="E84" s="173">
        <f t="shared" si="16"/>
        <v>1488270</v>
      </c>
      <c r="F84" s="173">
        <f t="shared" si="17"/>
        <v>1822618</v>
      </c>
      <c r="G84" s="174">
        <f t="shared" si="18"/>
        <v>3955290</v>
      </c>
      <c r="H84" s="172">
        <f t="shared" si="28"/>
        <v>310897</v>
      </c>
      <c r="I84" s="173">
        <f t="shared" si="19"/>
        <v>287469</v>
      </c>
      <c r="J84" s="173">
        <f t="shared" si="20"/>
        <v>1431877</v>
      </c>
      <c r="K84" s="173">
        <f t="shared" si="21"/>
        <v>1741977</v>
      </c>
      <c r="L84" s="174">
        <f t="shared" si="22"/>
        <v>3772220</v>
      </c>
      <c r="M84" s="172">
        <v>91393</v>
      </c>
      <c r="N84" s="173">
        <v>78972</v>
      </c>
      <c r="O84" s="173">
        <v>257205</v>
      </c>
      <c r="P84" s="173">
        <v>383128</v>
      </c>
      <c r="Q84" s="174">
        <v>810698</v>
      </c>
      <c r="R84" s="172">
        <v>76692</v>
      </c>
      <c r="S84" s="173">
        <v>91431</v>
      </c>
      <c r="T84" s="173">
        <v>302986</v>
      </c>
      <c r="U84" s="173">
        <v>334685</v>
      </c>
      <c r="V84" s="174">
        <v>805794</v>
      </c>
      <c r="W84" s="172">
        <v>10497</v>
      </c>
      <c r="X84" s="173">
        <v>11805</v>
      </c>
      <c r="Y84" s="173">
        <v>19452</v>
      </c>
      <c r="Z84" s="173">
        <v>174160</v>
      </c>
      <c r="AA84" s="174">
        <v>215914</v>
      </c>
      <c r="AB84" s="172">
        <v>792</v>
      </c>
      <c r="AC84" s="173">
        <v>1089</v>
      </c>
      <c r="AD84" s="173">
        <v>295875</v>
      </c>
      <c r="AE84" s="173">
        <v>207396</v>
      </c>
      <c r="AF84" s="174">
        <v>505152</v>
      </c>
      <c r="AG84" s="172">
        <v>65193</v>
      </c>
      <c r="AH84" s="173">
        <v>48489</v>
      </c>
      <c r="AI84" s="173">
        <v>334507</v>
      </c>
      <c r="AJ84" s="173">
        <v>267374</v>
      </c>
      <c r="AK84" s="174">
        <v>715563</v>
      </c>
      <c r="AL84" s="172">
        <v>7761</v>
      </c>
      <c r="AM84" s="173">
        <v>7710</v>
      </c>
      <c r="AN84" s="173">
        <v>18931</v>
      </c>
      <c r="AO84" s="173">
        <v>47578</v>
      </c>
      <c r="AP84" s="174">
        <v>81980</v>
      </c>
      <c r="AQ84" s="172">
        <v>12281</v>
      </c>
      <c r="AR84" s="173">
        <v>9334</v>
      </c>
      <c r="AS84" s="173">
        <v>168579</v>
      </c>
      <c r="AT84" s="173">
        <v>163138</v>
      </c>
      <c r="AU84" s="174">
        <v>353332</v>
      </c>
      <c r="AV84" s="172">
        <v>9225</v>
      </c>
      <c r="AW84" s="173">
        <v>7521</v>
      </c>
      <c r="AX84" s="173">
        <v>5376</v>
      </c>
      <c r="AY84" s="173">
        <v>26942</v>
      </c>
      <c r="AZ84" s="174">
        <v>49064</v>
      </c>
      <c r="BA84" s="172">
        <v>37063</v>
      </c>
      <c r="BB84" s="173">
        <v>31118</v>
      </c>
      <c r="BC84" s="173">
        <v>28966</v>
      </c>
      <c r="BD84" s="173">
        <v>137576</v>
      </c>
      <c r="BE84" s="174">
        <v>234723</v>
      </c>
      <c r="BF84" s="172">
        <f t="shared" si="29"/>
        <v>22884</v>
      </c>
      <c r="BG84" s="173">
        <f t="shared" si="23"/>
        <v>23152</v>
      </c>
      <c r="BH84" s="173">
        <f t="shared" si="24"/>
        <v>56393</v>
      </c>
      <c r="BI84" s="173">
        <f t="shared" si="25"/>
        <v>80641</v>
      </c>
      <c r="BJ84" s="174">
        <f t="shared" si="26"/>
        <v>183070</v>
      </c>
      <c r="BK84" s="172">
        <v>138</v>
      </c>
      <c r="BL84" s="173">
        <v>69</v>
      </c>
      <c r="BM84" s="173">
        <v>13894</v>
      </c>
      <c r="BN84" s="173">
        <v>9113</v>
      </c>
      <c r="BO84" s="174">
        <v>23214</v>
      </c>
      <c r="BP84" s="172">
        <v>6750</v>
      </c>
      <c r="BQ84" s="173">
        <v>6813</v>
      </c>
      <c r="BR84" s="173">
        <v>6546</v>
      </c>
      <c r="BS84" s="173">
        <v>297</v>
      </c>
      <c r="BT84" s="174">
        <v>20406</v>
      </c>
      <c r="BU84" s="172">
        <v>11580</v>
      </c>
      <c r="BV84" s="173">
        <v>13993</v>
      </c>
      <c r="BW84" s="173">
        <v>25689</v>
      </c>
      <c r="BX84" s="173">
        <v>52032</v>
      </c>
      <c r="BY84" s="174">
        <v>103294</v>
      </c>
      <c r="BZ84" s="172">
        <v>4416</v>
      </c>
      <c r="CA84" s="173">
        <v>2277</v>
      </c>
      <c r="CB84" s="173">
        <v>10264</v>
      </c>
      <c r="CC84" s="173">
        <v>11931</v>
      </c>
      <c r="CD84" s="174">
        <v>28888</v>
      </c>
      <c r="CE84" s="172"/>
      <c r="CF84" s="173"/>
      <c r="CG84" s="173"/>
      <c r="CH84" s="173">
        <v>7268</v>
      </c>
      <c r="CI84" s="174">
        <v>7268</v>
      </c>
    </row>
    <row r="85" s="147" customFormat="1" ht="14.6" spans="1:87">
      <c r="A85" s="175" t="s">
        <v>78</v>
      </c>
      <c r="B85" s="176"/>
      <c r="C85" s="177">
        <f t="shared" si="27"/>
        <v>333781</v>
      </c>
      <c r="D85" s="178">
        <f t="shared" si="15"/>
        <v>310621</v>
      </c>
      <c r="E85" s="178">
        <f t="shared" si="16"/>
        <v>1488270</v>
      </c>
      <c r="F85" s="178">
        <f t="shared" si="17"/>
        <v>1822618</v>
      </c>
      <c r="G85" s="179">
        <f t="shared" si="18"/>
        <v>3955290</v>
      </c>
      <c r="H85" s="177">
        <f t="shared" si="28"/>
        <v>310897</v>
      </c>
      <c r="I85" s="178">
        <f t="shared" si="19"/>
        <v>287469</v>
      </c>
      <c r="J85" s="178">
        <f t="shared" si="20"/>
        <v>1431877</v>
      </c>
      <c r="K85" s="178">
        <f t="shared" si="21"/>
        <v>1741977</v>
      </c>
      <c r="L85" s="179">
        <f t="shared" si="22"/>
        <v>3772220</v>
      </c>
      <c r="M85" s="177">
        <v>91393</v>
      </c>
      <c r="N85" s="178">
        <v>78972</v>
      </c>
      <c r="O85" s="178">
        <v>257205</v>
      </c>
      <c r="P85" s="178">
        <v>383128</v>
      </c>
      <c r="Q85" s="179">
        <v>810698</v>
      </c>
      <c r="R85" s="177">
        <v>76692</v>
      </c>
      <c r="S85" s="178">
        <v>91431</v>
      </c>
      <c r="T85" s="178">
        <v>302986</v>
      </c>
      <c r="U85" s="178">
        <v>334685</v>
      </c>
      <c r="V85" s="179">
        <v>805794</v>
      </c>
      <c r="W85" s="177">
        <v>10497</v>
      </c>
      <c r="X85" s="178">
        <v>11805</v>
      </c>
      <c r="Y85" s="178">
        <v>19452</v>
      </c>
      <c r="Z85" s="178">
        <v>174160</v>
      </c>
      <c r="AA85" s="179">
        <v>215914</v>
      </c>
      <c r="AB85" s="177">
        <v>792</v>
      </c>
      <c r="AC85" s="178">
        <v>1089</v>
      </c>
      <c r="AD85" s="178">
        <v>295875</v>
      </c>
      <c r="AE85" s="178">
        <v>207396</v>
      </c>
      <c r="AF85" s="179">
        <v>505152</v>
      </c>
      <c r="AG85" s="177">
        <v>65193</v>
      </c>
      <c r="AH85" s="178">
        <v>48489</v>
      </c>
      <c r="AI85" s="178">
        <v>334507</v>
      </c>
      <c r="AJ85" s="178">
        <v>267374</v>
      </c>
      <c r="AK85" s="179">
        <v>715563</v>
      </c>
      <c r="AL85" s="177">
        <v>7761</v>
      </c>
      <c r="AM85" s="178">
        <v>7710</v>
      </c>
      <c r="AN85" s="178">
        <v>18931</v>
      </c>
      <c r="AO85" s="178">
        <v>47578</v>
      </c>
      <c r="AP85" s="179">
        <v>81980</v>
      </c>
      <c r="AQ85" s="177">
        <v>12281</v>
      </c>
      <c r="AR85" s="178">
        <v>9334</v>
      </c>
      <c r="AS85" s="178">
        <v>168579</v>
      </c>
      <c r="AT85" s="178">
        <v>163138</v>
      </c>
      <c r="AU85" s="179">
        <v>353332</v>
      </c>
      <c r="AV85" s="177">
        <v>9225</v>
      </c>
      <c r="AW85" s="178">
        <v>7521</v>
      </c>
      <c r="AX85" s="178">
        <v>5376</v>
      </c>
      <c r="AY85" s="178">
        <v>26942</v>
      </c>
      <c r="AZ85" s="179">
        <v>49064</v>
      </c>
      <c r="BA85" s="177">
        <v>37063</v>
      </c>
      <c r="BB85" s="178">
        <v>31118</v>
      </c>
      <c r="BC85" s="178">
        <v>28966</v>
      </c>
      <c r="BD85" s="178">
        <v>137576</v>
      </c>
      <c r="BE85" s="179">
        <v>234723</v>
      </c>
      <c r="BF85" s="177">
        <f t="shared" si="29"/>
        <v>22884</v>
      </c>
      <c r="BG85" s="178">
        <f t="shared" si="23"/>
        <v>23152</v>
      </c>
      <c r="BH85" s="178">
        <f t="shared" si="24"/>
        <v>56393</v>
      </c>
      <c r="BI85" s="178">
        <f t="shared" si="25"/>
        <v>80641</v>
      </c>
      <c r="BJ85" s="179">
        <f t="shared" si="26"/>
        <v>183070</v>
      </c>
      <c r="BK85" s="177">
        <v>138</v>
      </c>
      <c r="BL85" s="178">
        <v>69</v>
      </c>
      <c r="BM85" s="178">
        <v>13894</v>
      </c>
      <c r="BN85" s="178">
        <v>9113</v>
      </c>
      <c r="BO85" s="179">
        <v>23214</v>
      </c>
      <c r="BP85" s="177">
        <v>6750</v>
      </c>
      <c r="BQ85" s="178">
        <v>6813</v>
      </c>
      <c r="BR85" s="178">
        <v>6546</v>
      </c>
      <c r="BS85" s="178">
        <v>297</v>
      </c>
      <c r="BT85" s="179">
        <v>20406</v>
      </c>
      <c r="BU85" s="177">
        <v>11580</v>
      </c>
      <c r="BV85" s="178">
        <v>13993</v>
      </c>
      <c r="BW85" s="178">
        <v>25689</v>
      </c>
      <c r="BX85" s="178">
        <v>52032</v>
      </c>
      <c r="BY85" s="179">
        <v>103294</v>
      </c>
      <c r="BZ85" s="177">
        <v>4416</v>
      </c>
      <c r="CA85" s="178">
        <v>2277</v>
      </c>
      <c r="CB85" s="178">
        <v>10264</v>
      </c>
      <c r="CC85" s="178">
        <v>11931</v>
      </c>
      <c r="CD85" s="179">
        <v>28888</v>
      </c>
      <c r="CE85" s="177"/>
      <c r="CF85" s="178"/>
      <c r="CG85" s="178"/>
      <c r="CH85" s="178">
        <v>7268</v>
      </c>
      <c r="CI85" s="179">
        <v>7268</v>
      </c>
    </row>
    <row r="86" spans="1:87">
      <c r="A86" s="170" t="s">
        <v>79</v>
      </c>
      <c r="B86" s="171" t="s">
        <v>27</v>
      </c>
      <c r="C86" s="172">
        <f t="shared" si="27"/>
        <v>257221</v>
      </c>
      <c r="D86" s="173">
        <f t="shared" si="15"/>
        <v>130681</v>
      </c>
      <c r="E86" s="173">
        <f t="shared" si="16"/>
        <v>57823</v>
      </c>
      <c r="F86" s="173">
        <f t="shared" si="17"/>
        <v>32195</v>
      </c>
      <c r="G86" s="174">
        <f t="shared" si="18"/>
        <v>477920</v>
      </c>
      <c r="H86" s="172">
        <f t="shared" si="28"/>
        <v>241970</v>
      </c>
      <c r="I86" s="173">
        <f t="shared" si="19"/>
        <v>120037</v>
      </c>
      <c r="J86" s="173">
        <f t="shared" si="20"/>
        <v>32107</v>
      </c>
      <c r="K86" s="173">
        <f t="shared" si="21"/>
        <v>6964</v>
      </c>
      <c r="L86" s="174">
        <f t="shared" si="22"/>
        <v>401078</v>
      </c>
      <c r="M86" s="172">
        <v>59682</v>
      </c>
      <c r="N86" s="173">
        <v>22785</v>
      </c>
      <c r="O86" s="173">
        <v>6664</v>
      </c>
      <c r="P86" s="173">
        <v>882</v>
      </c>
      <c r="Q86" s="174">
        <v>90013</v>
      </c>
      <c r="R86" s="172">
        <v>196</v>
      </c>
      <c r="S86" s="173">
        <v>98</v>
      </c>
      <c r="T86" s="173"/>
      <c r="U86" s="173"/>
      <c r="V86" s="174">
        <v>294</v>
      </c>
      <c r="W86" s="172">
        <v>24843</v>
      </c>
      <c r="X86" s="173">
        <v>4508</v>
      </c>
      <c r="Y86" s="173"/>
      <c r="Z86" s="173"/>
      <c r="AA86" s="174">
        <v>29351</v>
      </c>
      <c r="AB86" s="172">
        <v>828</v>
      </c>
      <c r="AC86" s="173">
        <v>98</v>
      </c>
      <c r="AD86" s="173"/>
      <c r="AE86" s="173"/>
      <c r="AF86" s="174">
        <v>926</v>
      </c>
      <c r="AG86" s="172">
        <v>149940</v>
      </c>
      <c r="AH86" s="173">
        <v>88347</v>
      </c>
      <c r="AI86" s="173">
        <v>20384</v>
      </c>
      <c r="AJ86" s="173">
        <v>3430</v>
      </c>
      <c r="AK86" s="174">
        <v>262101</v>
      </c>
      <c r="AL86" s="172"/>
      <c r="AM86" s="173"/>
      <c r="AN86" s="173"/>
      <c r="AO86" s="173"/>
      <c r="AP86" s="174"/>
      <c r="AQ86" s="172"/>
      <c r="AR86" s="173"/>
      <c r="AS86" s="173">
        <v>392</v>
      </c>
      <c r="AT86" s="173"/>
      <c r="AU86" s="174">
        <v>392</v>
      </c>
      <c r="AV86" s="172">
        <v>3038</v>
      </c>
      <c r="AW86" s="173">
        <v>2324</v>
      </c>
      <c r="AX86" s="173">
        <v>2744</v>
      </c>
      <c r="AY86" s="173">
        <v>2009</v>
      </c>
      <c r="AZ86" s="174">
        <v>10115</v>
      </c>
      <c r="BA86" s="172">
        <v>3443</v>
      </c>
      <c r="BB86" s="173">
        <v>1877</v>
      </c>
      <c r="BC86" s="173">
        <v>1923</v>
      </c>
      <c r="BD86" s="173">
        <v>643</v>
      </c>
      <c r="BE86" s="174">
        <v>7886</v>
      </c>
      <c r="BF86" s="172">
        <f t="shared" si="29"/>
        <v>15251</v>
      </c>
      <c r="BG86" s="173">
        <f t="shared" si="23"/>
        <v>10644</v>
      </c>
      <c r="BH86" s="173">
        <f t="shared" si="24"/>
        <v>25716</v>
      </c>
      <c r="BI86" s="173">
        <f t="shared" si="25"/>
        <v>25231</v>
      </c>
      <c r="BJ86" s="174">
        <f t="shared" si="26"/>
        <v>76842</v>
      </c>
      <c r="BK86" s="172">
        <v>3528</v>
      </c>
      <c r="BL86" s="173">
        <v>2499</v>
      </c>
      <c r="BM86" s="173">
        <v>6566</v>
      </c>
      <c r="BN86" s="173">
        <v>6811</v>
      </c>
      <c r="BO86" s="174">
        <v>19404</v>
      </c>
      <c r="BP86" s="172">
        <v>1188</v>
      </c>
      <c r="BQ86" s="173">
        <v>396</v>
      </c>
      <c r="BR86" s="173">
        <v>99</v>
      </c>
      <c r="BS86" s="173"/>
      <c r="BT86" s="174">
        <v>1683</v>
      </c>
      <c r="BU86" s="172">
        <v>10535</v>
      </c>
      <c r="BV86" s="173">
        <v>7749</v>
      </c>
      <c r="BW86" s="173">
        <v>19051</v>
      </c>
      <c r="BX86" s="173">
        <v>18420</v>
      </c>
      <c r="BY86" s="174">
        <v>55755</v>
      </c>
      <c r="BZ86" s="172"/>
      <c r="CA86" s="173"/>
      <c r="CB86" s="173"/>
      <c r="CC86" s="173"/>
      <c r="CD86" s="174"/>
      <c r="CE86" s="172"/>
      <c r="CF86" s="173"/>
      <c r="CG86" s="173"/>
      <c r="CH86" s="173"/>
      <c r="CI86" s="174"/>
    </row>
    <row r="87" spans="1:87">
      <c r="A87" s="170"/>
      <c r="B87" s="171" t="s">
        <v>28</v>
      </c>
      <c r="C87" s="172">
        <f t="shared" si="27"/>
        <v>799284</v>
      </c>
      <c r="D87" s="173">
        <f t="shared" si="15"/>
        <v>730782</v>
      </c>
      <c r="E87" s="173">
        <f t="shared" si="16"/>
        <v>896799</v>
      </c>
      <c r="F87" s="173">
        <f t="shared" si="17"/>
        <v>895956</v>
      </c>
      <c r="G87" s="174">
        <f t="shared" si="18"/>
        <v>3322821</v>
      </c>
      <c r="H87" s="172">
        <f t="shared" si="28"/>
        <v>746073</v>
      </c>
      <c r="I87" s="173">
        <f t="shared" si="19"/>
        <v>646080</v>
      </c>
      <c r="J87" s="173">
        <f t="shared" si="20"/>
        <v>789627</v>
      </c>
      <c r="K87" s="173">
        <f t="shared" si="21"/>
        <v>710538</v>
      </c>
      <c r="L87" s="174">
        <f t="shared" si="22"/>
        <v>2892318</v>
      </c>
      <c r="M87" s="172">
        <v>203616</v>
      </c>
      <c r="N87" s="173">
        <v>157614</v>
      </c>
      <c r="O87" s="173">
        <v>138900</v>
      </c>
      <c r="P87" s="173">
        <v>166131</v>
      </c>
      <c r="Q87" s="174">
        <v>666261</v>
      </c>
      <c r="R87" s="172">
        <v>53958</v>
      </c>
      <c r="S87" s="173">
        <v>41745</v>
      </c>
      <c r="T87" s="173">
        <v>33948</v>
      </c>
      <c r="U87" s="173">
        <v>35397</v>
      </c>
      <c r="V87" s="174">
        <v>165048</v>
      </c>
      <c r="W87" s="172">
        <v>120978</v>
      </c>
      <c r="X87" s="173">
        <v>87384</v>
      </c>
      <c r="Y87" s="173">
        <v>72783</v>
      </c>
      <c r="Z87" s="173">
        <v>67329</v>
      </c>
      <c r="AA87" s="174">
        <v>348474</v>
      </c>
      <c r="AB87" s="172">
        <v>1584</v>
      </c>
      <c r="AC87" s="173">
        <v>30768</v>
      </c>
      <c r="AD87" s="173">
        <v>197628</v>
      </c>
      <c r="AE87" s="173">
        <v>132132</v>
      </c>
      <c r="AF87" s="174">
        <v>362112</v>
      </c>
      <c r="AG87" s="172">
        <v>193878</v>
      </c>
      <c r="AH87" s="173">
        <v>175983</v>
      </c>
      <c r="AI87" s="173">
        <v>143130</v>
      </c>
      <c r="AJ87" s="173">
        <v>97995</v>
      </c>
      <c r="AK87" s="174">
        <v>610986</v>
      </c>
      <c r="AL87" s="172">
        <v>23604</v>
      </c>
      <c r="AM87" s="173">
        <v>36426</v>
      </c>
      <c r="AN87" s="173">
        <v>44565</v>
      </c>
      <c r="AO87" s="173">
        <v>22362</v>
      </c>
      <c r="AP87" s="174">
        <v>126957</v>
      </c>
      <c r="AQ87" s="172">
        <v>10143</v>
      </c>
      <c r="AR87" s="173">
        <v>2898</v>
      </c>
      <c r="AS87" s="173">
        <v>23469</v>
      </c>
      <c r="AT87" s="173">
        <v>44349</v>
      </c>
      <c r="AU87" s="174">
        <v>80859</v>
      </c>
      <c r="AV87" s="172">
        <v>7491</v>
      </c>
      <c r="AW87" s="173">
        <v>8754</v>
      </c>
      <c r="AX87" s="173">
        <v>6423</v>
      </c>
      <c r="AY87" s="173">
        <v>5088</v>
      </c>
      <c r="AZ87" s="174">
        <v>27756</v>
      </c>
      <c r="BA87" s="172">
        <v>130821</v>
      </c>
      <c r="BB87" s="173">
        <v>104508</v>
      </c>
      <c r="BC87" s="173">
        <v>128781</v>
      </c>
      <c r="BD87" s="173">
        <v>139755</v>
      </c>
      <c r="BE87" s="174">
        <v>503865</v>
      </c>
      <c r="BF87" s="172">
        <f t="shared" si="29"/>
        <v>53211</v>
      </c>
      <c r="BG87" s="173">
        <f t="shared" si="23"/>
        <v>84702</v>
      </c>
      <c r="BH87" s="173">
        <f t="shared" si="24"/>
        <v>107172</v>
      </c>
      <c r="BI87" s="173">
        <f t="shared" si="25"/>
        <v>185418</v>
      </c>
      <c r="BJ87" s="174">
        <f t="shared" si="26"/>
        <v>430503</v>
      </c>
      <c r="BK87" s="172">
        <v>5550</v>
      </c>
      <c r="BL87" s="173">
        <v>6417</v>
      </c>
      <c r="BM87" s="173">
        <v>207</v>
      </c>
      <c r="BN87" s="173"/>
      <c r="BO87" s="174">
        <v>12174</v>
      </c>
      <c r="BP87" s="172">
        <v>23742</v>
      </c>
      <c r="BQ87" s="173">
        <v>29979</v>
      </c>
      <c r="BR87" s="173">
        <v>40200</v>
      </c>
      <c r="BS87" s="173">
        <v>40161</v>
      </c>
      <c r="BT87" s="174">
        <v>134082</v>
      </c>
      <c r="BU87" s="172">
        <v>17337</v>
      </c>
      <c r="BV87" s="173">
        <v>39120</v>
      </c>
      <c r="BW87" s="173">
        <v>61131</v>
      </c>
      <c r="BX87" s="173">
        <v>139443</v>
      </c>
      <c r="BY87" s="174">
        <v>257031</v>
      </c>
      <c r="BZ87" s="172">
        <v>2691</v>
      </c>
      <c r="CA87" s="173">
        <v>1518</v>
      </c>
      <c r="CB87" s="173">
        <v>2070</v>
      </c>
      <c r="CC87" s="173"/>
      <c r="CD87" s="174">
        <v>6279</v>
      </c>
      <c r="CE87" s="172">
        <v>3891</v>
      </c>
      <c r="CF87" s="173">
        <v>7668</v>
      </c>
      <c r="CG87" s="173">
        <v>3564</v>
      </c>
      <c r="CH87" s="173">
        <v>5814</v>
      </c>
      <c r="CI87" s="174">
        <v>20937</v>
      </c>
    </row>
    <row r="88" s="147" customFormat="1" ht="14.6" spans="1:87">
      <c r="A88" s="175" t="s">
        <v>80</v>
      </c>
      <c r="B88" s="176"/>
      <c r="C88" s="177">
        <f t="shared" si="27"/>
        <v>1056505</v>
      </c>
      <c r="D88" s="178">
        <f t="shared" si="15"/>
        <v>861463</v>
      </c>
      <c r="E88" s="178">
        <f t="shared" si="16"/>
        <v>954622</v>
      </c>
      <c r="F88" s="178">
        <f t="shared" si="17"/>
        <v>928151</v>
      </c>
      <c r="G88" s="179">
        <f t="shared" si="18"/>
        <v>3800741</v>
      </c>
      <c r="H88" s="177">
        <f t="shared" si="28"/>
        <v>988043</v>
      </c>
      <c r="I88" s="178">
        <f t="shared" si="19"/>
        <v>766117</v>
      </c>
      <c r="J88" s="178">
        <f t="shared" si="20"/>
        <v>821734</v>
      </c>
      <c r="K88" s="178">
        <f t="shared" si="21"/>
        <v>717502</v>
      </c>
      <c r="L88" s="179">
        <f t="shared" si="22"/>
        <v>3293396</v>
      </c>
      <c r="M88" s="177">
        <v>263298</v>
      </c>
      <c r="N88" s="178">
        <v>180399</v>
      </c>
      <c r="O88" s="178">
        <v>145564</v>
      </c>
      <c r="P88" s="178">
        <v>167013</v>
      </c>
      <c r="Q88" s="179">
        <v>756274</v>
      </c>
      <c r="R88" s="177">
        <v>54154</v>
      </c>
      <c r="S88" s="178">
        <v>41843</v>
      </c>
      <c r="T88" s="178">
        <v>33948</v>
      </c>
      <c r="U88" s="178">
        <v>35397</v>
      </c>
      <c r="V88" s="179">
        <v>165342</v>
      </c>
      <c r="W88" s="177">
        <v>145821</v>
      </c>
      <c r="X88" s="178">
        <v>91892</v>
      </c>
      <c r="Y88" s="178">
        <v>72783</v>
      </c>
      <c r="Z88" s="178">
        <v>67329</v>
      </c>
      <c r="AA88" s="179">
        <v>377825</v>
      </c>
      <c r="AB88" s="177">
        <v>2412</v>
      </c>
      <c r="AC88" s="178">
        <v>30866</v>
      </c>
      <c r="AD88" s="178">
        <v>197628</v>
      </c>
      <c r="AE88" s="178">
        <v>132132</v>
      </c>
      <c r="AF88" s="179">
        <v>363038</v>
      </c>
      <c r="AG88" s="177">
        <v>343818</v>
      </c>
      <c r="AH88" s="178">
        <v>264330</v>
      </c>
      <c r="AI88" s="178">
        <v>163514</v>
      </c>
      <c r="AJ88" s="178">
        <v>101425</v>
      </c>
      <c r="AK88" s="179">
        <v>873087</v>
      </c>
      <c r="AL88" s="177">
        <v>23604</v>
      </c>
      <c r="AM88" s="178">
        <v>36426</v>
      </c>
      <c r="AN88" s="178">
        <v>44565</v>
      </c>
      <c r="AO88" s="178">
        <v>22362</v>
      </c>
      <c r="AP88" s="179">
        <v>126957</v>
      </c>
      <c r="AQ88" s="177">
        <v>10143</v>
      </c>
      <c r="AR88" s="178">
        <v>2898</v>
      </c>
      <c r="AS88" s="178">
        <v>23861</v>
      </c>
      <c r="AT88" s="178">
        <v>44349</v>
      </c>
      <c r="AU88" s="179">
        <v>81251</v>
      </c>
      <c r="AV88" s="177">
        <v>10529</v>
      </c>
      <c r="AW88" s="178">
        <v>11078</v>
      </c>
      <c r="AX88" s="178">
        <v>9167</v>
      </c>
      <c r="AY88" s="178">
        <v>7097</v>
      </c>
      <c r="AZ88" s="179">
        <v>37871</v>
      </c>
      <c r="BA88" s="177">
        <v>134264</v>
      </c>
      <c r="BB88" s="178">
        <v>106385</v>
      </c>
      <c r="BC88" s="178">
        <v>130704</v>
      </c>
      <c r="BD88" s="178">
        <v>140398</v>
      </c>
      <c r="BE88" s="179">
        <v>511751</v>
      </c>
      <c r="BF88" s="177">
        <f t="shared" si="29"/>
        <v>68462</v>
      </c>
      <c r="BG88" s="178">
        <f t="shared" si="23"/>
        <v>95346</v>
      </c>
      <c r="BH88" s="178">
        <f t="shared" si="24"/>
        <v>132888</v>
      </c>
      <c r="BI88" s="178">
        <f t="shared" si="25"/>
        <v>210649</v>
      </c>
      <c r="BJ88" s="179">
        <f t="shared" si="26"/>
        <v>507345</v>
      </c>
      <c r="BK88" s="177">
        <v>9078</v>
      </c>
      <c r="BL88" s="178">
        <v>8916</v>
      </c>
      <c r="BM88" s="178">
        <v>6773</v>
      </c>
      <c r="BN88" s="178">
        <v>6811</v>
      </c>
      <c r="BO88" s="179">
        <v>31578</v>
      </c>
      <c r="BP88" s="177">
        <v>24930</v>
      </c>
      <c r="BQ88" s="178">
        <v>30375</v>
      </c>
      <c r="BR88" s="178">
        <v>40299</v>
      </c>
      <c r="BS88" s="178">
        <v>40161</v>
      </c>
      <c r="BT88" s="179">
        <v>135765</v>
      </c>
      <c r="BU88" s="177">
        <v>27872</v>
      </c>
      <c r="BV88" s="178">
        <v>46869</v>
      </c>
      <c r="BW88" s="178">
        <v>80182</v>
      </c>
      <c r="BX88" s="178">
        <v>157863</v>
      </c>
      <c r="BY88" s="179">
        <v>312786</v>
      </c>
      <c r="BZ88" s="177">
        <v>2691</v>
      </c>
      <c r="CA88" s="178">
        <v>1518</v>
      </c>
      <c r="CB88" s="178">
        <v>2070</v>
      </c>
      <c r="CC88" s="178"/>
      <c r="CD88" s="179">
        <v>6279</v>
      </c>
      <c r="CE88" s="177">
        <v>3891</v>
      </c>
      <c r="CF88" s="178">
        <v>7668</v>
      </c>
      <c r="CG88" s="178">
        <v>3564</v>
      </c>
      <c r="CH88" s="178">
        <v>5814</v>
      </c>
      <c r="CI88" s="179">
        <v>20937</v>
      </c>
    </row>
    <row r="89" spans="1:87">
      <c r="A89" s="170" t="s">
        <v>81</v>
      </c>
      <c r="B89" s="171" t="s">
        <v>26</v>
      </c>
      <c r="C89" s="172">
        <f t="shared" si="27"/>
        <v>0</v>
      </c>
      <c r="D89" s="173">
        <f t="shared" si="15"/>
        <v>1353918</v>
      </c>
      <c r="E89" s="173">
        <f t="shared" si="16"/>
        <v>1152714</v>
      </c>
      <c r="F89" s="173">
        <f t="shared" si="17"/>
        <v>757413</v>
      </c>
      <c r="G89" s="174">
        <f t="shared" si="18"/>
        <v>3264045</v>
      </c>
      <c r="H89" s="172">
        <f t="shared" si="28"/>
        <v>0</v>
      </c>
      <c r="I89" s="173">
        <f t="shared" si="19"/>
        <v>1353918</v>
      </c>
      <c r="J89" s="173">
        <f t="shared" si="20"/>
        <v>1032378</v>
      </c>
      <c r="K89" s="173">
        <f t="shared" si="21"/>
        <v>652326</v>
      </c>
      <c r="L89" s="174">
        <f t="shared" si="22"/>
        <v>3038622</v>
      </c>
      <c r="M89" s="172"/>
      <c r="N89" s="173">
        <v>222801</v>
      </c>
      <c r="O89" s="173">
        <v>303807</v>
      </c>
      <c r="P89" s="173">
        <v>214314</v>
      </c>
      <c r="Q89" s="174">
        <v>740922</v>
      </c>
      <c r="R89" s="172"/>
      <c r="S89" s="173">
        <v>39744</v>
      </c>
      <c r="T89" s="173">
        <v>26496</v>
      </c>
      <c r="U89" s="173">
        <v>43884</v>
      </c>
      <c r="V89" s="174">
        <v>110124</v>
      </c>
      <c r="W89" s="172"/>
      <c r="X89" s="173"/>
      <c r="Y89" s="173">
        <v>70725</v>
      </c>
      <c r="Z89" s="173">
        <v>26289</v>
      </c>
      <c r="AA89" s="174">
        <v>97014</v>
      </c>
      <c r="AB89" s="172"/>
      <c r="AC89" s="173">
        <v>87354</v>
      </c>
      <c r="AD89" s="173">
        <v>216798</v>
      </c>
      <c r="AE89" s="173">
        <v>90597</v>
      </c>
      <c r="AF89" s="174">
        <v>394749</v>
      </c>
      <c r="AG89" s="172"/>
      <c r="AH89" s="173">
        <v>947991</v>
      </c>
      <c r="AI89" s="173">
        <v>283659</v>
      </c>
      <c r="AJ89" s="173">
        <v>116403</v>
      </c>
      <c r="AK89" s="174">
        <v>1348053</v>
      </c>
      <c r="AL89" s="172"/>
      <c r="AM89" s="173"/>
      <c r="AN89" s="173">
        <v>15456</v>
      </c>
      <c r="AO89" s="173">
        <v>24426</v>
      </c>
      <c r="AP89" s="174">
        <v>39882</v>
      </c>
      <c r="AQ89" s="172"/>
      <c r="AR89" s="173">
        <v>56028</v>
      </c>
      <c r="AS89" s="173">
        <v>115437</v>
      </c>
      <c r="AT89" s="173">
        <v>74451</v>
      </c>
      <c r="AU89" s="174">
        <v>245916</v>
      </c>
      <c r="AV89" s="172"/>
      <c r="AW89" s="173"/>
      <c r="AX89" s="173"/>
      <c r="AY89" s="173">
        <v>19872</v>
      </c>
      <c r="AZ89" s="174">
        <v>19872</v>
      </c>
      <c r="BA89" s="172"/>
      <c r="BB89" s="173"/>
      <c r="BC89" s="173"/>
      <c r="BD89" s="173">
        <v>42090</v>
      </c>
      <c r="BE89" s="174">
        <v>42090</v>
      </c>
      <c r="BF89" s="172">
        <f t="shared" si="29"/>
        <v>0</v>
      </c>
      <c r="BG89" s="173">
        <f t="shared" si="23"/>
        <v>0</v>
      </c>
      <c r="BH89" s="173">
        <f t="shared" si="24"/>
        <v>120336</v>
      </c>
      <c r="BI89" s="173">
        <f t="shared" si="25"/>
        <v>105087</v>
      </c>
      <c r="BJ89" s="174">
        <f t="shared" si="26"/>
        <v>225423</v>
      </c>
      <c r="BK89" s="172"/>
      <c r="BL89" s="173"/>
      <c r="BM89" s="173">
        <v>33603</v>
      </c>
      <c r="BN89" s="173">
        <v>16008</v>
      </c>
      <c r="BO89" s="174">
        <v>49611</v>
      </c>
      <c r="BP89" s="172"/>
      <c r="BQ89" s="173"/>
      <c r="BR89" s="173">
        <v>44091</v>
      </c>
      <c r="BS89" s="173">
        <v>22494</v>
      </c>
      <c r="BT89" s="174">
        <v>66585</v>
      </c>
      <c r="BU89" s="172"/>
      <c r="BV89" s="173"/>
      <c r="BW89" s="173">
        <v>2898</v>
      </c>
      <c r="BX89" s="173">
        <v>55407</v>
      </c>
      <c r="BY89" s="174">
        <v>58305</v>
      </c>
      <c r="BZ89" s="172"/>
      <c r="CA89" s="173"/>
      <c r="CB89" s="173">
        <v>24081</v>
      </c>
      <c r="CC89" s="173">
        <v>1242</v>
      </c>
      <c r="CD89" s="174">
        <v>25323</v>
      </c>
      <c r="CE89" s="172"/>
      <c r="CF89" s="173"/>
      <c r="CG89" s="173">
        <v>15663</v>
      </c>
      <c r="CH89" s="173">
        <v>9936</v>
      </c>
      <c r="CI89" s="174">
        <v>25599</v>
      </c>
    </row>
    <row r="90" s="147" customFormat="1" ht="14.6" spans="1:87">
      <c r="A90" s="175" t="s">
        <v>82</v>
      </c>
      <c r="B90" s="176"/>
      <c r="C90" s="177">
        <f t="shared" si="27"/>
        <v>0</v>
      </c>
      <c r="D90" s="178">
        <f t="shared" si="15"/>
        <v>1353918</v>
      </c>
      <c r="E90" s="178">
        <f t="shared" si="16"/>
        <v>1152714</v>
      </c>
      <c r="F90" s="178">
        <f t="shared" si="17"/>
        <v>757413</v>
      </c>
      <c r="G90" s="179">
        <f t="shared" si="18"/>
        <v>3264045</v>
      </c>
      <c r="H90" s="177">
        <f t="shared" si="28"/>
        <v>0</v>
      </c>
      <c r="I90" s="178">
        <f t="shared" si="19"/>
        <v>1353918</v>
      </c>
      <c r="J90" s="178">
        <f t="shared" si="20"/>
        <v>1032378</v>
      </c>
      <c r="K90" s="178">
        <f t="shared" si="21"/>
        <v>652326</v>
      </c>
      <c r="L90" s="179">
        <f t="shared" si="22"/>
        <v>3038622</v>
      </c>
      <c r="M90" s="177"/>
      <c r="N90" s="178">
        <v>222801</v>
      </c>
      <c r="O90" s="178">
        <v>303807</v>
      </c>
      <c r="P90" s="178">
        <v>214314</v>
      </c>
      <c r="Q90" s="179">
        <v>740922</v>
      </c>
      <c r="R90" s="177"/>
      <c r="S90" s="178">
        <v>39744</v>
      </c>
      <c r="T90" s="178">
        <v>26496</v>
      </c>
      <c r="U90" s="178">
        <v>43884</v>
      </c>
      <c r="V90" s="179">
        <v>110124</v>
      </c>
      <c r="W90" s="177"/>
      <c r="X90" s="178"/>
      <c r="Y90" s="178">
        <v>70725</v>
      </c>
      <c r="Z90" s="178">
        <v>26289</v>
      </c>
      <c r="AA90" s="179">
        <v>97014</v>
      </c>
      <c r="AB90" s="177"/>
      <c r="AC90" s="178">
        <v>87354</v>
      </c>
      <c r="AD90" s="178">
        <v>216798</v>
      </c>
      <c r="AE90" s="178">
        <v>90597</v>
      </c>
      <c r="AF90" s="179">
        <v>394749</v>
      </c>
      <c r="AG90" s="177"/>
      <c r="AH90" s="178">
        <v>947991</v>
      </c>
      <c r="AI90" s="178">
        <v>283659</v>
      </c>
      <c r="AJ90" s="178">
        <v>116403</v>
      </c>
      <c r="AK90" s="179">
        <v>1348053</v>
      </c>
      <c r="AL90" s="177"/>
      <c r="AM90" s="178"/>
      <c r="AN90" s="178">
        <v>15456</v>
      </c>
      <c r="AO90" s="178">
        <v>24426</v>
      </c>
      <c r="AP90" s="179">
        <v>39882</v>
      </c>
      <c r="AQ90" s="177"/>
      <c r="AR90" s="178">
        <v>56028</v>
      </c>
      <c r="AS90" s="178">
        <v>115437</v>
      </c>
      <c r="AT90" s="178">
        <v>74451</v>
      </c>
      <c r="AU90" s="179">
        <v>245916</v>
      </c>
      <c r="AV90" s="177"/>
      <c r="AW90" s="178"/>
      <c r="AX90" s="178"/>
      <c r="AY90" s="178">
        <v>19872</v>
      </c>
      <c r="AZ90" s="179">
        <v>19872</v>
      </c>
      <c r="BA90" s="177"/>
      <c r="BB90" s="178"/>
      <c r="BC90" s="178"/>
      <c r="BD90" s="178">
        <v>42090</v>
      </c>
      <c r="BE90" s="179">
        <v>42090</v>
      </c>
      <c r="BF90" s="177">
        <f t="shared" si="29"/>
        <v>0</v>
      </c>
      <c r="BG90" s="178">
        <f t="shared" si="23"/>
        <v>0</v>
      </c>
      <c r="BH90" s="178">
        <f t="shared" si="24"/>
        <v>120336</v>
      </c>
      <c r="BI90" s="178">
        <f t="shared" si="25"/>
        <v>105087</v>
      </c>
      <c r="BJ90" s="179">
        <f t="shared" si="26"/>
        <v>225423</v>
      </c>
      <c r="BK90" s="177"/>
      <c r="BL90" s="178"/>
      <c r="BM90" s="178">
        <v>33603</v>
      </c>
      <c r="BN90" s="178">
        <v>16008</v>
      </c>
      <c r="BO90" s="179">
        <v>49611</v>
      </c>
      <c r="BP90" s="177"/>
      <c r="BQ90" s="178"/>
      <c r="BR90" s="178">
        <v>44091</v>
      </c>
      <c r="BS90" s="178">
        <v>22494</v>
      </c>
      <c r="BT90" s="179">
        <v>66585</v>
      </c>
      <c r="BU90" s="177"/>
      <c r="BV90" s="178"/>
      <c r="BW90" s="178">
        <v>2898</v>
      </c>
      <c r="BX90" s="178">
        <v>55407</v>
      </c>
      <c r="BY90" s="179">
        <v>58305</v>
      </c>
      <c r="BZ90" s="177"/>
      <c r="CA90" s="178"/>
      <c r="CB90" s="178">
        <v>24081</v>
      </c>
      <c r="CC90" s="178">
        <v>1242</v>
      </c>
      <c r="CD90" s="179">
        <v>25323</v>
      </c>
      <c r="CE90" s="177"/>
      <c r="CF90" s="178"/>
      <c r="CG90" s="178">
        <v>15663</v>
      </c>
      <c r="CH90" s="178">
        <v>9936</v>
      </c>
      <c r="CI90" s="179">
        <v>25599</v>
      </c>
    </row>
    <row r="91" spans="1:87">
      <c r="A91" s="170" t="s">
        <v>83</v>
      </c>
      <c r="B91" s="171" t="s">
        <v>26</v>
      </c>
      <c r="C91" s="172">
        <f t="shared" si="27"/>
        <v>443303</v>
      </c>
      <c r="D91" s="173">
        <f t="shared" si="15"/>
        <v>357856</v>
      </c>
      <c r="E91" s="173">
        <f t="shared" si="16"/>
        <v>353555</v>
      </c>
      <c r="F91" s="173">
        <f t="shared" si="17"/>
        <v>1007566</v>
      </c>
      <c r="G91" s="174">
        <f t="shared" si="18"/>
        <v>2162280</v>
      </c>
      <c r="H91" s="172">
        <f t="shared" si="28"/>
        <v>365121</v>
      </c>
      <c r="I91" s="173">
        <f t="shared" si="19"/>
        <v>275487</v>
      </c>
      <c r="J91" s="173">
        <f t="shared" si="20"/>
        <v>265644</v>
      </c>
      <c r="K91" s="173">
        <f t="shared" si="21"/>
        <v>883880</v>
      </c>
      <c r="L91" s="174">
        <f t="shared" si="22"/>
        <v>1790132</v>
      </c>
      <c r="M91" s="172">
        <v>43790</v>
      </c>
      <c r="N91" s="173">
        <v>27266</v>
      </c>
      <c r="O91" s="173">
        <v>13775</v>
      </c>
      <c r="P91" s="173">
        <v>119069</v>
      </c>
      <c r="Q91" s="174">
        <v>203900</v>
      </c>
      <c r="R91" s="172">
        <v>20931</v>
      </c>
      <c r="S91" s="173">
        <v>18339</v>
      </c>
      <c r="T91" s="173">
        <v>16782</v>
      </c>
      <c r="U91" s="173">
        <v>188731</v>
      </c>
      <c r="V91" s="174">
        <v>244783</v>
      </c>
      <c r="W91" s="172">
        <v>18762</v>
      </c>
      <c r="X91" s="173">
        <v>17818</v>
      </c>
      <c r="Y91" s="173">
        <v>28184</v>
      </c>
      <c r="Z91" s="173">
        <v>35079</v>
      </c>
      <c r="AA91" s="174">
        <v>99843</v>
      </c>
      <c r="AB91" s="172">
        <v>84536</v>
      </c>
      <c r="AC91" s="173">
        <v>50991</v>
      </c>
      <c r="AD91" s="173">
        <v>50508</v>
      </c>
      <c r="AE91" s="173">
        <v>222387</v>
      </c>
      <c r="AF91" s="174">
        <v>408422</v>
      </c>
      <c r="AG91" s="172">
        <v>62928</v>
      </c>
      <c r="AH91" s="173">
        <v>59685</v>
      </c>
      <c r="AI91" s="173">
        <v>65343</v>
      </c>
      <c r="AJ91" s="173">
        <v>126822</v>
      </c>
      <c r="AK91" s="174">
        <v>314778</v>
      </c>
      <c r="AL91" s="172">
        <v>29333</v>
      </c>
      <c r="AM91" s="173">
        <v>29220</v>
      </c>
      <c r="AN91" s="173">
        <v>18042</v>
      </c>
      <c r="AO91" s="173">
        <v>17675</v>
      </c>
      <c r="AP91" s="174">
        <v>94270</v>
      </c>
      <c r="AQ91" s="172">
        <v>34845</v>
      </c>
      <c r="AR91" s="173">
        <v>22563</v>
      </c>
      <c r="AS91" s="173">
        <v>21597</v>
      </c>
      <c r="AT91" s="173">
        <v>119991</v>
      </c>
      <c r="AU91" s="174">
        <v>198996</v>
      </c>
      <c r="AV91" s="172">
        <v>10833</v>
      </c>
      <c r="AW91" s="173">
        <v>9751</v>
      </c>
      <c r="AX91" s="173">
        <v>7347</v>
      </c>
      <c r="AY91" s="173">
        <v>1540</v>
      </c>
      <c r="AZ91" s="174">
        <v>29471</v>
      </c>
      <c r="BA91" s="172">
        <v>59163</v>
      </c>
      <c r="BB91" s="173">
        <v>39854</v>
      </c>
      <c r="BC91" s="173">
        <v>44066</v>
      </c>
      <c r="BD91" s="173">
        <v>52586</v>
      </c>
      <c r="BE91" s="174">
        <v>195669</v>
      </c>
      <c r="BF91" s="172">
        <f t="shared" si="29"/>
        <v>78182</v>
      </c>
      <c r="BG91" s="173">
        <f t="shared" si="23"/>
        <v>82369</v>
      </c>
      <c r="BH91" s="173">
        <f t="shared" si="24"/>
        <v>87911</v>
      </c>
      <c r="BI91" s="173">
        <f t="shared" si="25"/>
        <v>123686</v>
      </c>
      <c r="BJ91" s="174">
        <f t="shared" si="26"/>
        <v>372148</v>
      </c>
      <c r="BK91" s="172">
        <v>4714</v>
      </c>
      <c r="BL91" s="173">
        <v>5244</v>
      </c>
      <c r="BM91" s="173">
        <v>2448</v>
      </c>
      <c r="BN91" s="173">
        <v>10071</v>
      </c>
      <c r="BO91" s="174">
        <v>22477</v>
      </c>
      <c r="BP91" s="172">
        <v>22367</v>
      </c>
      <c r="BQ91" s="173">
        <v>18354</v>
      </c>
      <c r="BR91" s="173">
        <v>25563</v>
      </c>
      <c r="BS91" s="173">
        <v>58810</v>
      </c>
      <c r="BT91" s="174">
        <v>125094</v>
      </c>
      <c r="BU91" s="172">
        <v>42581</v>
      </c>
      <c r="BV91" s="173">
        <v>54907</v>
      </c>
      <c r="BW91" s="173">
        <v>59900</v>
      </c>
      <c r="BX91" s="173">
        <v>38797</v>
      </c>
      <c r="BY91" s="174">
        <v>196185</v>
      </c>
      <c r="BZ91" s="172">
        <v>8520</v>
      </c>
      <c r="CA91" s="173">
        <v>3864</v>
      </c>
      <c r="CB91" s="173"/>
      <c r="CC91" s="173">
        <v>16008</v>
      </c>
      <c r="CD91" s="174">
        <v>28392</v>
      </c>
      <c r="CE91" s="172"/>
      <c r="CF91" s="173"/>
      <c r="CG91" s="173"/>
      <c r="CH91" s="173"/>
      <c r="CI91" s="174"/>
    </row>
    <row r="92" spans="1:87">
      <c r="A92" s="170"/>
      <c r="B92" s="171" t="s">
        <v>27</v>
      </c>
      <c r="C92" s="172">
        <f t="shared" si="27"/>
        <v>676</v>
      </c>
      <c r="D92" s="173">
        <f t="shared" si="15"/>
        <v>54330</v>
      </c>
      <c r="E92" s="173">
        <f t="shared" si="16"/>
        <v>243905</v>
      </c>
      <c r="F92" s="173">
        <f t="shared" si="17"/>
        <v>89528</v>
      </c>
      <c r="G92" s="174">
        <f t="shared" si="18"/>
        <v>388439</v>
      </c>
      <c r="H92" s="172">
        <f t="shared" si="28"/>
        <v>676</v>
      </c>
      <c r="I92" s="173">
        <f t="shared" si="19"/>
        <v>53654</v>
      </c>
      <c r="J92" s="173">
        <f t="shared" si="20"/>
        <v>240957</v>
      </c>
      <c r="K92" s="173">
        <f t="shared" si="21"/>
        <v>82614</v>
      </c>
      <c r="L92" s="174">
        <f t="shared" si="22"/>
        <v>377901</v>
      </c>
      <c r="M92" s="172"/>
      <c r="N92" s="173">
        <v>2360</v>
      </c>
      <c r="O92" s="173">
        <v>27390</v>
      </c>
      <c r="P92" s="173">
        <v>10417</v>
      </c>
      <c r="Q92" s="174">
        <v>40167</v>
      </c>
      <c r="R92" s="172"/>
      <c r="S92" s="173">
        <v>2231</v>
      </c>
      <c r="T92" s="173">
        <v>20137</v>
      </c>
      <c r="U92" s="173">
        <v>9010</v>
      </c>
      <c r="V92" s="174">
        <v>31378</v>
      </c>
      <c r="W92" s="172">
        <v>676</v>
      </c>
      <c r="X92" s="173">
        <v>11793</v>
      </c>
      <c r="Y92" s="173">
        <v>77741</v>
      </c>
      <c r="Z92" s="173">
        <v>21320</v>
      </c>
      <c r="AA92" s="174">
        <v>111530</v>
      </c>
      <c r="AB92" s="172"/>
      <c r="AC92" s="173">
        <v>10352</v>
      </c>
      <c r="AD92" s="173">
        <v>15393</v>
      </c>
      <c r="AE92" s="173">
        <v>3184</v>
      </c>
      <c r="AF92" s="174">
        <v>28929</v>
      </c>
      <c r="AG92" s="172"/>
      <c r="AH92" s="173">
        <v>26918</v>
      </c>
      <c r="AI92" s="173">
        <v>64772</v>
      </c>
      <c r="AJ92" s="173">
        <v>27214</v>
      </c>
      <c r="AK92" s="174">
        <v>118904</v>
      </c>
      <c r="AL92" s="172"/>
      <c r="AM92" s="173"/>
      <c r="AN92" s="173"/>
      <c r="AO92" s="173"/>
      <c r="AP92" s="174"/>
      <c r="AQ92" s="172"/>
      <c r="AR92" s="173"/>
      <c r="AS92" s="173">
        <v>17327</v>
      </c>
      <c r="AT92" s="173">
        <v>2669</v>
      </c>
      <c r="AU92" s="174">
        <v>19996</v>
      </c>
      <c r="AV92" s="172"/>
      <c r="AW92" s="173"/>
      <c r="AX92" s="173">
        <v>2844</v>
      </c>
      <c r="AY92" s="173">
        <v>2054</v>
      </c>
      <c r="AZ92" s="174">
        <v>4898</v>
      </c>
      <c r="BA92" s="172"/>
      <c r="BB92" s="173"/>
      <c r="BC92" s="173">
        <v>15353</v>
      </c>
      <c r="BD92" s="173">
        <v>6746</v>
      </c>
      <c r="BE92" s="174">
        <v>22099</v>
      </c>
      <c r="BF92" s="172">
        <f t="shared" si="29"/>
        <v>0</v>
      </c>
      <c r="BG92" s="173">
        <f t="shared" si="23"/>
        <v>676</v>
      </c>
      <c r="BH92" s="173">
        <f t="shared" si="24"/>
        <v>2948</v>
      </c>
      <c r="BI92" s="173">
        <f t="shared" si="25"/>
        <v>6914</v>
      </c>
      <c r="BJ92" s="174">
        <f t="shared" si="26"/>
        <v>10538</v>
      </c>
      <c r="BK92" s="172"/>
      <c r="BL92" s="173"/>
      <c r="BM92" s="173"/>
      <c r="BN92" s="173"/>
      <c r="BO92" s="174"/>
      <c r="BP92" s="172"/>
      <c r="BQ92" s="173">
        <v>676</v>
      </c>
      <c r="BR92" s="173">
        <v>1349</v>
      </c>
      <c r="BS92" s="173">
        <v>2727</v>
      </c>
      <c r="BT92" s="174">
        <v>4752</v>
      </c>
      <c r="BU92" s="172"/>
      <c r="BV92" s="173"/>
      <c r="BW92" s="173">
        <v>1599</v>
      </c>
      <c r="BX92" s="173">
        <v>4187</v>
      </c>
      <c r="BY92" s="174">
        <v>5786</v>
      </c>
      <c r="BZ92" s="172"/>
      <c r="CA92" s="173"/>
      <c r="CB92" s="173"/>
      <c r="CC92" s="173"/>
      <c r="CD92" s="174"/>
      <c r="CE92" s="172"/>
      <c r="CF92" s="173"/>
      <c r="CG92" s="173"/>
      <c r="CH92" s="173"/>
      <c r="CI92" s="174"/>
    </row>
    <row r="93" spans="1:87">
      <c r="A93" s="170"/>
      <c r="B93" s="171" t="s">
        <v>28</v>
      </c>
      <c r="C93" s="172">
        <f t="shared" si="27"/>
        <v>0</v>
      </c>
      <c r="D93" s="173">
        <f t="shared" si="15"/>
        <v>1580</v>
      </c>
      <c r="E93" s="173">
        <f t="shared" si="16"/>
        <v>150969</v>
      </c>
      <c r="F93" s="173">
        <f t="shared" si="17"/>
        <v>233287</v>
      </c>
      <c r="G93" s="174">
        <f t="shared" si="18"/>
        <v>385836</v>
      </c>
      <c r="H93" s="172">
        <f t="shared" si="28"/>
        <v>0</v>
      </c>
      <c r="I93" s="173">
        <f t="shared" si="19"/>
        <v>1580</v>
      </c>
      <c r="J93" s="173">
        <f t="shared" si="20"/>
        <v>150969</v>
      </c>
      <c r="K93" s="173">
        <f t="shared" si="21"/>
        <v>213616</v>
      </c>
      <c r="L93" s="174">
        <f t="shared" si="22"/>
        <v>366165</v>
      </c>
      <c r="M93" s="172"/>
      <c r="N93" s="173"/>
      <c r="O93" s="173">
        <v>17696</v>
      </c>
      <c r="P93" s="173">
        <v>21725</v>
      </c>
      <c r="Q93" s="174">
        <v>39421</v>
      </c>
      <c r="R93" s="172"/>
      <c r="S93" s="173"/>
      <c r="T93" s="173"/>
      <c r="U93" s="173"/>
      <c r="V93" s="174"/>
      <c r="W93" s="172"/>
      <c r="X93" s="173">
        <v>1580</v>
      </c>
      <c r="Y93" s="173">
        <v>40527</v>
      </c>
      <c r="Z93" s="173">
        <v>65728</v>
      </c>
      <c r="AA93" s="174">
        <v>107835</v>
      </c>
      <c r="AB93" s="172"/>
      <c r="AC93" s="173"/>
      <c r="AD93" s="173">
        <v>23463</v>
      </c>
      <c r="AE93" s="173">
        <v>14694</v>
      </c>
      <c r="AF93" s="174">
        <v>38157</v>
      </c>
      <c r="AG93" s="172"/>
      <c r="AH93" s="173"/>
      <c r="AI93" s="173">
        <v>39263</v>
      </c>
      <c r="AJ93" s="173">
        <v>59092</v>
      </c>
      <c r="AK93" s="174">
        <v>98355</v>
      </c>
      <c r="AL93" s="172"/>
      <c r="AM93" s="173"/>
      <c r="AN93" s="173">
        <v>2528</v>
      </c>
      <c r="AO93" s="173">
        <v>8532</v>
      </c>
      <c r="AP93" s="174">
        <v>11060</v>
      </c>
      <c r="AQ93" s="172"/>
      <c r="AR93" s="173"/>
      <c r="AS93" s="173"/>
      <c r="AT93" s="173"/>
      <c r="AU93" s="174"/>
      <c r="AV93" s="172"/>
      <c r="AW93" s="173"/>
      <c r="AX93" s="173"/>
      <c r="AY93" s="173">
        <v>8453</v>
      </c>
      <c r="AZ93" s="174">
        <v>8453</v>
      </c>
      <c r="BA93" s="172"/>
      <c r="BB93" s="173"/>
      <c r="BC93" s="173">
        <v>27492</v>
      </c>
      <c r="BD93" s="173">
        <v>35392</v>
      </c>
      <c r="BE93" s="174">
        <v>62884</v>
      </c>
      <c r="BF93" s="172">
        <f t="shared" si="29"/>
        <v>0</v>
      </c>
      <c r="BG93" s="173">
        <f t="shared" si="23"/>
        <v>0</v>
      </c>
      <c r="BH93" s="173">
        <f t="shared" si="24"/>
        <v>0</v>
      </c>
      <c r="BI93" s="173">
        <f t="shared" si="25"/>
        <v>19671</v>
      </c>
      <c r="BJ93" s="174">
        <f t="shared" si="26"/>
        <v>19671</v>
      </c>
      <c r="BK93" s="172"/>
      <c r="BL93" s="173"/>
      <c r="BM93" s="173"/>
      <c r="BN93" s="173"/>
      <c r="BO93" s="174"/>
      <c r="BP93" s="172"/>
      <c r="BQ93" s="173"/>
      <c r="BR93" s="173"/>
      <c r="BS93" s="173"/>
      <c r="BT93" s="174"/>
      <c r="BU93" s="172"/>
      <c r="BV93" s="173"/>
      <c r="BW93" s="173"/>
      <c r="BX93" s="173">
        <v>19671</v>
      </c>
      <c r="BY93" s="174">
        <v>19671</v>
      </c>
      <c r="BZ93" s="172"/>
      <c r="CA93" s="173"/>
      <c r="CB93" s="173"/>
      <c r="CC93" s="173"/>
      <c r="CD93" s="174"/>
      <c r="CE93" s="172"/>
      <c r="CF93" s="173"/>
      <c r="CG93" s="173"/>
      <c r="CH93" s="173"/>
      <c r="CI93" s="174"/>
    </row>
    <row r="94" s="147" customFormat="1" ht="14.6" spans="1:87">
      <c r="A94" s="175" t="s">
        <v>84</v>
      </c>
      <c r="B94" s="176"/>
      <c r="C94" s="177">
        <f t="shared" si="27"/>
        <v>443979</v>
      </c>
      <c r="D94" s="178">
        <f t="shared" si="15"/>
        <v>413766</v>
      </c>
      <c r="E94" s="178">
        <f t="shared" si="16"/>
        <v>748429</v>
      </c>
      <c r="F94" s="178">
        <f t="shared" si="17"/>
        <v>1330381</v>
      </c>
      <c r="G94" s="179">
        <f t="shared" si="18"/>
        <v>2936555</v>
      </c>
      <c r="H94" s="177">
        <f t="shared" si="28"/>
        <v>365797</v>
      </c>
      <c r="I94" s="178">
        <f t="shared" si="19"/>
        <v>330721</v>
      </c>
      <c r="J94" s="178">
        <f t="shared" si="20"/>
        <v>657570</v>
      </c>
      <c r="K94" s="178">
        <f t="shared" si="21"/>
        <v>1180110</v>
      </c>
      <c r="L94" s="179">
        <f t="shared" si="22"/>
        <v>2534198</v>
      </c>
      <c r="M94" s="177">
        <v>43790</v>
      </c>
      <c r="N94" s="178">
        <v>29626</v>
      </c>
      <c r="O94" s="178">
        <v>58861</v>
      </c>
      <c r="P94" s="178">
        <v>151211</v>
      </c>
      <c r="Q94" s="179">
        <v>283488</v>
      </c>
      <c r="R94" s="177">
        <v>20931</v>
      </c>
      <c r="S94" s="178">
        <v>20570</v>
      </c>
      <c r="T94" s="178">
        <v>36919</v>
      </c>
      <c r="U94" s="178">
        <v>197741</v>
      </c>
      <c r="V94" s="179">
        <v>276161</v>
      </c>
      <c r="W94" s="177">
        <v>19438</v>
      </c>
      <c r="X94" s="178">
        <v>31191</v>
      </c>
      <c r="Y94" s="178">
        <v>146452</v>
      </c>
      <c r="Z94" s="178">
        <v>122127</v>
      </c>
      <c r="AA94" s="179">
        <v>319208</v>
      </c>
      <c r="AB94" s="177">
        <v>84536</v>
      </c>
      <c r="AC94" s="178">
        <v>61343</v>
      </c>
      <c r="AD94" s="178">
        <v>89364</v>
      </c>
      <c r="AE94" s="178">
        <v>240265</v>
      </c>
      <c r="AF94" s="179">
        <v>475508</v>
      </c>
      <c r="AG94" s="177">
        <v>62928</v>
      </c>
      <c r="AH94" s="178">
        <v>86603</v>
      </c>
      <c r="AI94" s="178">
        <v>169378</v>
      </c>
      <c r="AJ94" s="178">
        <v>213128</v>
      </c>
      <c r="AK94" s="179">
        <v>532037</v>
      </c>
      <c r="AL94" s="177">
        <v>29333</v>
      </c>
      <c r="AM94" s="178">
        <v>29220</v>
      </c>
      <c r="AN94" s="178">
        <v>20570</v>
      </c>
      <c r="AO94" s="178">
        <v>26207</v>
      </c>
      <c r="AP94" s="179">
        <v>105330</v>
      </c>
      <c r="AQ94" s="177">
        <v>34845</v>
      </c>
      <c r="AR94" s="178">
        <v>22563</v>
      </c>
      <c r="AS94" s="178">
        <v>38924</v>
      </c>
      <c r="AT94" s="178">
        <v>122660</v>
      </c>
      <c r="AU94" s="179">
        <v>218992</v>
      </c>
      <c r="AV94" s="177">
        <v>10833</v>
      </c>
      <c r="AW94" s="178">
        <v>9751</v>
      </c>
      <c r="AX94" s="178">
        <v>10191</v>
      </c>
      <c r="AY94" s="178">
        <v>12047</v>
      </c>
      <c r="AZ94" s="179">
        <v>42822</v>
      </c>
      <c r="BA94" s="177">
        <v>59163</v>
      </c>
      <c r="BB94" s="178">
        <v>39854</v>
      </c>
      <c r="BC94" s="178">
        <v>86911</v>
      </c>
      <c r="BD94" s="178">
        <v>94724</v>
      </c>
      <c r="BE94" s="179">
        <v>280652</v>
      </c>
      <c r="BF94" s="177">
        <f t="shared" si="29"/>
        <v>78182</v>
      </c>
      <c r="BG94" s="178">
        <f t="shared" si="23"/>
        <v>83045</v>
      </c>
      <c r="BH94" s="178">
        <f t="shared" si="24"/>
        <v>90859</v>
      </c>
      <c r="BI94" s="178">
        <f t="shared" si="25"/>
        <v>150271</v>
      </c>
      <c r="BJ94" s="179">
        <f t="shared" si="26"/>
        <v>402357</v>
      </c>
      <c r="BK94" s="177">
        <v>4714</v>
      </c>
      <c r="BL94" s="178">
        <v>5244</v>
      </c>
      <c r="BM94" s="178">
        <v>2448</v>
      </c>
      <c r="BN94" s="178">
        <v>10071</v>
      </c>
      <c r="BO94" s="179">
        <v>22477</v>
      </c>
      <c r="BP94" s="177">
        <v>22367</v>
      </c>
      <c r="BQ94" s="178">
        <v>19030</v>
      </c>
      <c r="BR94" s="178">
        <v>26912</v>
      </c>
      <c r="BS94" s="178">
        <v>61537</v>
      </c>
      <c r="BT94" s="179">
        <v>129846</v>
      </c>
      <c r="BU94" s="177">
        <v>42581</v>
      </c>
      <c r="BV94" s="178">
        <v>54907</v>
      </c>
      <c r="BW94" s="178">
        <v>61499</v>
      </c>
      <c r="BX94" s="178">
        <v>62655</v>
      </c>
      <c r="BY94" s="179">
        <v>221642</v>
      </c>
      <c r="BZ94" s="177">
        <v>8520</v>
      </c>
      <c r="CA94" s="178">
        <v>3864</v>
      </c>
      <c r="CB94" s="178"/>
      <c r="CC94" s="178">
        <v>16008</v>
      </c>
      <c r="CD94" s="179">
        <v>28392</v>
      </c>
      <c r="CE94" s="177"/>
      <c r="CF94" s="178"/>
      <c r="CG94" s="178"/>
      <c r="CH94" s="178"/>
      <c r="CI94" s="179"/>
    </row>
    <row r="95" spans="1:87">
      <c r="A95" s="170" t="s">
        <v>85</v>
      </c>
      <c r="B95" s="171" t="s">
        <v>26</v>
      </c>
      <c r="C95" s="172">
        <f t="shared" si="27"/>
        <v>0</v>
      </c>
      <c r="D95" s="173">
        <f t="shared" si="15"/>
        <v>0</v>
      </c>
      <c r="E95" s="173">
        <f t="shared" si="16"/>
        <v>1596867</v>
      </c>
      <c r="F95" s="173">
        <f t="shared" si="17"/>
        <v>874920</v>
      </c>
      <c r="G95" s="174">
        <f t="shared" si="18"/>
        <v>2471787</v>
      </c>
      <c r="H95" s="172">
        <f t="shared" si="28"/>
        <v>0</v>
      </c>
      <c r="I95" s="173">
        <f t="shared" si="19"/>
        <v>0</v>
      </c>
      <c r="J95" s="173">
        <f t="shared" si="20"/>
        <v>1484052</v>
      </c>
      <c r="K95" s="173">
        <f t="shared" si="21"/>
        <v>813579</v>
      </c>
      <c r="L95" s="174">
        <f t="shared" si="22"/>
        <v>2297631</v>
      </c>
      <c r="M95" s="172"/>
      <c r="N95" s="173"/>
      <c r="O95" s="173">
        <v>149592</v>
      </c>
      <c r="P95" s="173">
        <v>83766</v>
      </c>
      <c r="Q95" s="174">
        <v>233358</v>
      </c>
      <c r="R95" s="172"/>
      <c r="S95" s="173"/>
      <c r="T95" s="173">
        <v>235497</v>
      </c>
      <c r="U95" s="173">
        <v>129099</v>
      </c>
      <c r="V95" s="174">
        <v>364596</v>
      </c>
      <c r="W95" s="172"/>
      <c r="X95" s="173"/>
      <c r="Y95" s="173">
        <v>149592</v>
      </c>
      <c r="Z95" s="173">
        <v>142347</v>
      </c>
      <c r="AA95" s="174">
        <v>291939</v>
      </c>
      <c r="AB95" s="172"/>
      <c r="AC95" s="173"/>
      <c r="AD95" s="173">
        <v>440496</v>
      </c>
      <c r="AE95" s="173">
        <v>93564</v>
      </c>
      <c r="AF95" s="174">
        <v>534060</v>
      </c>
      <c r="AG95" s="172"/>
      <c r="AH95" s="173"/>
      <c r="AI95" s="173">
        <v>382950</v>
      </c>
      <c r="AJ95" s="173">
        <v>55269</v>
      </c>
      <c r="AK95" s="174">
        <v>438219</v>
      </c>
      <c r="AL95" s="172"/>
      <c r="AM95" s="173"/>
      <c r="AN95" s="173">
        <v>39054</v>
      </c>
      <c r="AO95" s="173">
        <v>26910</v>
      </c>
      <c r="AP95" s="174">
        <v>65964</v>
      </c>
      <c r="AQ95" s="172"/>
      <c r="AR95" s="173"/>
      <c r="AS95" s="173">
        <v>86871</v>
      </c>
      <c r="AT95" s="173">
        <v>35466</v>
      </c>
      <c r="AU95" s="174">
        <v>122337</v>
      </c>
      <c r="AV95" s="172"/>
      <c r="AW95" s="173"/>
      <c r="AX95" s="173"/>
      <c r="AY95" s="173">
        <v>21252</v>
      </c>
      <c r="AZ95" s="174">
        <v>21252</v>
      </c>
      <c r="BA95" s="172"/>
      <c r="BB95" s="173"/>
      <c r="BC95" s="173"/>
      <c r="BD95" s="173">
        <v>225906</v>
      </c>
      <c r="BE95" s="174">
        <v>225906</v>
      </c>
      <c r="BF95" s="172">
        <f t="shared" si="29"/>
        <v>0</v>
      </c>
      <c r="BG95" s="173">
        <f t="shared" si="23"/>
        <v>0</v>
      </c>
      <c r="BH95" s="173">
        <f t="shared" si="24"/>
        <v>112815</v>
      </c>
      <c r="BI95" s="173">
        <f t="shared" si="25"/>
        <v>61341</v>
      </c>
      <c r="BJ95" s="174">
        <f t="shared" si="26"/>
        <v>174156</v>
      </c>
      <c r="BK95" s="172"/>
      <c r="BL95" s="173"/>
      <c r="BM95" s="173">
        <v>15387</v>
      </c>
      <c r="BN95" s="173">
        <v>10488</v>
      </c>
      <c r="BO95" s="174">
        <v>25875</v>
      </c>
      <c r="BP95" s="172"/>
      <c r="BQ95" s="173"/>
      <c r="BR95" s="173"/>
      <c r="BS95" s="173">
        <v>5244</v>
      </c>
      <c r="BT95" s="174">
        <v>5244</v>
      </c>
      <c r="BU95" s="172"/>
      <c r="BV95" s="173"/>
      <c r="BW95" s="173">
        <v>75831</v>
      </c>
      <c r="BX95" s="173">
        <v>36570</v>
      </c>
      <c r="BY95" s="174">
        <v>112401</v>
      </c>
      <c r="BZ95" s="172"/>
      <c r="CA95" s="173"/>
      <c r="CB95" s="173">
        <v>14214</v>
      </c>
      <c r="CC95" s="173">
        <v>9039</v>
      </c>
      <c r="CD95" s="174">
        <v>23253</v>
      </c>
      <c r="CE95" s="172"/>
      <c r="CF95" s="173"/>
      <c r="CG95" s="173">
        <v>7383</v>
      </c>
      <c r="CH95" s="173"/>
      <c r="CI95" s="174">
        <v>7383</v>
      </c>
    </row>
    <row r="96" s="147" customFormat="1" ht="14.6" spans="1:87">
      <c r="A96" s="175" t="s">
        <v>86</v>
      </c>
      <c r="B96" s="176"/>
      <c r="C96" s="177">
        <f t="shared" si="27"/>
        <v>0</v>
      </c>
      <c r="D96" s="178">
        <f t="shared" si="15"/>
        <v>0</v>
      </c>
      <c r="E96" s="178">
        <f t="shared" si="16"/>
        <v>1596867</v>
      </c>
      <c r="F96" s="178">
        <f t="shared" si="17"/>
        <v>874920</v>
      </c>
      <c r="G96" s="179">
        <f t="shared" si="18"/>
        <v>2471787</v>
      </c>
      <c r="H96" s="177">
        <f t="shared" si="28"/>
        <v>0</v>
      </c>
      <c r="I96" s="178">
        <f t="shared" si="19"/>
        <v>0</v>
      </c>
      <c r="J96" s="178">
        <f t="shared" si="20"/>
        <v>1484052</v>
      </c>
      <c r="K96" s="178">
        <f t="shared" si="21"/>
        <v>813579</v>
      </c>
      <c r="L96" s="179">
        <f t="shared" si="22"/>
        <v>2297631</v>
      </c>
      <c r="M96" s="177"/>
      <c r="N96" s="178"/>
      <c r="O96" s="178">
        <v>149592</v>
      </c>
      <c r="P96" s="178">
        <v>83766</v>
      </c>
      <c r="Q96" s="179">
        <v>233358</v>
      </c>
      <c r="R96" s="177"/>
      <c r="S96" s="178"/>
      <c r="T96" s="178">
        <v>235497</v>
      </c>
      <c r="U96" s="178">
        <v>129099</v>
      </c>
      <c r="V96" s="179">
        <v>364596</v>
      </c>
      <c r="W96" s="177"/>
      <c r="X96" s="178"/>
      <c r="Y96" s="178">
        <v>149592</v>
      </c>
      <c r="Z96" s="178">
        <v>142347</v>
      </c>
      <c r="AA96" s="179">
        <v>291939</v>
      </c>
      <c r="AB96" s="177"/>
      <c r="AC96" s="178"/>
      <c r="AD96" s="178">
        <v>440496</v>
      </c>
      <c r="AE96" s="178">
        <v>93564</v>
      </c>
      <c r="AF96" s="179">
        <v>534060</v>
      </c>
      <c r="AG96" s="177"/>
      <c r="AH96" s="178"/>
      <c r="AI96" s="178">
        <v>382950</v>
      </c>
      <c r="AJ96" s="178">
        <v>55269</v>
      </c>
      <c r="AK96" s="179">
        <v>438219</v>
      </c>
      <c r="AL96" s="177"/>
      <c r="AM96" s="178"/>
      <c r="AN96" s="178">
        <v>39054</v>
      </c>
      <c r="AO96" s="178">
        <v>26910</v>
      </c>
      <c r="AP96" s="179">
        <v>65964</v>
      </c>
      <c r="AQ96" s="177"/>
      <c r="AR96" s="178"/>
      <c r="AS96" s="178">
        <v>86871</v>
      </c>
      <c r="AT96" s="178">
        <v>35466</v>
      </c>
      <c r="AU96" s="179">
        <v>122337</v>
      </c>
      <c r="AV96" s="177"/>
      <c r="AW96" s="178"/>
      <c r="AX96" s="178"/>
      <c r="AY96" s="178">
        <v>21252</v>
      </c>
      <c r="AZ96" s="179">
        <v>21252</v>
      </c>
      <c r="BA96" s="177"/>
      <c r="BB96" s="178"/>
      <c r="BC96" s="178"/>
      <c r="BD96" s="178">
        <v>225906</v>
      </c>
      <c r="BE96" s="179">
        <v>225906</v>
      </c>
      <c r="BF96" s="177">
        <f t="shared" si="29"/>
        <v>0</v>
      </c>
      <c r="BG96" s="178">
        <f t="shared" si="23"/>
        <v>0</v>
      </c>
      <c r="BH96" s="178">
        <f t="shared" si="24"/>
        <v>112815</v>
      </c>
      <c r="BI96" s="178">
        <f t="shared" si="25"/>
        <v>61341</v>
      </c>
      <c r="BJ96" s="179">
        <f t="shared" si="26"/>
        <v>174156</v>
      </c>
      <c r="BK96" s="177"/>
      <c r="BL96" s="178"/>
      <c r="BM96" s="178">
        <v>15387</v>
      </c>
      <c r="BN96" s="178">
        <v>10488</v>
      </c>
      <c r="BO96" s="179">
        <v>25875</v>
      </c>
      <c r="BP96" s="177"/>
      <c r="BQ96" s="178"/>
      <c r="BR96" s="178"/>
      <c r="BS96" s="178">
        <v>5244</v>
      </c>
      <c r="BT96" s="179">
        <v>5244</v>
      </c>
      <c r="BU96" s="177"/>
      <c r="BV96" s="178"/>
      <c r="BW96" s="178">
        <v>75831</v>
      </c>
      <c r="BX96" s="178">
        <v>36570</v>
      </c>
      <c r="BY96" s="179">
        <v>112401</v>
      </c>
      <c r="BZ96" s="177"/>
      <c r="CA96" s="178"/>
      <c r="CB96" s="178">
        <v>14214</v>
      </c>
      <c r="CC96" s="178">
        <v>9039</v>
      </c>
      <c r="CD96" s="179">
        <v>23253</v>
      </c>
      <c r="CE96" s="177"/>
      <c r="CF96" s="178"/>
      <c r="CG96" s="178">
        <v>7383</v>
      </c>
      <c r="CH96" s="178"/>
      <c r="CI96" s="179">
        <v>7383</v>
      </c>
    </row>
    <row r="97" spans="1:87">
      <c r="A97" s="170" t="s">
        <v>87</v>
      </c>
      <c r="B97" s="171" t="s">
        <v>26</v>
      </c>
      <c r="C97" s="172">
        <f t="shared" si="27"/>
        <v>358357</v>
      </c>
      <c r="D97" s="173">
        <f t="shared" si="15"/>
        <v>816448</v>
      </c>
      <c r="E97" s="173">
        <f t="shared" si="16"/>
        <v>637489</v>
      </c>
      <c r="F97" s="173">
        <f t="shared" si="17"/>
        <v>559885</v>
      </c>
      <c r="G97" s="174">
        <f t="shared" si="18"/>
        <v>2372179</v>
      </c>
      <c r="H97" s="172">
        <f t="shared" si="28"/>
        <v>279299</v>
      </c>
      <c r="I97" s="173">
        <f t="shared" si="19"/>
        <v>792133</v>
      </c>
      <c r="J97" s="173">
        <f t="shared" si="20"/>
        <v>596006</v>
      </c>
      <c r="K97" s="173">
        <f t="shared" si="21"/>
        <v>485589</v>
      </c>
      <c r="L97" s="174">
        <f t="shared" si="22"/>
        <v>2153027</v>
      </c>
      <c r="M97" s="172">
        <v>32442</v>
      </c>
      <c r="N97" s="173">
        <v>68398</v>
      </c>
      <c r="O97" s="173">
        <v>37162</v>
      </c>
      <c r="P97" s="173">
        <v>44216</v>
      </c>
      <c r="Q97" s="174">
        <v>182218</v>
      </c>
      <c r="R97" s="172">
        <v>32722</v>
      </c>
      <c r="S97" s="173">
        <v>41387</v>
      </c>
      <c r="T97" s="173">
        <v>24914</v>
      </c>
      <c r="U97" s="173">
        <v>21714</v>
      </c>
      <c r="V97" s="174">
        <v>120737</v>
      </c>
      <c r="W97" s="172">
        <v>4560</v>
      </c>
      <c r="X97" s="173">
        <v>72174</v>
      </c>
      <c r="Y97" s="173">
        <v>22324</v>
      </c>
      <c r="Z97" s="173">
        <v>22910</v>
      </c>
      <c r="AA97" s="174">
        <v>121968</v>
      </c>
      <c r="AB97" s="172">
        <v>80207</v>
      </c>
      <c r="AC97" s="173">
        <v>190994</v>
      </c>
      <c r="AD97" s="173">
        <v>180167</v>
      </c>
      <c r="AE97" s="173">
        <v>126624</v>
      </c>
      <c r="AF97" s="174">
        <v>577992</v>
      </c>
      <c r="AG97" s="172">
        <v>46789</v>
      </c>
      <c r="AH97" s="173">
        <v>206617</v>
      </c>
      <c r="AI97" s="173">
        <v>118006</v>
      </c>
      <c r="AJ97" s="173">
        <v>92868</v>
      </c>
      <c r="AK97" s="174">
        <v>464280</v>
      </c>
      <c r="AL97" s="172">
        <v>8457</v>
      </c>
      <c r="AM97" s="173">
        <v>19549</v>
      </c>
      <c r="AN97" s="173">
        <v>10050</v>
      </c>
      <c r="AO97" s="173">
        <v>11913</v>
      </c>
      <c r="AP97" s="174">
        <v>49969</v>
      </c>
      <c r="AQ97" s="172">
        <v>31188</v>
      </c>
      <c r="AR97" s="173">
        <v>156376</v>
      </c>
      <c r="AS97" s="173">
        <v>73926</v>
      </c>
      <c r="AT97" s="173">
        <v>46117</v>
      </c>
      <c r="AU97" s="174">
        <v>307607</v>
      </c>
      <c r="AV97" s="172">
        <v>6612</v>
      </c>
      <c r="AW97" s="173">
        <v>7002</v>
      </c>
      <c r="AX97" s="173">
        <v>14731</v>
      </c>
      <c r="AY97" s="173">
        <v>11549</v>
      </c>
      <c r="AZ97" s="174">
        <v>39894</v>
      </c>
      <c r="BA97" s="172">
        <v>36322</v>
      </c>
      <c r="BB97" s="173">
        <v>29636</v>
      </c>
      <c r="BC97" s="173">
        <v>114726</v>
      </c>
      <c r="BD97" s="173">
        <v>107678</v>
      </c>
      <c r="BE97" s="174">
        <v>288362</v>
      </c>
      <c r="BF97" s="172">
        <f t="shared" si="29"/>
        <v>79058</v>
      </c>
      <c r="BG97" s="173">
        <f t="shared" si="23"/>
        <v>24315</v>
      </c>
      <c r="BH97" s="173">
        <f t="shared" si="24"/>
        <v>41483</v>
      </c>
      <c r="BI97" s="173">
        <f t="shared" si="25"/>
        <v>74296</v>
      </c>
      <c r="BJ97" s="174">
        <f t="shared" si="26"/>
        <v>219152</v>
      </c>
      <c r="BK97" s="172">
        <v>13310</v>
      </c>
      <c r="BL97" s="173">
        <v>499</v>
      </c>
      <c r="BM97" s="173">
        <v>414</v>
      </c>
      <c r="BN97" s="173">
        <v>3718</v>
      </c>
      <c r="BO97" s="174">
        <v>17941</v>
      </c>
      <c r="BP97" s="172">
        <v>42923</v>
      </c>
      <c r="BQ97" s="173">
        <v>7197</v>
      </c>
      <c r="BR97" s="173">
        <v>15157</v>
      </c>
      <c r="BS97" s="173">
        <v>25627</v>
      </c>
      <c r="BT97" s="174">
        <v>90904</v>
      </c>
      <c r="BU97" s="172">
        <v>16605</v>
      </c>
      <c r="BV97" s="173">
        <v>14825</v>
      </c>
      <c r="BW97" s="173">
        <v>22738</v>
      </c>
      <c r="BX97" s="173">
        <v>39044</v>
      </c>
      <c r="BY97" s="174">
        <v>93212</v>
      </c>
      <c r="BZ97" s="172">
        <v>1242</v>
      </c>
      <c r="CA97" s="173">
        <v>1794</v>
      </c>
      <c r="CB97" s="173">
        <v>1587</v>
      </c>
      <c r="CC97" s="173">
        <v>1778</v>
      </c>
      <c r="CD97" s="174">
        <v>6401</v>
      </c>
      <c r="CE97" s="172">
        <v>4978</v>
      </c>
      <c r="CF97" s="173"/>
      <c r="CG97" s="173">
        <v>1587</v>
      </c>
      <c r="CH97" s="173">
        <v>4129</v>
      </c>
      <c r="CI97" s="174">
        <v>10694</v>
      </c>
    </row>
    <row r="98" spans="1:87">
      <c r="A98" s="170"/>
      <c r="B98" s="171" t="s">
        <v>27</v>
      </c>
      <c r="C98" s="172">
        <f t="shared" si="27"/>
        <v>261</v>
      </c>
      <c r="D98" s="173">
        <f t="shared" si="15"/>
        <v>0</v>
      </c>
      <c r="E98" s="173">
        <f t="shared" si="16"/>
        <v>0</v>
      </c>
      <c r="F98" s="173">
        <f t="shared" si="17"/>
        <v>0</v>
      </c>
      <c r="G98" s="174">
        <f t="shared" si="18"/>
        <v>261</v>
      </c>
      <c r="H98" s="172">
        <f t="shared" si="28"/>
        <v>261</v>
      </c>
      <c r="I98" s="173">
        <f t="shared" si="19"/>
        <v>0</v>
      </c>
      <c r="J98" s="173">
        <f t="shared" si="20"/>
        <v>0</v>
      </c>
      <c r="K98" s="173">
        <f t="shared" si="21"/>
        <v>0</v>
      </c>
      <c r="L98" s="174">
        <f t="shared" si="22"/>
        <v>261</v>
      </c>
      <c r="M98" s="172"/>
      <c r="N98" s="173"/>
      <c r="O98" s="173"/>
      <c r="P98" s="173"/>
      <c r="Q98" s="174"/>
      <c r="R98" s="172"/>
      <c r="S98" s="173"/>
      <c r="T98" s="173"/>
      <c r="U98" s="173"/>
      <c r="V98" s="174"/>
      <c r="W98" s="172"/>
      <c r="X98" s="173"/>
      <c r="Y98" s="173"/>
      <c r="Z98" s="173"/>
      <c r="AA98" s="174"/>
      <c r="AB98" s="172"/>
      <c r="AC98" s="173"/>
      <c r="AD98" s="173"/>
      <c r="AE98" s="173"/>
      <c r="AF98" s="174"/>
      <c r="AG98" s="172"/>
      <c r="AH98" s="173"/>
      <c r="AI98" s="173"/>
      <c r="AJ98" s="173"/>
      <c r="AK98" s="174"/>
      <c r="AL98" s="172"/>
      <c r="AM98" s="173"/>
      <c r="AN98" s="173"/>
      <c r="AO98" s="173"/>
      <c r="AP98" s="174"/>
      <c r="AQ98" s="172"/>
      <c r="AR98" s="173"/>
      <c r="AS98" s="173"/>
      <c r="AT98" s="173"/>
      <c r="AU98" s="174"/>
      <c r="AV98" s="172">
        <v>261</v>
      </c>
      <c r="AW98" s="173"/>
      <c r="AX98" s="173"/>
      <c r="AY98" s="173"/>
      <c r="AZ98" s="174">
        <v>261</v>
      </c>
      <c r="BA98" s="172"/>
      <c r="BB98" s="173"/>
      <c r="BC98" s="173"/>
      <c r="BD98" s="173"/>
      <c r="BE98" s="174"/>
      <c r="BF98" s="172">
        <f t="shared" si="29"/>
        <v>0</v>
      </c>
      <c r="BG98" s="173">
        <f t="shared" si="23"/>
        <v>0</v>
      </c>
      <c r="BH98" s="173">
        <f t="shared" si="24"/>
        <v>0</v>
      </c>
      <c r="BI98" s="173">
        <f t="shared" si="25"/>
        <v>0</v>
      </c>
      <c r="BJ98" s="174">
        <f t="shared" si="26"/>
        <v>0</v>
      </c>
      <c r="BK98" s="172"/>
      <c r="BL98" s="173"/>
      <c r="BM98" s="173"/>
      <c r="BN98" s="173"/>
      <c r="BO98" s="174"/>
      <c r="BP98" s="172"/>
      <c r="BQ98" s="173"/>
      <c r="BR98" s="173"/>
      <c r="BS98" s="173"/>
      <c r="BT98" s="174"/>
      <c r="BU98" s="172"/>
      <c r="BV98" s="173"/>
      <c r="BW98" s="173"/>
      <c r="BX98" s="173"/>
      <c r="BY98" s="174"/>
      <c r="BZ98" s="172"/>
      <c r="CA98" s="173"/>
      <c r="CB98" s="173"/>
      <c r="CC98" s="173"/>
      <c r="CD98" s="174"/>
      <c r="CE98" s="172"/>
      <c r="CF98" s="173"/>
      <c r="CG98" s="173"/>
      <c r="CH98" s="173"/>
      <c r="CI98" s="174"/>
    </row>
    <row r="99" s="147" customFormat="1" ht="14.6" spans="1:87">
      <c r="A99" s="175" t="s">
        <v>88</v>
      </c>
      <c r="B99" s="176"/>
      <c r="C99" s="177">
        <f t="shared" si="27"/>
        <v>358618</v>
      </c>
      <c r="D99" s="178">
        <f t="shared" si="15"/>
        <v>816448</v>
      </c>
      <c r="E99" s="178">
        <f t="shared" si="16"/>
        <v>637489</v>
      </c>
      <c r="F99" s="178">
        <f t="shared" si="17"/>
        <v>559885</v>
      </c>
      <c r="G99" s="179">
        <f t="shared" si="18"/>
        <v>2372440</v>
      </c>
      <c r="H99" s="177">
        <f t="shared" si="28"/>
        <v>279560</v>
      </c>
      <c r="I99" s="178">
        <f t="shared" si="19"/>
        <v>792133</v>
      </c>
      <c r="J99" s="178">
        <f t="shared" si="20"/>
        <v>596006</v>
      </c>
      <c r="K99" s="178">
        <f t="shared" si="21"/>
        <v>485589</v>
      </c>
      <c r="L99" s="179">
        <f t="shared" si="22"/>
        <v>2153288</v>
      </c>
      <c r="M99" s="177">
        <v>32442</v>
      </c>
      <c r="N99" s="178">
        <v>68398</v>
      </c>
      <c r="O99" s="178">
        <v>37162</v>
      </c>
      <c r="P99" s="178">
        <v>44216</v>
      </c>
      <c r="Q99" s="179">
        <v>182218</v>
      </c>
      <c r="R99" s="177">
        <v>32722</v>
      </c>
      <c r="S99" s="178">
        <v>41387</v>
      </c>
      <c r="T99" s="178">
        <v>24914</v>
      </c>
      <c r="U99" s="178">
        <v>21714</v>
      </c>
      <c r="V99" s="179">
        <v>120737</v>
      </c>
      <c r="W99" s="177">
        <v>4560</v>
      </c>
      <c r="X99" s="178">
        <v>72174</v>
      </c>
      <c r="Y99" s="178">
        <v>22324</v>
      </c>
      <c r="Z99" s="178">
        <v>22910</v>
      </c>
      <c r="AA99" s="179">
        <v>121968</v>
      </c>
      <c r="AB99" s="177">
        <v>80207</v>
      </c>
      <c r="AC99" s="178">
        <v>190994</v>
      </c>
      <c r="AD99" s="178">
        <v>180167</v>
      </c>
      <c r="AE99" s="178">
        <v>126624</v>
      </c>
      <c r="AF99" s="179">
        <v>577992</v>
      </c>
      <c r="AG99" s="177">
        <v>46789</v>
      </c>
      <c r="AH99" s="178">
        <v>206617</v>
      </c>
      <c r="AI99" s="178">
        <v>118006</v>
      </c>
      <c r="AJ99" s="178">
        <v>92868</v>
      </c>
      <c r="AK99" s="179">
        <v>464280</v>
      </c>
      <c r="AL99" s="177">
        <v>8457</v>
      </c>
      <c r="AM99" s="178">
        <v>19549</v>
      </c>
      <c r="AN99" s="178">
        <v>10050</v>
      </c>
      <c r="AO99" s="178">
        <v>11913</v>
      </c>
      <c r="AP99" s="179">
        <v>49969</v>
      </c>
      <c r="AQ99" s="177">
        <v>31188</v>
      </c>
      <c r="AR99" s="178">
        <v>156376</v>
      </c>
      <c r="AS99" s="178">
        <v>73926</v>
      </c>
      <c r="AT99" s="178">
        <v>46117</v>
      </c>
      <c r="AU99" s="179">
        <v>307607</v>
      </c>
      <c r="AV99" s="177">
        <v>6873</v>
      </c>
      <c r="AW99" s="178">
        <v>7002</v>
      </c>
      <c r="AX99" s="178">
        <v>14731</v>
      </c>
      <c r="AY99" s="178">
        <v>11549</v>
      </c>
      <c r="AZ99" s="179">
        <v>40155</v>
      </c>
      <c r="BA99" s="177">
        <v>36322</v>
      </c>
      <c r="BB99" s="178">
        <v>29636</v>
      </c>
      <c r="BC99" s="178">
        <v>114726</v>
      </c>
      <c r="BD99" s="178">
        <v>107678</v>
      </c>
      <c r="BE99" s="179">
        <v>288362</v>
      </c>
      <c r="BF99" s="177">
        <f t="shared" si="29"/>
        <v>79058</v>
      </c>
      <c r="BG99" s="178">
        <f t="shared" si="23"/>
        <v>24315</v>
      </c>
      <c r="BH99" s="178">
        <f t="shared" si="24"/>
        <v>41483</v>
      </c>
      <c r="BI99" s="178">
        <f t="shared" si="25"/>
        <v>74296</v>
      </c>
      <c r="BJ99" s="179">
        <f t="shared" si="26"/>
        <v>219152</v>
      </c>
      <c r="BK99" s="177">
        <v>13310</v>
      </c>
      <c r="BL99" s="178">
        <v>499</v>
      </c>
      <c r="BM99" s="178">
        <v>414</v>
      </c>
      <c r="BN99" s="178">
        <v>3718</v>
      </c>
      <c r="BO99" s="179">
        <v>17941</v>
      </c>
      <c r="BP99" s="177">
        <v>42923</v>
      </c>
      <c r="BQ99" s="178">
        <v>7197</v>
      </c>
      <c r="BR99" s="178">
        <v>15157</v>
      </c>
      <c r="BS99" s="178">
        <v>25627</v>
      </c>
      <c r="BT99" s="179">
        <v>90904</v>
      </c>
      <c r="BU99" s="177">
        <v>16605</v>
      </c>
      <c r="BV99" s="178">
        <v>14825</v>
      </c>
      <c r="BW99" s="178">
        <v>22738</v>
      </c>
      <c r="BX99" s="178">
        <v>39044</v>
      </c>
      <c r="BY99" s="179">
        <v>93212</v>
      </c>
      <c r="BZ99" s="177">
        <v>1242</v>
      </c>
      <c r="CA99" s="178">
        <v>1794</v>
      </c>
      <c r="CB99" s="178">
        <v>1587</v>
      </c>
      <c r="CC99" s="178">
        <v>1778</v>
      </c>
      <c r="CD99" s="179">
        <v>6401</v>
      </c>
      <c r="CE99" s="177">
        <v>4978</v>
      </c>
      <c r="CF99" s="178"/>
      <c r="CG99" s="178">
        <v>1587</v>
      </c>
      <c r="CH99" s="178">
        <v>4129</v>
      </c>
      <c r="CI99" s="179">
        <v>10694</v>
      </c>
    </row>
    <row r="100" spans="1:87">
      <c r="A100" s="170" t="s">
        <v>89</v>
      </c>
      <c r="B100" s="171" t="s">
        <v>28</v>
      </c>
      <c r="C100" s="172">
        <f t="shared" si="27"/>
        <v>62192</v>
      </c>
      <c r="D100" s="173">
        <f t="shared" si="15"/>
        <v>52026</v>
      </c>
      <c r="E100" s="173">
        <f t="shared" si="16"/>
        <v>588816</v>
      </c>
      <c r="F100" s="173">
        <f t="shared" si="17"/>
        <v>1557221</v>
      </c>
      <c r="G100" s="174">
        <f t="shared" si="18"/>
        <v>2260255</v>
      </c>
      <c r="H100" s="172">
        <f t="shared" si="28"/>
        <v>57109</v>
      </c>
      <c r="I100" s="173">
        <f t="shared" si="19"/>
        <v>44551</v>
      </c>
      <c r="J100" s="173">
        <f t="shared" si="20"/>
        <v>558175</v>
      </c>
      <c r="K100" s="173">
        <f t="shared" si="21"/>
        <v>1470419</v>
      </c>
      <c r="L100" s="174">
        <f t="shared" si="22"/>
        <v>2130254</v>
      </c>
      <c r="M100" s="172">
        <v>1495</v>
      </c>
      <c r="N100" s="173">
        <v>1794</v>
      </c>
      <c r="O100" s="173">
        <v>2990</v>
      </c>
      <c r="P100" s="173">
        <v>222562</v>
      </c>
      <c r="Q100" s="174">
        <v>228841</v>
      </c>
      <c r="R100" s="172">
        <v>8671</v>
      </c>
      <c r="S100" s="173">
        <v>8372</v>
      </c>
      <c r="T100" s="173">
        <v>78567</v>
      </c>
      <c r="U100" s="173">
        <v>143731</v>
      </c>
      <c r="V100" s="174">
        <v>239341</v>
      </c>
      <c r="W100" s="172">
        <v>20930</v>
      </c>
      <c r="X100" s="173">
        <v>17342</v>
      </c>
      <c r="Y100" s="173">
        <v>13156</v>
      </c>
      <c r="Z100" s="173">
        <v>109838</v>
      </c>
      <c r="AA100" s="174">
        <v>161266</v>
      </c>
      <c r="AB100" s="172">
        <v>13455</v>
      </c>
      <c r="AC100" s="173">
        <v>6279</v>
      </c>
      <c r="AD100" s="173">
        <v>212997</v>
      </c>
      <c r="AE100" s="173">
        <v>222948</v>
      </c>
      <c r="AF100" s="174">
        <v>455679</v>
      </c>
      <c r="AG100" s="172"/>
      <c r="AH100" s="173"/>
      <c r="AI100" s="173">
        <v>219384</v>
      </c>
      <c r="AJ100" s="173">
        <v>361053</v>
      </c>
      <c r="AK100" s="174">
        <v>580437</v>
      </c>
      <c r="AL100" s="172">
        <v>2392</v>
      </c>
      <c r="AM100" s="173">
        <v>2691</v>
      </c>
      <c r="AN100" s="173">
        <v>20915</v>
      </c>
      <c r="AO100" s="173">
        <v>43374</v>
      </c>
      <c r="AP100" s="174">
        <v>69372</v>
      </c>
      <c r="AQ100" s="172"/>
      <c r="AR100" s="173"/>
      <c r="AS100" s="173"/>
      <c r="AT100" s="173">
        <v>229581</v>
      </c>
      <c r="AU100" s="174">
        <v>229581</v>
      </c>
      <c r="AV100" s="172"/>
      <c r="AW100" s="173"/>
      <c r="AX100" s="173"/>
      <c r="AY100" s="173">
        <v>19503</v>
      </c>
      <c r="AZ100" s="174">
        <v>19503</v>
      </c>
      <c r="BA100" s="172">
        <v>10166</v>
      </c>
      <c r="BB100" s="173">
        <v>8073</v>
      </c>
      <c r="BC100" s="173">
        <v>10166</v>
      </c>
      <c r="BD100" s="173">
        <v>117829</v>
      </c>
      <c r="BE100" s="174">
        <v>146234</v>
      </c>
      <c r="BF100" s="172">
        <f t="shared" si="29"/>
        <v>5083</v>
      </c>
      <c r="BG100" s="173">
        <f t="shared" si="23"/>
        <v>7475</v>
      </c>
      <c r="BH100" s="173">
        <f t="shared" si="24"/>
        <v>30641</v>
      </c>
      <c r="BI100" s="173">
        <f t="shared" si="25"/>
        <v>86802</v>
      </c>
      <c r="BJ100" s="174">
        <f t="shared" si="26"/>
        <v>130001</v>
      </c>
      <c r="BK100" s="172"/>
      <c r="BL100" s="173">
        <v>1196</v>
      </c>
      <c r="BM100" s="173"/>
      <c r="BN100" s="173">
        <v>16038</v>
      </c>
      <c r="BO100" s="174">
        <v>17234</v>
      </c>
      <c r="BP100" s="172"/>
      <c r="BQ100" s="173"/>
      <c r="BR100" s="173"/>
      <c r="BS100" s="173"/>
      <c r="BT100" s="174"/>
      <c r="BU100" s="172">
        <v>5083</v>
      </c>
      <c r="BV100" s="173">
        <v>6279</v>
      </c>
      <c r="BW100" s="173">
        <v>30641</v>
      </c>
      <c r="BX100" s="173">
        <v>63636</v>
      </c>
      <c r="BY100" s="174">
        <v>105639</v>
      </c>
      <c r="BZ100" s="172"/>
      <c r="CA100" s="173"/>
      <c r="CB100" s="173"/>
      <c r="CC100" s="173"/>
      <c r="CD100" s="174"/>
      <c r="CE100" s="172"/>
      <c r="CF100" s="173"/>
      <c r="CG100" s="173"/>
      <c r="CH100" s="173">
        <v>7128</v>
      </c>
      <c r="CI100" s="174">
        <v>7128</v>
      </c>
    </row>
    <row r="101" s="147" customFormat="1" ht="14.6" spans="1:87">
      <c r="A101" s="175" t="s">
        <v>90</v>
      </c>
      <c r="B101" s="176"/>
      <c r="C101" s="177">
        <f t="shared" si="27"/>
        <v>62192</v>
      </c>
      <c r="D101" s="178">
        <f t="shared" si="15"/>
        <v>52026</v>
      </c>
      <c r="E101" s="178">
        <f t="shared" si="16"/>
        <v>588816</v>
      </c>
      <c r="F101" s="178">
        <f t="shared" si="17"/>
        <v>1557221</v>
      </c>
      <c r="G101" s="179">
        <f t="shared" si="18"/>
        <v>2260255</v>
      </c>
      <c r="H101" s="177">
        <f t="shared" si="28"/>
        <v>57109</v>
      </c>
      <c r="I101" s="178">
        <f t="shared" si="19"/>
        <v>44551</v>
      </c>
      <c r="J101" s="178">
        <f t="shared" si="20"/>
        <v>558175</v>
      </c>
      <c r="K101" s="178">
        <f t="shared" si="21"/>
        <v>1470419</v>
      </c>
      <c r="L101" s="179">
        <f t="shared" si="22"/>
        <v>2130254</v>
      </c>
      <c r="M101" s="177">
        <v>1495</v>
      </c>
      <c r="N101" s="178">
        <v>1794</v>
      </c>
      <c r="O101" s="178">
        <v>2990</v>
      </c>
      <c r="P101" s="178">
        <v>222562</v>
      </c>
      <c r="Q101" s="179">
        <v>228841</v>
      </c>
      <c r="R101" s="177">
        <v>8671</v>
      </c>
      <c r="S101" s="178">
        <v>8372</v>
      </c>
      <c r="T101" s="178">
        <v>78567</v>
      </c>
      <c r="U101" s="178">
        <v>143731</v>
      </c>
      <c r="V101" s="179">
        <v>239341</v>
      </c>
      <c r="W101" s="177">
        <v>20930</v>
      </c>
      <c r="X101" s="178">
        <v>17342</v>
      </c>
      <c r="Y101" s="178">
        <v>13156</v>
      </c>
      <c r="Z101" s="178">
        <v>109838</v>
      </c>
      <c r="AA101" s="179">
        <v>161266</v>
      </c>
      <c r="AB101" s="177">
        <v>13455</v>
      </c>
      <c r="AC101" s="178">
        <v>6279</v>
      </c>
      <c r="AD101" s="178">
        <v>212997</v>
      </c>
      <c r="AE101" s="178">
        <v>222948</v>
      </c>
      <c r="AF101" s="179">
        <v>455679</v>
      </c>
      <c r="AG101" s="177"/>
      <c r="AH101" s="178"/>
      <c r="AI101" s="178">
        <v>219384</v>
      </c>
      <c r="AJ101" s="178">
        <v>361053</v>
      </c>
      <c r="AK101" s="179">
        <v>580437</v>
      </c>
      <c r="AL101" s="177">
        <v>2392</v>
      </c>
      <c r="AM101" s="178">
        <v>2691</v>
      </c>
      <c r="AN101" s="178">
        <v>20915</v>
      </c>
      <c r="AO101" s="178">
        <v>43374</v>
      </c>
      <c r="AP101" s="179">
        <v>69372</v>
      </c>
      <c r="AQ101" s="177"/>
      <c r="AR101" s="178"/>
      <c r="AS101" s="178"/>
      <c r="AT101" s="178">
        <v>229581</v>
      </c>
      <c r="AU101" s="179">
        <v>229581</v>
      </c>
      <c r="AV101" s="177"/>
      <c r="AW101" s="178"/>
      <c r="AX101" s="178"/>
      <c r="AY101" s="178">
        <v>19503</v>
      </c>
      <c r="AZ101" s="179">
        <v>19503</v>
      </c>
      <c r="BA101" s="177">
        <v>10166</v>
      </c>
      <c r="BB101" s="178">
        <v>8073</v>
      </c>
      <c r="BC101" s="178">
        <v>10166</v>
      </c>
      <c r="BD101" s="178">
        <v>117829</v>
      </c>
      <c r="BE101" s="179">
        <v>146234</v>
      </c>
      <c r="BF101" s="177">
        <f t="shared" si="29"/>
        <v>5083</v>
      </c>
      <c r="BG101" s="178">
        <f t="shared" si="23"/>
        <v>7475</v>
      </c>
      <c r="BH101" s="178">
        <f t="shared" si="24"/>
        <v>30641</v>
      </c>
      <c r="BI101" s="178">
        <f t="shared" si="25"/>
        <v>86802</v>
      </c>
      <c r="BJ101" s="179">
        <f t="shared" si="26"/>
        <v>130001</v>
      </c>
      <c r="BK101" s="177"/>
      <c r="BL101" s="178">
        <v>1196</v>
      </c>
      <c r="BM101" s="178"/>
      <c r="BN101" s="178">
        <v>16038</v>
      </c>
      <c r="BO101" s="179">
        <v>17234</v>
      </c>
      <c r="BP101" s="177"/>
      <c r="BQ101" s="178"/>
      <c r="BR101" s="178"/>
      <c r="BS101" s="178"/>
      <c r="BT101" s="179"/>
      <c r="BU101" s="177">
        <v>5083</v>
      </c>
      <c r="BV101" s="178">
        <v>6279</v>
      </c>
      <c r="BW101" s="178">
        <v>30641</v>
      </c>
      <c r="BX101" s="178">
        <v>63636</v>
      </c>
      <c r="BY101" s="179">
        <v>105639</v>
      </c>
      <c r="BZ101" s="177"/>
      <c r="CA101" s="178"/>
      <c r="CB101" s="178"/>
      <c r="CC101" s="178"/>
      <c r="CD101" s="179"/>
      <c r="CE101" s="177"/>
      <c r="CF101" s="178"/>
      <c r="CG101" s="178"/>
      <c r="CH101" s="178">
        <v>7128</v>
      </c>
      <c r="CI101" s="179">
        <v>7128</v>
      </c>
    </row>
    <row r="102" spans="1:87">
      <c r="A102" s="170" t="s">
        <v>91</v>
      </c>
      <c r="B102" s="171" t="s">
        <v>26</v>
      </c>
      <c r="C102" s="172">
        <f t="shared" si="27"/>
        <v>682891</v>
      </c>
      <c r="D102" s="173">
        <f t="shared" si="15"/>
        <v>487649</v>
      </c>
      <c r="E102" s="173">
        <f t="shared" si="16"/>
        <v>516975</v>
      </c>
      <c r="F102" s="173">
        <f t="shared" si="17"/>
        <v>444775</v>
      </c>
      <c r="G102" s="174">
        <f t="shared" si="18"/>
        <v>2132290</v>
      </c>
      <c r="H102" s="172">
        <f t="shared" si="28"/>
        <v>682891</v>
      </c>
      <c r="I102" s="173">
        <f t="shared" si="19"/>
        <v>487531</v>
      </c>
      <c r="J102" s="173">
        <f t="shared" si="20"/>
        <v>516975</v>
      </c>
      <c r="K102" s="173">
        <f t="shared" si="21"/>
        <v>444303</v>
      </c>
      <c r="L102" s="174">
        <f t="shared" si="22"/>
        <v>2131700</v>
      </c>
      <c r="M102" s="172">
        <v>666253</v>
      </c>
      <c r="N102" s="173">
        <v>474079</v>
      </c>
      <c r="O102" s="173">
        <v>505352</v>
      </c>
      <c r="P102" s="173">
        <v>434273</v>
      </c>
      <c r="Q102" s="174">
        <v>2079957</v>
      </c>
      <c r="R102" s="172"/>
      <c r="S102" s="173"/>
      <c r="T102" s="173"/>
      <c r="U102" s="173"/>
      <c r="V102" s="174"/>
      <c r="W102" s="172"/>
      <c r="X102" s="173"/>
      <c r="Y102" s="173"/>
      <c r="Z102" s="173"/>
      <c r="AA102" s="174"/>
      <c r="AB102" s="172">
        <v>15045</v>
      </c>
      <c r="AC102" s="173">
        <v>12154</v>
      </c>
      <c r="AD102" s="173">
        <v>9735</v>
      </c>
      <c r="AE102" s="173">
        <v>9263</v>
      </c>
      <c r="AF102" s="174">
        <v>46197</v>
      </c>
      <c r="AG102" s="172"/>
      <c r="AH102" s="173"/>
      <c r="AI102" s="173"/>
      <c r="AJ102" s="173"/>
      <c r="AK102" s="174"/>
      <c r="AL102" s="172"/>
      <c r="AM102" s="173"/>
      <c r="AN102" s="173"/>
      <c r="AO102" s="173"/>
      <c r="AP102" s="174"/>
      <c r="AQ102" s="172">
        <v>1593</v>
      </c>
      <c r="AR102" s="173">
        <v>1298</v>
      </c>
      <c r="AS102" s="173">
        <v>1888</v>
      </c>
      <c r="AT102" s="173">
        <v>767</v>
      </c>
      <c r="AU102" s="174">
        <v>5546</v>
      </c>
      <c r="AV102" s="172"/>
      <c r="AW102" s="173"/>
      <c r="AX102" s="173"/>
      <c r="AY102" s="173"/>
      <c r="AZ102" s="174"/>
      <c r="BA102" s="172"/>
      <c r="BB102" s="173"/>
      <c r="BC102" s="173"/>
      <c r="BD102" s="173"/>
      <c r="BE102" s="174"/>
      <c r="BF102" s="172">
        <f t="shared" si="29"/>
        <v>0</v>
      </c>
      <c r="BG102" s="173">
        <f t="shared" si="23"/>
        <v>118</v>
      </c>
      <c r="BH102" s="173">
        <f t="shared" si="24"/>
        <v>0</v>
      </c>
      <c r="BI102" s="173">
        <f t="shared" si="25"/>
        <v>472</v>
      </c>
      <c r="BJ102" s="174">
        <f t="shared" si="26"/>
        <v>590</v>
      </c>
      <c r="BK102" s="172"/>
      <c r="BL102" s="173"/>
      <c r="BM102" s="173"/>
      <c r="BN102" s="173"/>
      <c r="BO102" s="174"/>
      <c r="BP102" s="172"/>
      <c r="BQ102" s="173"/>
      <c r="BR102" s="173"/>
      <c r="BS102" s="173"/>
      <c r="BT102" s="174"/>
      <c r="BU102" s="172"/>
      <c r="BV102" s="173">
        <v>118</v>
      </c>
      <c r="BW102" s="173"/>
      <c r="BX102" s="173">
        <v>472</v>
      </c>
      <c r="BY102" s="174">
        <v>590</v>
      </c>
      <c r="BZ102" s="172"/>
      <c r="CA102" s="173"/>
      <c r="CB102" s="173"/>
      <c r="CC102" s="173"/>
      <c r="CD102" s="174"/>
      <c r="CE102" s="172"/>
      <c r="CF102" s="173"/>
      <c r="CG102" s="173"/>
      <c r="CH102" s="173"/>
      <c r="CI102" s="174"/>
    </row>
    <row r="103" spans="1:87">
      <c r="A103" s="170"/>
      <c r="B103" s="171" t="s">
        <v>29</v>
      </c>
      <c r="C103" s="172">
        <f t="shared" si="27"/>
        <v>1598</v>
      </c>
      <c r="D103" s="173">
        <f t="shared" si="15"/>
        <v>1598</v>
      </c>
      <c r="E103" s="173">
        <f t="shared" si="16"/>
        <v>3196</v>
      </c>
      <c r="F103" s="173">
        <f t="shared" si="17"/>
        <v>1598</v>
      </c>
      <c r="G103" s="174">
        <f t="shared" si="18"/>
        <v>7990</v>
      </c>
      <c r="H103" s="172">
        <f t="shared" si="28"/>
        <v>1598</v>
      </c>
      <c r="I103" s="173">
        <f t="shared" si="19"/>
        <v>1598</v>
      </c>
      <c r="J103" s="173">
        <f t="shared" si="20"/>
        <v>3196</v>
      </c>
      <c r="K103" s="173">
        <f t="shared" si="21"/>
        <v>1598</v>
      </c>
      <c r="L103" s="174">
        <f t="shared" si="22"/>
        <v>7990</v>
      </c>
      <c r="M103" s="172"/>
      <c r="N103" s="173"/>
      <c r="O103" s="173"/>
      <c r="P103" s="173"/>
      <c r="Q103" s="174"/>
      <c r="R103" s="172">
        <v>799</v>
      </c>
      <c r="S103" s="173"/>
      <c r="T103" s="173">
        <v>1598</v>
      </c>
      <c r="U103" s="173">
        <v>1598</v>
      </c>
      <c r="V103" s="174">
        <v>3995</v>
      </c>
      <c r="W103" s="172"/>
      <c r="X103" s="173"/>
      <c r="Y103" s="173"/>
      <c r="Z103" s="173"/>
      <c r="AA103" s="174"/>
      <c r="AB103" s="172"/>
      <c r="AC103" s="173">
        <v>799</v>
      </c>
      <c r="AD103" s="173">
        <v>799</v>
      </c>
      <c r="AE103" s="173"/>
      <c r="AF103" s="174">
        <v>1598</v>
      </c>
      <c r="AG103" s="172"/>
      <c r="AH103" s="173"/>
      <c r="AI103" s="173"/>
      <c r="AJ103" s="173"/>
      <c r="AK103" s="174"/>
      <c r="AL103" s="172"/>
      <c r="AM103" s="173"/>
      <c r="AN103" s="173"/>
      <c r="AO103" s="173"/>
      <c r="AP103" s="174"/>
      <c r="AQ103" s="172"/>
      <c r="AR103" s="173"/>
      <c r="AS103" s="173">
        <v>799</v>
      </c>
      <c r="AT103" s="173"/>
      <c r="AU103" s="174">
        <v>799</v>
      </c>
      <c r="AV103" s="172">
        <v>799</v>
      </c>
      <c r="AW103" s="173">
        <v>799</v>
      </c>
      <c r="AX103" s="173"/>
      <c r="AY103" s="173"/>
      <c r="AZ103" s="174">
        <v>1598</v>
      </c>
      <c r="BA103" s="172"/>
      <c r="BB103" s="173"/>
      <c r="BC103" s="173"/>
      <c r="BD103" s="173"/>
      <c r="BE103" s="174"/>
      <c r="BF103" s="172">
        <f t="shared" si="29"/>
        <v>0</v>
      </c>
      <c r="BG103" s="173">
        <f t="shared" si="23"/>
        <v>0</v>
      </c>
      <c r="BH103" s="173">
        <f t="shared" si="24"/>
        <v>0</v>
      </c>
      <c r="BI103" s="173">
        <f t="shared" si="25"/>
        <v>0</v>
      </c>
      <c r="BJ103" s="174">
        <f t="shared" si="26"/>
        <v>0</v>
      </c>
      <c r="BK103" s="172"/>
      <c r="BL103" s="173"/>
      <c r="BM103" s="173"/>
      <c r="BN103" s="173"/>
      <c r="BO103" s="174"/>
      <c r="BP103" s="172"/>
      <c r="BQ103" s="173"/>
      <c r="BR103" s="173"/>
      <c r="BS103" s="173"/>
      <c r="BT103" s="174"/>
      <c r="BU103" s="172"/>
      <c r="BV103" s="173"/>
      <c r="BW103" s="173"/>
      <c r="BX103" s="173"/>
      <c r="BY103" s="174"/>
      <c r="BZ103" s="172"/>
      <c r="CA103" s="173"/>
      <c r="CB103" s="173"/>
      <c r="CC103" s="173"/>
      <c r="CD103" s="174"/>
      <c r="CE103" s="172"/>
      <c r="CF103" s="173"/>
      <c r="CG103" s="173"/>
      <c r="CH103" s="173"/>
      <c r="CI103" s="174"/>
    </row>
    <row r="104" s="147" customFormat="1" ht="14.6" spans="1:87">
      <c r="A104" s="175" t="s">
        <v>92</v>
      </c>
      <c r="B104" s="176"/>
      <c r="C104" s="177">
        <f t="shared" si="27"/>
        <v>684489</v>
      </c>
      <c r="D104" s="178">
        <f t="shared" si="15"/>
        <v>489247</v>
      </c>
      <c r="E104" s="178">
        <f t="shared" si="16"/>
        <v>520171</v>
      </c>
      <c r="F104" s="178">
        <f t="shared" si="17"/>
        <v>446373</v>
      </c>
      <c r="G104" s="179">
        <f t="shared" si="18"/>
        <v>2140280</v>
      </c>
      <c r="H104" s="177">
        <f t="shared" si="28"/>
        <v>684489</v>
      </c>
      <c r="I104" s="178">
        <f t="shared" si="19"/>
        <v>489129</v>
      </c>
      <c r="J104" s="178">
        <f t="shared" si="20"/>
        <v>520171</v>
      </c>
      <c r="K104" s="178">
        <f t="shared" si="21"/>
        <v>445901</v>
      </c>
      <c r="L104" s="179">
        <f t="shared" si="22"/>
        <v>2139690</v>
      </c>
      <c r="M104" s="177">
        <v>666253</v>
      </c>
      <c r="N104" s="178">
        <v>474079</v>
      </c>
      <c r="O104" s="178">
        <v>505352</v>
      </c>
      <c r="P104" s="178">
        <v>434273</v>
      </c>
      <c r="Q104" s="179">
        <v>2079957</v>
      </c>
      <c r="R104" s="177">
        <v>799</v>
      </c>
      <c r="S104" s="178"/>
      <c r="T104" s="178">
        <v>1598</v>
      </c>
      <c r="U104" s="178">
        <v>1598</v>
      </c>
      <c r="V104" s="179">
        <v>3995</v>
      </c>
      <c r="W104" s="177"/>
      <c r="X104" s="178"/>
      <c r="Y104" s="178"/>
      <c r="Z104" s="178"/>
      <c r="AA104" s="179"/>
      <c r="AB104" s="177">
        <v>15045</v>
      </c>
      <c r="AC104" s="178">
        <v>12953</v>
      </c>
      <c r="AD104" s="178">
        <v>10534</v>
      </c>
      <c r="AE104" s="178">
        <v>9263</v>
      </c>
      <c r="AF104" s="179">
        <v>47795</v>
      </c>
      <c r="AG104" s="177"/>
      <c r="AH104" s="178"/>
      <c r="AI104" s="178"/>
      <c r="AJ104" s="178"/>
      <c r="AK104" s="179"/>
      <c r="AL104" s="177"/>
      <c r="AM104" s="178"/>
      <c r="AN104" s="178"/>
      <c r="AO104" s="178"/>
      <c r="AP104" s="179"/>
      <c r="AQ104" s="177">
        <v>1593</v>
      </c>
      <c r="AR104" s="178">
        <v>1298</v>
      </c>
      <c r="AS104" s="178">
        <v>2687</v>
      </c>
      <c r="AT104" s="178">
        <v>767</v>
      </c>
      <c r="AU104" s="179">
        <v>6345</v>
      </c>
      <c r="AV104" s="177">
        <v>799</v>
      </c>
      <c r="AW104" s="178">
        <v>799</v>
      </c>
      <c r="AX104" s="178"/>
      <c r="AY104" s="178"/>
      <c r="AZ104" s="179">
        <v>1598</v>
      </c>
      <c r="BA104" s="177"/>
      <c r="BB104" s="178"/>
      <c r="BC104" s="178"/>
      <c r="BD104" s="178"/>
      <c r="BE104" s="179"/>
      <c r="BF104" s="177">
        <f t="shared" si="29"/>
        <v>0</v>
      </c>
      <c r="BG104" s="178">
        <f t="shared" si="23"/>
        <v>118</v>
      </c>
      <c r="BH104" s="178">
        <f t="shared" si="24"/>
        <v>0</v>
      </c>
      <c r="BI104" s="178">
        <f t="shared" si="25"/>
        <v>472</v>
      </c>
      <c r="BJ104" s="179">
        <f t="shared" si="26"/>
        <v>590</v>
      </c>
      <c r="BK104" s="177"/>
      <c r="BL104" s="178"/>
      <c r="BM104" s="178"/>
      <c r="BN104" s="178"/>
      <c r="BO104" s="179"/>
      <c r="BP104" s="177"/>
      <c r="BQ104" s="178"/>
      <c r="BR104" s="178"/>
      <c r="BS104" s="178"/>
      <c r="BT104" s="179"/>
      <c r="BU104" s="177"/>
      <c r="BV104" s="178">
        <v>118</v>
      </c>
      <c r="BW104" s="178"/>
      <c r="BX104" s="178">
        <v>472</v>
      </c>
      <c r="BY104" s="179">
        <v>590</v>
      </c>
      <c r="BZ104" s="177"/>
      <c r="CA104" s="178"/>
      <c r="CB104" s="178"/>
      <c r="CC104" s="178"/>
      <c r="CD104" s="179"/>
      <c r="CE104" s="177"/>
      <c r="CF104" s="178"/>
      <c r="CG104" s="178"/>
      <c r="CH104" s="178"/>
      <c r="CI104" s="179"/>
    </row>
    <row r="105" spans="1:87">
      <c r="A105" s="170" t="s">
        <v>93</v>
      </c>
      <c r="B105" s="171" t="s">
        <v>26</v>
      </c>
      <c r="C105" s="172">
        <f t="shared" si="27"/>
        <v>504459</v>
      </c>
      <c r="D105" s="173">
        <f t="shared" si="15"/>
        <v>427524</v>
      </c>
      <c r="E105" s="173">
        <f t="shared" si="16"/>
        <v>387228</v>
      </c>
      <c r="F105" s="173">
        <f t="shared" si="17"/>
        <v>391989</v>
      </c>
      <c r="G105" s="174">
        <f t="shared" si="18"/>
        <v>1711200</v>
      </c>
      <c r="H105" s="172">
        <f t="shared" si="28"/>
        <v>339618</v>
      </c>
      <c r="I105" s="173">
        <f t="shared" si="19"/>
        <v>270135</v>
      </c>
      <c r="J105" s="173">
        <f t="shared" si="20"/>
        <v>244467</v>
      </c>
      <c r="K105" s="173">
        <f t="shared" si="21"/>
        <v>233013</v>
      </c>
      <c r="L105" s="174">
        <f t="shared" si="22"/>
        <v>1087233</v>
      </c>
      <c r="M105" s="172">
        <v>147108</v>
      </c>
      <c r="N105" s="173">
        <v>93978</v>
      </c>
      <c r="O105" s="173">
        <v>80868</v>
      </c>
      <c r="P105" s="173">
        <v>93702</v>
      </c>
      <c r="Q105" s="174">
        <v>415656</v>
      </c>
      <c r="R105" s="172">
        <v>77832</v>
      </c>
      <c r="S105" s="173">
        <v>64860</v>
      </c>
      <c r="T105" s="173">
        <v>60789</v>
      </c>
      <c r="U105" s="173">
        <v>58029</v>
      </c>
      <c r="V105" s="174">
        <v>261510</v>
      </c>
      <c r="W105" s="172">
        <v>26013</v>
      </c>
      <c r="X105" s="173">
        <v>24426</v>
      </c>
      <c r="Y105" s="173">
        <v>41331</v>
      </c>
      <c r="Z105" s="173">
        <v>41538</v>
      </c>
      <c r="AA105" s="174">
        <v>133308</v>
      </c>
      <c r="AB105" s="172">
        <v>30429</v>
      </c>
      <c r="AC105" s="173">
        <v>36363</v>
      </c>
      <c r="AD105" s="173">
        <v>25530</v>
      </c>
      <c r="AE105" s="173">
        <v>4071</v>
      </c>
      <c r="AF105" s="174">
        <v>96393</v>
      </c>
      <c r="AG105" s="172"/>
      <c r="AH105" s="173"/>
      <c r="AI105" s="173"/>
      <c r="AJ105" s="173"/>
      <c r="AK105" s="174"/>
      <c r="AL105" s="172">
        <v>25185</v>
      </c>
      <c r="AM105" s="173">
        <v>15456</v>
      </c>
      <c r="AN105" s="173">
        <v>2208</v>
      </c>
      <c r="AO105" s="173">
        <v>2277</v>
      </c>
      <c r="AP105" s="174">
        <v>45126</v>
      </c>
      <c r="AQ105" s="172">
        <v>33051</v>
      </c>
      <c r="AR105" s="173">
        <v>35052</v>
      </c>
      <c r="AS105" s="173">
        <v>33741</v>
      </c>
      <c r="AT105" s="173">
        <v>33396</v>
      </c>
      <c r="AU105" s="174">
        <v>135240</v>
      </c>
      <c r="AV105" s="172"/>
      <c r="AW105" s="173"/>
      <c r="AX105" s="173"/>
      <c r="AY105" s="173"/>
      <c r="AZ105" s="174"/>
      <c r="BA105" s="172"/>
      <c r="BB105" s="173"/>
      <c r="BC105" s="173"/>
      <c r="BD105" s="173"/>
      <c r="BE105" s="174"/>
      <c r="BF105" s="172">
        <f t="shared" si="29"/>
        <v>164841</v>
      </c>
      <c r="BG105" s="173">
        <f t="shared" si="23"/>
        <v>157389</v>
      </c>
      <c r="BH105" s="173">
        <f t="shared" si="24"/>
        <v>142761</v>
      </c>
      <c r="BI105" s="173">
        <f t="shared" si="25"/>
        <v>158976</v>
      </c>
      <c r="BJ105" s="174">
        <f t="shared" si="26"/>
        <v>623967</v>
      </c>
      <c r="BK105" s="172">
        <v>12627</v>
      </c>
      <c r="BL105" s="173">
        <v>3174</v>
      </c>
      <c r="BM105" s="173">
        <v>5451</v>
      </c>
      <c r="BN105" s="173">
        <v>5175</v>
      </c>
      <c r="BO105" s="174">
        <v>26427</v>
      </c>
      <c r="BP105" s="172">
        <v>44298</v>
      </c>
      <c r="BQ105" s="173">
        <v>56235</v>
      </c>
      <c r="BR105" s="173">
        <v>51681</v>
      </c>
      <c r="BS105" s="173">
        <v>49266</v>
      </c>
      <c r="BT105" s="174">
        <v>201480</v>
      </c>
      <c r="BU105" s="172">
        <v>82731</v>
      </c>
      <c r="BV105" s="173">
        <v>78591</v>
      </c>
      <c r="BW105" s="173">
        <v>68724</v>
      </c>
      <c r="BX105" s="173">
        <v>91080</v>
      </c>
      <c r="BY105" s="174">
        <v>321126</v>
      </c>
      <c r="BZ105" s="172">
        <v>13386</v>
      </c>
      <c r="CA105" s="173">
        <v>13179</v>
      </c>
      <c r="CB105" s="173">
        <v>10281</v>
      </c>
      <c r="CC105" s="173">
        <v>414</v>
      </c>
      <c r="CD105" s="174">
        <v>37260</v>
      </c>
      <c r="CE105" s="172">
        <v>11799</v>
      </c>
      <c r="CF105" s="173">
        <v>6210</v>
      </c>
      <c r="CG105" s="173">
        <v>6624</v>
      </c>
      <c r="CH105" s="173">
        <v>13041</v>
      </c>
      <c r="CI105" s="174">
        <v>37674</v>
      </c>
    </row>
    <row r="106" s="147" customFormat="1" ht="14.6" spans="1:87">
      <c r="A106" s="175" t="s">
        <v>94</v>
      </c>
      <c r="B106" s="176"/>
      <c r="C106" s="177">
        <f t="shared" si="27"/>
        <v>504459</v>
      </c>
      <c r="D106" s="178">
        <f t="shared" si="15"/>
        <v>427524</v>
      </c>
      <c r="E106" s="178">
        <f t="shared" si="16"/>
        <v>387228</v>
      </c>
      <c r="F106" s="178">
        <f t="shared" si="17"/>
        <v>391989</v>
      </c>
      <c r="G106" s="179">
        <f t="shared" si="18"/>
        <v>1711200</v>
      </c>
      <c r="H106" s="177">
        <f t="shared" si="28"/>
        <v>339618</v>
      </c>
      <c r="I106" s="178">
        <f t="shared" si="19"/>
        <v>270135</v>
      </c>
      <c r="J106" s="178">
        <f t="shared" si="20"/>
        <v>244467</v>
      </c>
      <c r="K106" s="178">
        <f t="shared" si="21"/>
        <v>233013</v>
      </c>
      <c r="L106" s="179">
        <f t="shared" si="22"/>
        <v>1087233</v>
      </c>
      <c r="M106" s="177">
        <v>147108</v>
      </c>
      <c r="N106" s="178">
        <v>93978</v>
      </c>
      <c r="O106" s="178">
        <v>80868</v>
      </c>
      <c r="P106" s="178">
        <v>93702</v>
      </c>
      <c r="Q106" s="179">
        <v>415656</v>
      </c>
      <c r="R106" s="177">
        <v>77832</v>
      </c>
      <c r="S106" s="178">
        <v>64860</v>
      </c>
      <c r="T106" s="178">
        <v>60789</v>
      </c>
      <c r="U106" s="178">
        <v>58029</v>
      </c>
      <c r="V106" s="179">
        <v>261510</v>
      </c>
      <c r="W106" s="177">
        <v>26013</v>
      </c>
      <c r="X106" s="178">
        <v>24426</v>
      </c>
      <c r="Y106" s="178">
        <v>41331</v>
      </c>
      <c r="Z106" s="178">
        <v>41538</v>
      </c>
      <c r="AA106" s="179">
        <v>133308</v>
      </c>
      <c r="AB106" s="177">
        <v>30429</v>
      </c>
      <c r="AC106" s="178">
        <v>36363</v>
      </c>
      <c r="AD106" s="178">
        <v>25530</v>
      </c>
      <c r="AE106" s="178">
        <v>4071</v>
      </c>
      <c r="AF106" s="179">
        <v>96393</v>
      </c>
      <c r="AG106" s="177"/>
      <c r="AH106" s="178"/>
      <c r="AI106" s="178"/>
      <c r="AJ106" s="178"/>
      <c r="AK106" s="179"/>
      <c r="AL106" s="177">
        <v>25185</v>
      </c>
      <c r="AM106" s="178">
        <v>15456</v>
      </c>
      <c r="AN106" s="178">
        <v>2208</v>
      </c>
      <c r="AO106" s="178">
        <v>2277</v>
      </c>
      <c r="AP106" s="179">
        <v>45126</v>
      </c>
      <c r="AQ106" s="177">
        <v>33051</v>
      </c>
      <c r="AR106" s="178">
        <v>35052</v>
      </c>
      <c r="AS106" s="178">
        <v>33741</v>
      </c>
      <c r="AT106" s="178">
        <v>33396</v>
      </c>
      <c r="AU106" s="179">
        <v>135240</v>
      </c>
      <c r="AV106" s="177"/>
      <c r="AW106" s="178"/>
      <c r="AX106" s="178"/>
      <c r="AY106" s="178"/>
      <c r="AZ106" s="179"/>
      <c r="BA106" s="177"/>
      <c r="BB106" s="178"/>
      <c r="BC106" s="178"/>
      <c r="BD106" s="178"/>
      <c r="BE106" s="179"/>
      <c r="BF106" s="177">
        <f t="shared" si="29"/>
        <v>164841</v>
      </c>
      <c r="BG106" s="178">
        <f t="shared" si="23"/>
        <v>157389</v>
      </c>
      <c r="BH106" s="178">
        <f t="shared" si="24"/>
        <v>142761</v>
      </c>
      <c r="BI106" s="178">
        <f t="shared" si="25"/>
        <v>158976</v>
      </c>
      <c r="BJ106" s="179">
        <f t="shared" si="26"/>
        <v>623967</v>
      </c>
      <c r="BK106" s="177">
        <v>12627</v>
      </c>
      <c r="BL106" s="178">
        <v>3174</v>
      </c>
      <c r="BM106" s="178">
        <v>5451</v>
      </c>
      <c r="BN106" s="178">
        <v>5175</v>
      </c>
      <c r="BO106" s="179">
        <v>26427</v>
      </c>
      <c r="BP106" s="177">
        <v>44298</v>
      </c>
      <c r="BQ106" s="178">
        <v>56235</v>
      </c>
      <c r="BR106" s="178">
        <v>51681</v>
      </c>
      <c r="BS106" s="178">
        <v>49266</v>
      </c>
      <c r="BT106" s="179">
        <v>201480</v>
      </c>
      <c r="BU106" s="177">
        <v>82731</v>
      </c>
      <c r="BV106" s="178">
        <v>78591</v>
      </c>
      <c r="BW106" s="178">
        <v>68724</v>
      </c>
      <c r="BX106" s="178">
        <v>91080</v>
      </c>
      <c r="BY106" s="179">
        <v>321126</v>
      </c>
      <c r="BZ106" s="177">
        <v>13386</v>
      </c>
      <c r="CA106" s="178">
        <v>13179</v>
      </c>
      <c r="CB106" s="178">
        <v>10281</v>
      </c>
      <c r="CC106" s="178">
        <v>414</v>
      </c>
      <c r="CD106" s="179">
        <v>37260</v>
      </c>
      <c r="CE106" s="177">
        <v>11799</v>
      </c>
      <c r="CF106" s="178">
        <v>6210</v>
      </c>
      <c r="CG106" s="178">
        <v>6624</v>
      </c>
      <c r="CH106" s="178">
        <v>13041</v>
      </c>
      <c r="CI106" s="179">
        <v>37674</v>
      </c>
    </row>
    <row r="107" spans="1:87">
      <c r="A107" s="170" t="s">
        <v>95</v>
      </c>
      <c r="B107" s="171" t="s">
        <v>26</v>
      </c>
      <c r="C107" s="172">
        <f t="shared" si="27"/>
        <v>370875</v>
      </c>
      <c r="D107" s="173">
        <f t="shared" si="15"/>
        <v>367218</v>
      </c>
      <c r="E107" s="173">
        <f t="shared" si="16"/>
        <v>384951</v>
      </c>
      <c r="F107" s="173">
        <f t="shared" si="17"/>
        <v>382743</v>
      </c>
      <c r="G107" s="174">
        <f t="shared" si="18"/>
        <v>1505787</v>
      </c>
      <c r="H107" s="172">
        <f t="shared" si="28"/>
        <v>255714</v>
      </c>
      <c r="I107" s="173">
        <f t="shared" si="19"/>
        <v>237153</v>
      </c>
      <c r="J107" s="173">
        <f t="shared" si="20"/>
        <v>262407</v>
      </c>
      <c r="K107" s="173">
        <f t="shared" si="21"/>
        <v>231426</v>
      </c>
      <c r="L107" s="174">
        <f t="shared" si="22"/>
        <v>986700</v>
      </c>
      <c r="M107" s="172">
        <v>49956</v>
      </c>
      <c r="N107" s="173">
        <v>39951</v>
      </c>
      <c r="O107" s="173">
        <v>37329</v>
      </c>
      <c r="P107" s="173">
        <v>23046</v>
      </c>
      <c r="Q107" s="174">
        <v>150282</v>
      </c>
      <c r="R107" s="172">
        <v>11868</v>
      </c>
      <c r="S107" s="173">
        <v>11178</v>
      </c>
      <c r="T107" s="173">
        <v>8901</v>
      </c>
      <c r="U107" s="173">
        <v>11247</v>
      </c>
      <c r="V107" s="174">
        <v>43194</v>
      </c>
      <c r="W107" s="172">
        <v>19665</v>
      </c>
      <c r="X107" s="173">
        <v>19872</v>
      </c>
      <c r="Y107" s="173">
        <v>20079</v>
      </c>
      <c r="Z107" s="173">
        <v>24357</v>
      </c>
      <c r="AA107" s="174">
        <v>83973</v>
      </c>
      <c r="AB107" s="172">
        <v>207</v>
      </c>
      <c r="AC107" s="173">
        <v>16698</v>
      </c>
      <c r="AD107" s="173">
        <v>76728</v>
      </c>
      <c r="AE107" s="173">
        <v>56718</v>
      </c>
      <c r="AF107" s="174">
        <v>150351</v>
      </c>
      <c r="AG107" s="172">
        <v>75141</v>
      </c>
      <c r="AH107" s="173">
        <v>62307</v>
      </c>
      <c r="AI107" s="173">
        <v>57546</v>
      </c>
      <c r="AJ107" s="173">
        <v>57753</v>
      </c>
      <c r="AK107" s="174">
        <v>252747</v>
      </c>
      <c r="AL107" s="172">
        <v>12351</v>
      </c>
      <c r="AM107" s="173">
        <v>10005</v>
      </c>
      <c r="AN107" s="173">
        <v>7728</v>
      </c>
      <c r="AO107" s="173">
        <v>16767</v>
      </c>
      <c r="AP107" s="174">
        <v>46851</v>
      </c>
      <c r="AQ107" s="172">
        <v>21804</v>
      </c>
      <c r="AR107" s="173">
        <v>41952</v>
      </c>
      <c r="AS107" s="173">
        <v>38157</v>
      </c>
      <c r="AT107" s="173">
        <v>29946</v>
      </c>
      <c r="AU107" s="174">
        <v>131859</v>
      </c>
      <c r="AV107" s="172">
        <v>8280</v>
      </c>
      <c r="AW107" s="173">
        <v>4347</v>
      </c>
      <c r="AX107" s="173">
        <v>3726</v>
      </c>
      <c r="AY107" s="173">
        <v>11454</v>
      </c>
      <c r="AZ107" s="174">
        <v>27807</v>
      </c>
      <c r="BA107" s="172">
        <v>56442</v>
      </c>
      <c r="BB107" s="173">
        <v>30843</v>
      </c>
      <c r="BC107" s="173">
        <v>12213</v>
      </c>
      <c r="BD107" s="173">
        <v>138</v>
      </c>
      <c r="BE107" s="174">
        <v>99636</v>
      </c>
      <c r="BF107" s="172">
        <f t="shared" si="29"/>
        <v>115161</v>
      </c>
      <c r="BG107" s="173">
        <f t="shared" si="23"/>
        <v>130065</v>
      </c>
      <c r="BH107" s="173">
        <f t="shared" si="24"/>
        <v>122544</v>
      </c>
      <c r="BI107" s="173">
        <f t="shared" si="25"/>
        <v>151317</v>
      </c>
      <c r="BJ107" s="174">
        <f t="shared" si="26"/>
        <v>519087</v>
      </c>
      <c r="BK107" s="172">
        <v>5865</v>
      </c>
      <c r="BL107" s="173">
        <v>3864</v>
      </c>
      <c r="BM107" s="173">
        <v>4830</v>
      </c>
      <c r="BN107" s="173">
        <v>7314</v>
      </c>
      <c r="BO107" s="174">
        <v>21873</v>
      </c>
      <c r="BP107" s="172">
        <v>33603</v>
      </c>
      <c r="BQ107" s="173">
        <v>48852</v>
      </c>
      <c r="BR107" s="173">
        <v>48783</v>
      </c>
      <c r="BS107" s="173">
        <v>58995</v>
      </c>
      <c r="BT107" s="174">
        <v>190233</v>
      </c>
      <c r="BU107" s="172">
        <v>70863</v>
      </c>
      <c r="BV107" s="173">
        <v>69552</v>
      </c>
      <c r="BW107" s="173">
        <v>48645</v>
      </c>
      <c r="BX107" s="173">
        <v>52854</v>
      </c>
      <c r="BY107" s="174">
        <v>241914</v>
      </c>
      <c r="BZ107" s="172"/>
      <c r="CA107" s="173">
        <v>7797</v>
      </c>
      <c r="CB107" s="173">
        <v>17802</v>
      </c>
      <c r="CC107" s="173">
        <v>32154</v>
      </c>
      <c r="CD107" s="174">
        <v>57753</v>
      </c>
      <c r="CE107" s="172">
        <v>4830</v>
      </c>
      <c r="CF107" s="173"/>
      <c r="CG107" s="173">
        <v>2484</v>
      </c>
      <c r="CH107" s="173"/>
      <c r="CI107" s="174">
        <v>7314</v>
      </c>
    </row>
    <row r="108" s="147" customFormat="1" ht="14.6" spans="1:87">
      <c r="A108" s="175" t="s">
        <v>96</v>
      </c>
      <c r="B108" s="176"/>
      <c r="C108" s="177">
        <f t="shared" si="27"/>
        <v>370875</v>
      </c>
      <c r="D108" s="178">
        <f t="shared" si="15"/>
        <v>367218</v>
      </c>
      <c r="E108" s="178">
        <f t="shared" si="16"/>
        <v>384951</v>
      </c>
      <c r="F108" s="178">
        <f t="shared" si="17"/>
        <v>382743</v>
      </c>
      <c r="G108" s="179">
        <f t="shared" si="18"/>
        <v>1505787</v>
      </c>
      <c r="H108" s="177">
        <f t="shared" si="28"/>
        <v>255714</v>
      </c>
      <c r="I108" s="178">
        <f t="shared" si="19"/>
        <v>237153</v>
      </c>
      <c r="J108" s="178">
        <f t="shared" si="20"/>
        <v>262407</v>
      </c>
      <c r="K108" s="178">
        <f t="shared" si="21"/>
        <v>231426</v>
      </c>
      <c r="L108" s="179">
        <f t="shared" si="22"/>
        <v>986700</v>
      </c>
      <c r="M108" s="177">
        <v>49956</v>
      </c>
      <c r="N108" s="178">
        <v>39951</v>
      </c>
      <c r="O108" s="178">
        <v>37329</v>
      </c>
      <c r="P108" s="178">
        <v>23046</v>
      </c>
      <c r="Q108" s="179">
        <v>150282</v>
      </c>
      <c r="R108" s="177">
        <v>11868</v>
      </c>
      <c r="S108" s="178">
        <v>11178</v>
      </c>
      <c r="T108" s="178">
        <v>8901</v>
      </c>
      <c r="U108" s="178">
        <v>11247</v>
      </c>
      <c r="V108" s="179">
        <v>43194</v>
      </c>
      <c r="W108" s="177">
        <v>19665</v>
      </c>
      <c r="X108" s="178">
        <v>19872</v>
      </c>
      <c r="Y108" s="178">
        <v>20079</v>
      </c>
      <c r="Z108" s="178">
        <v>24357</v>
      </c>
      <c r="AA108" s="179">
        <v>83973</v>
      </c>
      <c r="AB108" s="177">
        <v>207</v>
      </c>
      <c r="AC108" s="178">
        <v>16698</v>
      </c>
      <c r="AD108" s="178">
        <v>76728</v>
      </c>
      <c r="AE108" s="178">
        <v>56718</v>
      </c>
      <c r="AF108" s="179">
        <v>150351</v>
      </c>
      <c r="AG108" s="177">
        <v>75141</v>
      </c>
      <c r="AH108" s="178">
        <v>62307</v>
      </c>
      <c r="AI108" s="178">
        <v>57546</v>
      </c>
      <c r="AJ108" s="178">
        <v>57753</v>
      </c>
      <c r="AK108" s="179">
        <v>252747</v>
      </c>
      <c r="AL108" s="177">
        <v>12351</v>
      </c>
      <c r="AM108" s="178">
        <v>10005</v>
      </c>
      <c r="AN108" s="178">
        <v>7728</v>
      </c>
      <c r="AO108" s="178">
        <v>16767</v>
      </c>
      <c r="AP108" s="179">
        <v>46851</v>
      </c>
      <c r="AQ108" s="177">
        <v>21804</v>
      </c>
      <c r="AR108" s="178">
        <v>41952</v>
      </c>
      <c r="AS108" s="178">
        <v>38157</v>
      </c>
      <c r="AT108" s="178">
        <v>29946</v>
      </c>
      <c r="AU108" s="179">
        <v>131859</v>
      </c>
      <c r="AV108" s="177">
        <v>8280</v>
      </c>
      <c r="AW108" s="178">
        <v>4347</v>
      </c>
      <c r="AX108" s="178">
        <v>3726</v>
      </c>
      <c r="AY108" s="178">
        <v>11454</v>
      </c>
      <c r="AZ108" s="179">
        <v>27807</v>
      </c>
      <c r="BA108" s="177">
        <v>56442</v>
      </c>
      <c r="BB108" s="178">
        <v>30843</v>
      </c>
      <c r="BC108" s="178">
        <v>12213</v>
      </c>
      <c r="BD108" s="178">
        <v>138</v>
      </c>
      <c r="BE108" s="179">
        <v>99636</v>
      </c>
      <c r="BF108" s="177">
        <f t="shared" si="29"/>
        <v>115161</v>
      </c>
      <c r="BG108" s="178">
        <f t="shared" si="23"/>
        <v>130065</v>
      </c>
      <c r="BH108" s="178">
        <f t="shared" si="24"/>
        <v>122544</v>
      </c>
      <c r="BI108" s="178">
        <f t="shared" si="25"/>
        <v>151317</v>
      </c>
      <c r="BJ108" s="179">
        <f t="shared" si="26"/>
        <v>519087</v>
      </c>
      <c r="BK108" s="177">
        <v>5865</v>
      </c>
      <c r="BL108" s="178">
        <v>3864</v>
      </c>
      <c r="BM108" s="178">
        <v>4830</v>
      </c>
      <c r="BN108" s="178">
        <v>7314</v>
      </c>
      <c r="BO108" s="179">
        <v>21873</v>
      </c>
      <c r="BP108" s="177">
        <v>33603</v>
      </c>
      <c r="BQ108" s="178">
        <v>48852</v>
      </c>
      <c r="BR108" s="178">
        <v>48783</v>
      </c>
      <c r="BS108" s="178">
        <v>58995</v>
      </c>
      <c r="BT108" s="179">
        <v>190233</v>
      </c>
      <c r="BU108" s="177">
        <v>70863</v>
      </c>
      <c r="BV108" s="178">
        <v>69552</v>
      </c>
      <c r="BW108" s="178">
        <v>48645</v>
      </c>
      <c r="BX108" s="178">
        <v>52854</v>
      </c>
      <c r="BY108" s="179">
        <v>241914</v>
      </c>
      <c r="BZ108" s="177"/>
      <c r="CA108" s="178">
        <v>7797</v>
      </c>
      <c r="CB108" s="178">
        <v>17802</v>
      </c>
      <c r="CC108" s="178">
        <v>32154</v>
      </c>
      <c r="CD108" s="179">
        <v>57753</v>
      </c>
      <c r="CE108" s="177">
        <v>4830</v>
      </c>
      <c r="CF108" s="178"/>
      <c r="CG108" s="178">
        <v>2484</v>
      </c>
      <c r="CH108" s="178"/>
      <c r="CI108" s="179">
        <v>7314</v>
      </c>
    </row>
    <row r="109" spans="1:87">
      <c r="A109" s="170" t="s">
        <v>97</v>
      </c>
      <c r="B109" s="171" t="s">
        <v>26</v>
      </c>
      <c r="C109" s="172">
        <f t="shared" si="27"/>
        <v>498663</v>
      </c>
      <c r="D109" s="173">
        <f t="shared" si="15"/>
        <v>390885</v>
      </c>
      <c r="E109" s="173">
        <f t="shared" si="16"/>
        <v>293250</v>
      </c>
      <c r="F109" s="173">
        <f t="shared" si="17"/>
        <v>260130</v>
      </c>
      <c r="G109" s="174">
        <f t="shared" si="18"/>
        <v>1442928</v>
      </c>
      <c r="H109" s="172">
        <f t="shared" si="28"/>
        <v>498663</v>
      </c>
      <c r="I109" s="173">
        <f t="shared" si="19"/>
        <v>390885</v>
      </c>
      <c r="J109" s="173">
        <f t="shared" si="20"/>
        <v>293250</v>
      </c>
      <c r="K109" s="173">
        <f t="shared" si="21"/>
        <v>260130</v>
      </c>
      <c r="L109" s="174">
        <f t="shared" si="22"/>
        <v>1442928</v>
      </c>
      <c r="M109" s="172">
        <v>191889</v>
      </c>
      <c r="N109" s="173">
        <v>112056</v>
      </c>
      <c r="O109" s="173">
        <v>90183</v>
      </c>
      <c r="P109" s="173">
        <v>81696</v>
      </c>
      <c r="Q109" s="174">
        <v>475824</v>
      </c>
      <c r="R109" s="172"/>
      <c r="S109" s="173"/>
      <c r="T109" s="173"/>
      <c r="U109" s="173"/>
      <c r="V109" s="174"/>
      <c r="W109" s="172"/>
      <c r="X109" s="173"/>
      <c r="Y109" s="173"/>
      <c r="Z109" s="173"/>
      <c r="AA109" s="174"/>
      <c r="AB109" s="172">
        <v>165669</v>
      </c>
      <c r="AC109" s="173">
        <v>187404</v>
      </c>
      <c r="AD109" s="173">
        <v>76107</v>
      </c>
      <c r="AE109" s="173">
        <v>134688</v>
      </c>
      <c r="AF109" s="174">
        <v>563868</v>
      </c>
      <c r="AG109" s="172">
        <v>141105</v>
      </c>
      <c r="AH109" s="173">
        <v>91425</v>
      </c>
      <c r="AI109" s="173">
        <v>126960</v>
      </c>
      <c r="AJ109" s="173">
        <v>43746</v>
      </c>
      <c r="AK109" s="174">
        <v>403236</v>
      </c>
      <c r="AL109" s="172"/>
      <c r="AM109" s="173"/>
      <c r="AN109" s="173"/>
      <c r="AO109" s="173"/>
      <c r="AP109" s="174"/>
      <c r="AQ109" s="172"/>
      <c r="AR109" s="173"/>
      <c r="AS109" s="173"/>
      <c r="AT109" s="173"/>
      <c r="AU109" s="174"/>
      <c r="AV109" s="172"/>
      <c r="AW109" s="173"/>
      <c r="AX109" s="173"/>
      <c r="AY109" s="173"/>
      <c r="AZ109" s="174"/>
      <c r="BA109" s="172"/>
      <c r="BB109" s="173"/>
      <c r="BC109" s="173"/>
      <c r="BD109" s="173"/>
      <c r="BE109" s="174"/>
      <c r="BF109" s="172">
        <f t="shared" si="29"/>
        <v>0</v>
      </c>
      <c r="BG109" s="173">
        <f t="shared" si="23"/>
        <v>0</v>
      </c>
      <c r="BH109" s="173">
        <f t="shared" si="24"/>
        <v>0</v>
      </c>
      <c r="BI109" s="173">
        <f t="shared" si="25"/>
        <v>0</v>
      </c>
      <c r="BJ109" s="174">
        <f t="shared" si="26"/>
        <v>0</v>
      </c>
      <c r="BK109" s="172"/>
      <c r="BL109" s="173"/>
      <c r="BM109" s="173"/>
      <c r="BN109" s="173"/>
      <c r="BO109" s="174"/>
      <c r="BP109" s="172"/>
      <c r="BQ109" s="173"/>
      <c r="BR109" s="173"/>
      <c r="BS109" s="173"/>
      <c r="BT109" s="174"/>
      <c r="BU109" s="172"/>
      <c r="BV109" s="173"/>
      <c r="BW109" s="173"/>
      <c r="BX109" s="173"/>
      <c r="BY109" s="174"/>
      <c r="BZ109" s="172"/>
      <c r="CA109" s="173"/>
      <c r="CB109" s="173"/>
      <c r="CC109" s="173"/>
      <c r="CD109" s="174"/>
      <c r="CE109" s="172"/>
      <c r="CF109" s="173"/>
      <c r="CG109" s="173"/>
      <c r="CH109" s="173"/>
      <c r="CI109" s="174"/>
    </row>
    <row r="110" s="147" customFormat="1" ht="14.6" spans="1:87">
      <c r="A110" s="175" t="s">
        <v>98</v>
      </c>
      <c r="B110" s="176"/>
      <c r="C110" s="177">
        <f t="shared" si="27"/>
        <v>498663</v>
      </c>
      <c r="D110" s="178">
        <f t="shared" si="15"/>
        <v>390885</v>
      </c>
      <c r="E110" s="178">
        <f t="shared" si="16"/>
        <v>293250</v>
      </c>
      <c r="F110" s="178">
        <f t="shared" si="17"/>
        <v>260130</v>
      </c>
      <c r="G110" s="179">
        <f t="shared" si="18"/>
        <v>1442928</v>
      </c>
      <c r="H110" s="177">
        <f t="shared" si="28"/>
        <v>498663</v>
      </c>
      <c r="I110" s="178">
        <f t="shared" si="19"/>
        <v>390885</v>
      </c>
      <c r="J110" s="178">
        <f t="shared" si="20"/>
        <v>293250</v>
      </c>
      <c r="K110" s="178">
        <f t="shared" si="21"/>
        <v>260130</v>
      </c>
      <c r="L110" s="179">
        <f t="shared" si="22"/>
        <v>1442928</v>
      </c>
      <c r="M110" s="177">
        <v>191889</v>
      </c>
      <c r="N110" s="178">
        <v>112056</v>
      </c>
      <c r="O110" s="178">
        <v>90183</v>
      </c>
      <c r="P110" s="178">
        <v>81696</v>
      </c>
      <c r="Q110" s="179">
        <v>475824</v>
      </c>
      <c r="R110" s="177"/>
      <c r="S110" s="178"/>
      <c r="T110" s="178"/>
      <c r="U110" s="178"/>
      <c r="V110" s="179"/>
      <c r="W110" s="177"/>
      <c r="X110" s="178"/>
      <c r="Y110" s="178"/>
      <c r="Z110" s="178"/>
      <c r="AA110" s="179"/>
      <c r="AB110" s="177">
        <v>165669</v>
      </c>
      <c r="AC110" s="178">
        <v>187404</v>
      </c>
      <c r="AD110" s="178">
        <v>76107</v>
      </c>
      <c r="AE110" s="178">
        <v>134688</v>
      </c>
      <c r="AF110" s="179">
        <v>563868</v>
      </c>
      <c r="AG110" s="177">
        <v>141105</v>
      </c>
      <c r="AH110" s="178">
        <v>91425</v>
      </c>
      <c r="AI110" s="178">
        <v>126960</v>
      </c>
      <c r="AJ110" s="178">
        <v>43746</v>
      </c>
      <c r="AK110" s="179">
        <v>403236</v>
      </c>
      <c r="AL110" s="177"/>
      <c r="AM110" s="178"/>
      <c r="AN110" s="178"/>
      <c r="AO110" s="178"/>
      <c r="AP110" s="179"/>
      <c r="AQ110" s="177"/>
      <c r="AR110" s="178"/>
      <c r="AS110" s="178"/>
      <c r="AT110" s="178"/>
      <c r="AU110" s="179"/>
      <c r="AV110" s="177"/>
      <c r="AW110" s="178"/>
      <c r="AX110" s="178"/>
      <c r="AY110" s="178"/>
      <c r="AZ110" s="179"/>
      <c r="BA110" s="177"/>
      <c r="BB110" s="178"/>
      <c r="BC110" s="178"/>
      <c r="BD110" s="178"/>
      <c r="BE110" s="179"/>
      <c r="BF110" s="177">
        <f t="shared" si="29"/>
        <v>0</v>
      </c>
      <c r="BG110" s="178">
        <f t="shared" si="23"/>
        <v>0</v>
      </c>
      <c r="BH110" s="178">
        <f t="shared" si="24"/>
        <v>0</v>
      </c>
      <c r="BI110" s="178">
        <f t="shared" si="25"/>
        <v>0</v>
      </c>
      <c r="BJ110" s="179">
        <f t="shared" si="26"/>
        <v>0</v>
      </c>
      <c r="BK110" s="177"/>
      <c r="BL110" s="178"/>
      <c r="BM110" s="178"/>
      <c r="BN110" s="178"/>
      <c r="BO110" s="179"/>
      <c r="BP110" s="177"/>
      <c r="BQ110" s="178"/>
      <c r="BR110" s="178"/>
      <c r="BS110" s="178"/>
      <c r="BT110" s="179"/>
      <c r="BU110" s="177"/>
      <c r="BV110" s="178"/>
      <c r="BW110" s="178"/>
      <c r="BX110" s="178"/>
      <c r="BY110" s="179"/>
      <c r="BZ110" s="177"/>
      <c r="CA110" s="178"/>
      <c r="CB110" s="178"/>
      <c r="CC110" s="178"/>
      <c r="CD110" s="179"/>
      <c r="CE110" s="177"/>
      <c r="CF110" s="178"/>
      <c r="CG110" s="178"/>
      <c r="CH110" s="178"/>
      <c r="CI110" s="179"/>
    </row>
    <row r="111" spans="1:87">
      <c r="A111" s="170" t="s">
        <v>99</v>
      </c>
      <c r="B111" s="171" t="s">
        <v>26</v>
      </c>
      <c r="C111" s="172">
        <f t="shared" si="27"/>
        <v>354246</v>
      </c>
      <c r="D111" s="173">
        <f t="shared" si="15"/>
        <v>600300</v>
      </c>
      <c r="E111" s="173">
        <f t="shared" si="16"/>
        <v>295872</v>
      </c>
      <c r="F111" s="173">
        <f t="shared" si="17"/>
        <v>180504</v>
      </c>
      <c r="G111" s="174">
        <f t="shared" si="18"/>
        <v>1430922</v>
      </c>
      <c r="H111" s="172">
        <f t="shared" si="28"/>
        <v>341481</v>
      </c>
      <c r="I111" s="173">
        <f t="shared" si="19"/>
        <v>577047</v>
      </c>
      <c r="J111" s="173">
        <f t="shared" si="20"/>
        <v>274758</v>
      </c>
      <c r="K111" s="173">
        <f t="shared" si="21"/>
        <v>162012</v>
      </c>
      <c r="L111" s="174">
        <f t="shared" si="22"/>
        <v>1355298</v>
      </c>
      <c r="M111" s="172">
        <v>4140</v>
      </c>
      <c r="N111" s="173">
        <v>40503</v>
      </c>
      <c r="O111" s="173">
        <v>27393</v>
      </c>
      <c r="P111" s="173">
        <v>26841</v>
      </c>
      <c r="Q111" s="174">
        <v>98877</v>
      </c>
      <c r="R111" s="172">
        <v>150282</v>
      </c>
      <c r="S111" s="173">
        <v>200652</v>
      </c>
      <c r="T111" s="173">
        <v>55338</v>
      </c>
      <c r="U111" s="173"/>
      <c r="V111" s="174">
        <v>406272</v>
      </c>
      <c r="W111" s="172"/>
      <c r="X111" s="173">
        <v>17526</v>
      </c>
      <c r="Y111" s="173">
        <v>19941</v>
      </c>
      <c r="Z111" s="173">
        <v>26289</v>
      </c>
      <c r="AA111" s="174">
        <v>63756</v>
      </c>
      <c r="AB111" s="172">
        <v>90321</v>
      </c>
      <c r="AC111" s="173">
        <v>149385</v>
      </c>
      <c r="AD111" s="173">
        <v>60651</v>
      </c>
      <c r="AE111" s="173">
        <v>27945</v>
      </c>
      <c r="AF111" s="174">
        <v>328302</v>
      </c>
      <c r="AG111" s="172">
        <v>65895</v>
      </c>
      <c r="AH111" s="173">
        <v>139587</v>
      </c>
      <c r="AI111" s="173">
        <v>93633</v>
      </c>
      <c r="AJ111" s="173">
        <v>67965</v>
      </c>
      <c r="AK111" s="174">
        <v>367080</v>
      </c>
      <c r="AL111" s="172"/>
      <c r="AM111" s="173"/>
      <c r="AN111" s="173"/>
      <c r="AO111" s="173"/>
      <c r="AP111" s="174"/>
      <c r="AQ111" s="172">
        <v>30843</v>
      </c>
      <c r="AR111" s="173">
        <v>29394</v>
      </c>
      <c r="AS111" s="173">
        <v>17802</v>
      </c>
      <c r="AT111" s="173">
        <v>12972</v>
      </c>
      <c r="AU111" s="174">
        <v>91011</v>
      </c>
      <c r="AV111" s="172"/>
      <c r="AW111" s="173"/>
      <c r="AX111" s="173"/>
      <c r="AY111" s="173"/>
      <c r="AZ111" s="174"/>
      <c r="BA111" s="172"/>
      <c r="BB111" s="173"/>
      <c r="BC111" s="173"/>
      <c r="BD111" s="173"/>
      <c r="BE111" s="174"/>
      <c r="BF111" s="172">
        <f t="shared" si="29"/>
        <v>12765</v>
      </c>
      <c r="BG111" s="173">
        <f t="shared" si="23"/>
        <v>23253</v>
      </c>
      <c r="BH111" s="173">
        <f t="shared" si="24"/>
        <v>21114</v>
      </c>
      <c r="BI111" s="173">
        <f t="shared" si="25"/>
        <v>18492</v>
      </c>
      <c r="BJ111" s="174">
        <f t="shared" si="26"/>
        <v>75624</v>
      </c>
      <c r="BK111" s="172"/>
      <c r="BL111" s="173"/>
      <c r="BM111" s="173">
        <v>1104</v>
      </c>
      <c r="BN111" s="173">
        <v>3174</v>
      </c>
      <c r="BO111" s="174">
        <v>4278</v>
      </c>
      <c r="BP111" s="172"/>
      <c r="BQ111" s="173">
        <v>9729</v>
      </c>
      <c r="BR111" s="173">
        <v>10005</v>
      </c>
      <c r="BS111" s="173">
        <v>4209</v>
      </c>
      <c r="BT111" s="174">
        <v>23943</v>
      </c>
      <c r="BU111" s="172">
        <v>12765</v>
      </c>
      <c r="BV111" s="173">
        <v>13524</v>
      </c>
      <c r="BW111" s="173">
        <v>10005</v>
      </c>
      <c r="BX111" s="173">
        <v>10143</v>
      </c>
      <c r="BY111" s="174">
        <v>46437</v>
      </c>
      <c r="BZ111" s="172"/>
      <c r="CA111" s="173"/>
      <c r="CB111" s="173"/>
      <c r="CC111" s="173">
        <v>966</v>
      </c>
      <c r="CD111" s="174">
        <v>966</v>
      </c>
      <c r="CE111" s="172"/>
      <c r="CF111" s="173"/>
      <c r="CG111" s="173"/>
      <c r="CH111" s="173"/>
      <c r="CI111" s="174"/>
    </row>
    <row r="112" s="147" customFormat="1" ht="14.6" spans="1:87">
      <c r="A112" s="175" t="s">
        <v>100</v>
      </c>
      <c r="B112" s="176"/>
      <c r="C112" s="177">
        <f t="shared" si="27"/>
        <v>354246</v>
      </c>
      <c r="D112" s="178">
        <f t="shared" si="15"/>
        <v>600300</v>
      </c>
      <c r="E112" s="178">
        <f t="shared" si="16"/>
        <v>295872</v>
      </c>
      <c r="F112" s="178">
        <f t="shared" si="17"/>
        <v>180504</v>
      </c>
      <c r="G112" s="179">
        <f t="shared" si="18"/>
        <v>1430922</v>
      </c>
      <c r="H112" s="177">
        <f t="shared" si="28"/>
        <v>341481</v>
      </c>
      <c r="I112" s="178">
        <f t="shared" si="19"/>
        <v>577047</v>
      </c>
      <c r="J112" s="178">
        <f t="shared" si="20"/>
        <v>274758</v>
      </c>
      <c r="K112" s="178">
        <f t="shared" si="21"/>
        <v>162012</v>
      </c>
      <c r="L112" s="179">
        <f t="shared" si="22"/>
        <v>1355298</v>
      </c>
      <c r="M112" s="177">
        <v>4140</v>
      </c>
      <c r="N112" s="178">
        <v>40503</v>
      </c>
      <c r="O112" s="178">
        <v>27393</v>
      </c>
      <c r="P112" s="178">
        <v>26841</v>
      </c>
      <c r="Q112" s="179">
        <v>98877</v>
      </c>
      <c r="R112" s="177">
        <v>150282</v>
      </c>
      <c r="S112" s="178">
        <v>200652</v>
      </c>
      <c r="T112" s="178">
        <v>55338</v>
      </c>
      <c r="U112" s="178"/>
      <c r="V112" s="179">
        <v>406272</v>
      </c>
      <c r="W112" s="177"/>
      <c r="X112" s="178">
        <v>17526</v>
      </c>
      <c r="Y112" s="178">
        <v>19941</v>
      </c>
      <c r="Z112" s="178">
        <v>26289</v>
      </c>
      <c r="AA112" s="179">
        <v>63756</v>
      </c>
      <c r="AB112" s="177">
        <v>90321</v>
      </c>
      <c r="AC112" s="178">
        <v>149385</v>
      </c>
      <c r="AD112" s="178">
        <v>60651</v>
      </c>
      <c r="AE112" s="178">
        <v>27945</v>
      </c>
      <c r="AF112" s="179">
        <v>328302</v>
      </c>
      <c r="AG112" s="177">
        <v>65895</v>
      </c>
      <c r="AH112" s="178">
        <v>139587</v>
      </c>
      <c r="AI112" s="178">
        <v>93633</v>
      </c>
      <c r="AJ112" s="178">
        <v>67965</v>
      </c>
      <c r="AK112" s="179">
        <v>367080</v>
      </c>
      <c r="AL112" s="177"/>
      <c r="AM112" s="178"/>
      <c r="AN112" s="178"/>
      <c r="AO112" s="178"/>
      <c r="AP112" s="179"/>
      <c r="AQ112" s="177">
        <v>30843</v>
      </c>
      <c r="AR112" s="178">
        <v>29394</v>
      </c>
      <c r="AS112" s="178">
        <v>17802</v>
      </c>
      <c r="AT112" s="178">
        <v>12972</v>
      </c>
      <c r="AU112" s="179">
        <v>91011</v>
      </c>
      <c r="AV112" s="177"/>
      <c r="AW112" s="178"/>
      <c r="AX112" s="178"/>
      <c r="AY112" s="178"/>
      <c r="AZ112" s="179"/>
      <c r="BA112" s="177"/>
      <c r="BB112" s="178"/>
      <c r="BC112" s="178"/>
      <c r="BD112" s="178"/>
      <c r="BE112" s="179"/>
      <c r="BF112" s="177">
        <f t="shared" si="29"/>
        <v>12765</v>
      </c>
      <c r="BG112" s="178">
        <f t="shared" si="23"/>
        <v>23253</v>
      </c>
      <c r="BH112" s="178">
        <f t="shared" si="24"/>
        <v>21114</v>
      </c>
      <c r="BI112" s="178">
        <f t="shared" si="25"/>
        <v>18492</v>
      </c>
      <c r="BJ112" s="179">
        <f t="shared" si="26"/>
        <v>75624</v>
      </c>
      <c r="BK112" s="177"/>
      <c r="BL112" s="178"/>
      <c r="BM112" s="178">
        <v>1104</v>
      </c>
      <c r="BN112" s="178">
        <v>3174</v>
      </c>
      <c r="BO112" s="179">
        <v>4278</v>
      </c>
      <c r="BP112" s="177"/>
      <c r="BQ112" s="178">
        <v>9729</v>
      </c>
      <c r="BR112" s="178">
        <v>10005</v>
      </c>
      <c r="BS112" s="178">
        <v>4209</v>
      </c>
      <c r="BT112" s="179">
        <v>23943</v>
      </c>
      <c r="BU112" s="177">
        <v>12765</v>
      </c>
      <c r="BV112" s="178">
        <v>13524</v>
      </c>
      <c r="BW112" s="178">
        <v>10005</v>
      </c>
      <c r="BX112" s="178">
        <v>10143</v>
      </c>
      <c r="BY112" s="179">
        <v>46437</v>
      </c>
      <c r="BZ112" s="177"/>
      <c r="CA112" s="178"/>
      <c r="CB112" s="178"/>
      <c r="CC112" s="178">
        <v>966</v>
      </c>
      <c r="CD112" s="179">
        <v>966</v>
      </c>
      <c r="CE112" s="177"/>
      <c r="CF112" s="178"/>
      <c r="CG112" s="178"/>
      <c r="CH112" s="178"/>
      <c r="CI112" s="179"/>
    </row>
    <row r="113" spans="1:87">
      <c r="A113" s="170" t="s">
        <v>101</v>
      </c>
      <c r="B113" s="171" t="s">
        <v>26</v>
      </c>
      <c r="C113" s="172">
        <f t="shared" si="27"/>
        <v>205588</v>
      </c>
      <c r="D113" s="173">
        <f t="shared" si="15"/>
        <v>317569</v>
      </c>
      <c r="E113" s="173">
        <f t="shared" si="16"/>
        <v>240060</v>
      </c>
      <c r="F113" s="173">
        <f t="shared" si="17"/>
        <v>576560</v>
      </c>
      <c r="G113" s="174">
        <f t="shared" si="18"/>
        <v>1339777</v>
      </c>
      <c r="H113" s="172">
        <f t="shared" si="28"/>
        <v>201884</v>
      </c>
      <c r="I113" s="173">
        <f t="shared" si="19"/>
        <v>317272</v>
      </c>
      <c r="J113" s="173">
        <f t="shared" si="20"/>
        <v>229032</v>
      </c>
      <c r="K113" s="173">
        <f t="shared" si="21"/>
        <v>573529</v>
      </c>
      <c r="L113" s="174">
        <f t="shared" si="22"/>
        <v>1321717</v>
      </c>
      <c r="M113" s="172">
        <v>207</v>
      </c>
      <c r="N113" s="173">
        <v>42342</v>
      </c>
      <c r="O113" s="173"/>
      <c r="P113" s="173"/>
      <c r="Q113" s="174">
        <v>42549</v>
      </c>
      <c r="R113" s="172">
        <v>43237</v>
      </c>
      <c r="S113" s="173">
        <v>48172</v>
      </c>
      <c r="T113" s="173">
        <v>49324</v>
      </c>
      <c r="U113" s="173">
        <v>58545</v>
      </c>
      <c r="V113" s="174">
        <v>199278</v>
      </c>
      <c r="W113" s="172">
        <v>19199</v>
      </c>
      <c r="X113" s="173">
        <v>26435</v>
      </c>
      <c r="Y113" s="173">
        <v>47751</v>
      </c>
      <c r="Z113" s="173">
        <v>38649</v>
      </c>
      <c r="AA113" s="174">
        <v>132034</v>
      </c>
      <c r="AB113" s="172">
        <v>42538</v>
      </c>
      <c r="AC113" s="173">
        <v>43220</v>
      </c>
      <c r="AD113" s="173">
        <v>35731</v>
      </c>
      <c r="AE113" s="173">
        <v>29388</v>
      </c>
      <c r="AF113" s="174">
        <v>150877</v>
      </c>
      <c r="AG113" s="172">
        <v>75755</v>
      </c>
      <c r="AH113" s="173">
        <v>134768</v>
      </c>
      <c r="AI113" s="173">
        <v>77094</v>
      </c>
      <c r="AJ113" s="173">
        <v>395592</v>
      </c>
      <c r="AK113" s="174">
        <v>683209</v>
      </c>
      <c r="AL113" s="172">
        <v>12689</v>
      </c>
      <c r="AM113" s="173">
        <v>10839</v>
      </c>
      <c r="AN113" s="173">
        <v>12569</v>
      </c>
      <c r="AO113" s="173">
        <v>12525</v>
      </c>
      <c r="AP113" s="174">
        <v>48622</v>
      </c>
      <c r="AQ113" s="172">
        <v>6879</v>
      </c>
      <c r="AR113" s="173">
        <v>10944</v>
      </c>
      <c r="AS113" s="173">
        <v>6287</v>
      </c>
      <c r="AT113" s="173">
        <v>38623</v>
      </c>
      <c r="AU113" s="174">
        <v>62733</v>
      </c>
      <c r="AV113" s="172">
        <v>276</v>
      </c>
      <c r="AW113" s="173">
        <v>138</v>
      </c>
      <c r="AX113" s="173">
        <v>138</v>
      </c>
      <c r="AY113" s="173">
        <v>207</v>
      </c>
      <c r="AZ113" s="174">
        <v>759</v>
      </c>
      <c r="BA113" s="172">
        <v>1104</v>
      </c>
      <c r="BB113" s="173">
        <v>414</v>
      </c>
      <c r="BC113" s="173">
        <v>138</v>
      </c>
      <c r="BD113" s="173"/>
      <c r="BE113" s="174">
        <v>1656</v>
      </c>
      <c r="BF113" s="172">
        <f t="shared" si="29"/>
        <v>3704</v>
      </c>
      <c r="BG113" s="173">
        <f t="shared" si="23"/>
        <v>297</v>
      </c>
      <c r="BH113" s="173">
        <f t="shared" si="24"/>
        <v>11028</v>
      </c>
      <c r="BI113" s="173">
        <f t="shared" si="25"/>
        <v>3031</v>
      </c>
      <c r="BJ113" s="174">
        <f t="shared" si="26"/>
        <v>18060</v>
      </c>
      <c r="BK113" s="172"/>
      <c r="BL113" s="173"/>
      <c r="BM113" s="173"/>
      <c r="BN113" s="173"/>
      <c r="BO113" s="174"/>
      <c r="BP113" s="172"/>
      <c r="BQ113" s="173"/>
      <c r="BR113" s="173">
        <v>259</v>
      </c>
      <c r="BS113" s="173"/>
      <c r="BT113" s="174">
        <v>259</v>
      </c>
      <c r="BU113" s="172">
        <v>3704</v>
      </c>
      <c r="BV113" s="173">
        <v>297</v>
      </c>
      <c r="BW113" s="173">
        <v>10769</v>
      </c>
      <c r="BX113" s="173">
        <v>3031</v>
      </c>
      <c r="BY113" s="174">
        <v>17801</v>
      </c>
      <c r="BZ113" s="172"/>
      <c r="CA113" s="173"/>
      <c r="CB113" s="173"/>
      <c r="CC113" s="173"/>
      <c r="CD113" s="174"/>
      <c r="CE113" s="172"/>
      <c r="CF113" s="173"/>
      <c r="CG113" s="173"/>
      <c r="CH113" s="173"/>
      <c r="CI113" s="174"/>
    </row>
    <row r="114" s="147" customFormat="1" ht="14.6" spans="1:87">
      <c r="A114" s="175" t="s">
        <v>102</v>
      </c>
      <c r="B114" s="176"/>
      <c r="C114" s="177">
        <f t="shared" si="27"/>
        <v>205588</v>
      </c>
      <c r="D114" s="178">
        <f t="shared" si="15"/>
        <v>317569</v>
      </c>
      <c r="E114" s="178">
        <f t="shared" si="16"/>
        <v>240060</v>
      </c>
      <c r="F114" s="178">
        <f t="shared" si="17"/>
        <v>576560</v>
      </c>
      <c r="G114" s="179">
        <f t="shared" si="18"/>
        <v>1339777</v>
      </c>
      <c r="H114" s="177">
        <f t="shared" si="28"/>
        <v>201884</v>
      </c>
      <c r="I114" s="178">
        <f t="shared" si="19"/>
        <v>317272</v>
      </c>
      <c r="J114" s="178">
        <f t="shared" si="20"/>
        <v>229032</v>
      </c>
      <c r="K114" s="178">
        <f t="shared" si="21"/>
        <v>573529</v>
      </c>
      <c r="L114" s="179">
        <f t="shared" si="22"/>
        <v>1321717</v>
      </c>
      <c r="M114" s="177">
        <v>207</v>
      </c>
      <c r="N114" s="178">
        <v>42342</v>
      </c>
      <c r="O114" s="178"/>
      <c r="P114" s="178"/>
      <c r="Q114" s="179">
        <v>42549</v>
      </c>
      <c r="R114" s="177">
        <v>43237</v>
      </c>
      <c r="S114" s="178">
        <v>48172</v>
      </c>
      <c r="T114" s="178">
        <v>49324</v>
      </c>
      <c r="U114" s="178">
        <v>58545</v>
      </c>
      <c r="V114" s="179">
        <v>199278</v>
      </c>
      <c r="W114" s="177">
        <v>19199</v>
      </c>
      <c r="X114" s="178">
        <v>26435</v>
      </c>
      <c r="Y114" s="178">
        <v>47751</v>
      </c>
      <c r="Z114" s="178">
        <v>38649</v>
      </c>
      <c r="AA114" s="179">
        <v>132034</v>
      </c>
      <c r="AB114" s="177">
        <v>42538</v>
      </c>
      <c r="AC114" s="178">
        <v>43220</v>
      </c>
      <c r="AD114" s="178">
        <v>35731</v>
      </c>
      <c r="AE114" s="178">
        <v>29388</v>
      </c>
      <c r="AF114" s="179">
        <v>150877</v>
      </c>
      <c r="AG114" s="177">
        <v>75755</v>
      </c>
      <c r="AH114" s="178">
        <v>134768</v>
      </c>
      <c r="AI114" s="178">
        <v>77094</v>
      </c>
      <c r="AJ114" s="178">
        <v>395592</v>
      </c>
      <c r="AK114" s="179">
        <v>683209</v>
      </c>
      <c r="AL114" s="177">
        <v>12689</v>
      </c>
      <c r="AM114" s="178">
        <v>10839</v>
      </c>
      <c r="AN114" s="178">
        <v>12569</v>
      </c>
      <c r="AO114" s="178">
        <v>12525</v>
      </c>
      <c r="AP114" s="179">
        <v>48622</v>
      </c>
      <c r="AQ114" s="177">
        <v>6879</v>
      </c>
      <c r="AR114" s="178">
        <v>10944</v>
      </c>
      <c r="AS114" s="178">
        <v>6287</v>
      </c>
      <c r="AT114" s="178">
        <v>38623</v>
      </c>
      <c r="AU114" s="179">
        <v>62733</v>
      </c>
      <c r="AV114" s="177">
        <v>276</v>
      </c>
      <c r="AW114" s="178">
        <v>138</v>
      </c>
      <c r="AX114" s="178">
        <v>138</v>
      </c>
      <c r="AY114" s="178">
        <v>207</v>
      </c>
      <c r="AZ114" s="179">
        <v>759</v>
      </c>
      <c r="BA114" s="177">
        <v>1104</v>
      </c>
      <c r="BB114" s="178">
        <v>414</v>
      </c>
      <c r="BC114" s="178">
        <v>138</v>
      </c>
      <c r="BD114" s="178"/>
      <c r="BE114" s="179">
        <v>1656</v>
      </c>
      <c r="BF114" s="177">
        <f t="shared" si="29"/>
        <v>3704</v>
      </c>
      <c r="BG114" s="178">
        <f t="shared" si="23"/>
        <v>297</v>
      </c>
      <c r="BH114" s="178">
        <f t="shared" si="24"/>
        <v>11028</v>
      </c>
      <c r="BI114" s="178">
        <f t="shared" si="25"/>
        <v>3031</v>
      </c>
      <c r="BJ114" s="179">
        <f t="shared" si="26"/>
        <v>18060</v>
      </c>
      <c r="BK114" s="177"/>
      <c r="BL114" s="178"/>
      <c r="BM114" s="178"/>
      <c r="BN114" s="178"/>
      <c r="BO114" s="179"/>
      <c r="BP114" s="177"/>
      <c r="BQ114" s="178"/>
      <c r="BR114" s="178">
        <v>259</v>
      </c>
      <c r="BS114" s="178"/>
      <c r="BT114" s="179">
        <v>259</v>
      </c>
      <c r="BU114" s="177">
        <v>3704</v>
      </c>
      <c r="BV114" s="178">
        <v>297</v>
      </c>
      <c r="BW114" s="178">
        <v>10769</v>
      </c>
      <c r="BX114" s="178">
        <v>3031</v>
      </c>
      <c r="BY114" s="179">
        <v>17801</v>
      </c>
      <c r="BZ114" s="177"/>
      <c r="CA114" s="178"/>
      <c r="CB114" s="178"/>
      <c r="CC114" s="178"/>
      <c r="CD114" s="179"/>
      <c r="CE114" s="177"/>
      <c r="CF114" s="178"/>
      <c r="CG114" s="178"/>
      <c r="CH114" s="178"/>
      <c r="CI114" s="179"/>
    </row>
    <row r="115" spans="1:87">
      <c r="A115" s="170" t="s">
        <v>103</v>
      </c>
      <c r="B115" s="171" t="s">
        <v>26</v>
      </c>
      <c r="C115" s="172">
        <f t="shared" si="27"/>
        <v>0</v>
      </c>
      <c r="D115" s="173">
        <f t="shared" si="15"/>
        <v>0</v>
      </c>
      <c r="E115" s="173">
        <f t="shared" si="16"/>
        <v>0</v>
      </c>
      <c r="F115" s="173">
        <f t="shared" si="17"/>
        <v>1161960</v>
      </c>
      <c r="G115" s="174">
        <f t="shared" si="18"/>
        <v>1161960</v>
      </c>
      <c r="H115" s="172">
        <f t="shared" si="28"/>
        <v>0</v>
      </c>
      <c r="I115" s="173">
        <f t="shared" si="19"/>
        <v>0</v>
      </c>
      <c r="J115" s="173">
        <f t="shared" si="20"/>
        <v>0</v>
      </c>
      <c r="K115" s="173">
        <f t="shared" si="21"/>
        <v>1161960</v>
      </c>
      <c r="L115" s="174">
        <f t="shared" si="22"/>
        <v>1161960</v>
      </c>
      <c r="M115" s="172"/>
      <c r="N115" s="173"/>
      <c r="O115" s="173"/>
      <c r="P115" s="173"/>
      <c r="Q115" s="174"/>
      <c r="R115" s="172"/>
      <c r="S115" s="173"/>
      <c r="T115" s="173"/>
      <c r="U115" s="173">
        <v>188370</v>
      </c>
      <c r="V115" s="174">
        <v>188370</v>
      </c>
      <c r="W115" s="172"/>
      <c r="X115" s="173"/>
      <c r="Y115" s="173"/>
      <c r="Z115" s="173">
        <v>125166</v>
      </c>
      <c r="AA115" s="174">
        <v>125166</v>
      </c>
      <c r="AB115" s="172"/>
      <c r="AC115" s="173"/>
      <c r="AD115" s="173"/>
      <c r="AE115" s="173">
        <v>272550</v>
      </c>
      <c r="AF115" s="174">
        <v>272550</v>
      </c>
      <c r="AG115" s="172"/>
      <c r="AH115" s="173"/>
      <c r="AI115" s="173"/>
      <c r="AJ115" s="173">
        <v>339618</v>
      </c>
      <c r="AK115" s="174">
        <v>339618</v>
      </c>
      <c r="AL115" s="172"/>
      <c r="AM115" s="173"/>
      <c r="AN115" s="173"/>
      <c r="AO115" s="173">
        <v>5520</v>
      </c>
      <c r="AP115" s="174">
        <v>5520</v>
      </c>
      <c r="AQ115" s="172"/>
      <c r="AR115" s="173"/>
      <c r="AS115" s="173"/>
      <c r="AT115" s="173">
        <v>230736</v>
      </c>
      <c r="AU115" s="174">
        <v>230736</v>
      </c>
      <c r="AV115" s="172"/>
      <c r="AW115" s="173"/>
      <c r="AX115" s="173"/>
      <c r="AY115" s="173"/>
      <c r="AZ115" s="174"/>
      <c r="BA115" s="172"/>
      <c r="BB115" s="173"/>
      <c r="BC115" s="173"/>
      <c r="BD115" s="173"/>
      <c r="BE115" s="174"/>
      <c r="BF115" s="172">
        <f t="shared" si="29"/>
        <v>0</v>
      </c>
      <c r="BG115" s="173">
        <f t="shared" si="23"/>
        <v>0</v>
      </c>
      <c r="BH115" s="173">
        <f t="shared" si="24"/>
        <v>0</v>
      </c>
      <c r="BI115" s="173">
        <f t="shared" si="25"/>
        <v>0</v>
      </c>
      <c r="BJ115" s="174">
        <f t="shared" si="26"/>
        <v>0</v>
      </c>
      <c r="BK115" s="172"/>
      <c r="BL115" s="173"/>
      <c r="BM115" s="173"/>
      <c r="BN115" s="173"/>
      <c r="BO115" s="174"/>
      <c r="BP115" s="172"/>
      <c r="BQ115" s="173"/>
      <c r="BR115" s="173"/>
      <c r="BS115" s="173"/>
      <c r="BT115" s="174"/>
      <c r="BU115" s="172"/>
      <c r="BV115" s="173"/>
      <c r="BW115" s="173"/>
      <c r="BX115" s="173"/>
      <c r="BY115" s="174"/>
      <c r="BZ115" s="172"/>
      <c r="CA115" s="173"/>
      <c r="CB115" s="173"/>
      <c r="CC115" s="173"/>
      <c r="CD115" s="174"/>
      <c r="CE115" s="172"/>
      <c r="CF115" s="173"/>
      <c r="CG115" s="173"/>
      <c r="CH115" s="173"/>
      <c r="CI115" s="174"/>
    </row>
    <row r="116" s="147" customFormat="1" ht="14.6" spans="1:87">
      <c r="A116" s="175" t="s">
        <v>104</v>
      </c>
      <c r="B116" s="176"/>
      <c r="C116" s="177">
        <f t="shared" si="27"/>
        <v>0</v>
      </c>
      <c r="D116" s="178">
        <f t="shared" si="15"/>
        <v>0</v>
      </c>
      <c r="E116" s="178">
        <f t="shared" si="16"/>
        <v>0</v>
      </c>
      <c r="F116" s="178">
        <f t="shared" si="17"/>
        <v>1161960</v>
      </c>
      <c r="G116" s="179">
        <f t="shared" si="18"/>
        <v>1161960</v>
      </c>
      <c r="H116" s="177">
        <f t="shared" si="28"/>
        <v>0</v>
      </c>
      <c r="I116" s="178">
        <f t="shared" si="19"/>
        <v>0</v>
      </c>
      <c r="J116" s="178">
        <f t="shared" si="20"/>
        <v>0</v>
      </c>
      <c r="K116" s="178">
        <f t="shared" si="21"/>
        <v>1161960</v>
      </c>
      <c r="L116" s="179">
        <f t="shared" si="22"/>
        <v>1161960</v>
      </c>
      <c r="M116" s="177"/>
      <c r="N116" s="178"/>
      <c r="O116" s="178"/>
      <c r="P116" s="178"/>
      <c r="Q116" s="179"/>
      <c r="R116" s="177"/>
      <c r="S116" s="178"/>
      <c r="T116" s="178"/>
      <c r="U116" s="178">
        <v>188370</v>
      </c>
      <c r="V116" s="179">
        <v>188370</v>
      </c>
      <c r="W116" s="177"/>
      <c r="X116" s="178"/>
      <c r="Y116" s="178"/>
      <c r="Z116" s="178">
        <v>125166</v>
      </c>
      <c r="AA116" s="179">
        <v>125166</v>
      </c>
      <c r="AB116" s="177"/>
      <c r="AC116" s="178"/>
      <c r="AD116" s="178"/>
      <c r="AE116" s="178">
        <v>272550</v>
      </c>
      <c r="AF116" s="179">
        <v>272550</v>
      </c>
      <c r="AG116" s="177"/>
      <c r="AH116" s="178"/>
      <c r="AI116" s="178"/>
      <c r="AJ116" s="178">
        <v>339618</v>
      </c>
      <c r="AK116" s="179">
        <v>339618</v>
      </c>
      <c r="AL116" s="177"/>
      <c r="AM116" s="178"/>
      <c r="AN116" s="178"/>
      <c r="AO116" s="178">
        <v>5520</v>
      </c>
      <c r="AP116" s="179">
        <v>5520</v>
      </c>
      <c r="AQ116" s="177"/>
      <c r="AR116" s="178"/>
      <c r="AS116" s="178"/>
      <c r="AT116" s="178">
        <v>230736</v>
      </c>
      <c r="AU116" s="179">
        <v>230736</v>
      </c>
      <c r="AV116" s="177"/>
      <c r="AW116" s="178"/>
      <c r="AX116" s="178"/>
      <c r="AY116" s="178"/>
      <c r="AZ116" s="179"/>
      <c r="BA116" s="177"/>
      <c r="BB116" s="178"/>
      <c r="BC116" s="178"/>
      <c r="BD116" s="178"/>
      <c r="BE116" s="179"/>
      <c r="BF116" s="177">
        <f t="shared" si="29"/>
        <v>0</v>
      </c>
      <c r="BG116" s="178">
        <f t="shared" si="23"/>
        <v>0</v>
      </c>
      <c r="BH116" s="178">
        <f t="shared" si="24"/>
        <v>0</v>
      </c>
      <c r="BI116" s="178">
        <f t="shared" si="25"/>
        <v>0</v>
      </c>
      <c r="BJ116" s="179">
        <f t="shared" si="26"/>
        <v>0</v>
      </c>
      <c r="BK116" s="177"/>
      <c r="BL116" s="178"/>
      <c r="BM116" s="178"/>
      <c r="BN116" s="178"/>
      <c r="BO116" s="179"/>
      <c r="BP116" s="177"/>
      <c r="BQ116" s="178"/>
      <c r="BR116" s="178"/>
      <c r="BS116" s="178"/>
      <c r="BT116" s="179"/>
      <c r="BU116" s="177"/>
      <c r="BV116" s="178"/>
      <c r="BW116" s="178"/>
      <c r="BX116" s="178"/>
      <c r="BY116" s="179"/>
      <c r="BZ116" s="177"/>
      <c r="CA116" s="178"/>
      <c r="CB116" s="178"/>
      <c r="CC116" s="178"/>
      <c r="CD116" s="179"/>
      <c r="CE116" s="177"/>
      <c r="CF116" s="178"/>
      <c r="CG116" s="178"/>
      <c r="CH116" s="178"/>
      <c r="CI116" s="179"/>
    </row>
    <row r="117" spans="1:87">
      <c r="A117" s="170" t="s">
        <v>105</v>
      </c>
      <c r="B117" s="171" t="s">
        <v>26</v>
      </c>
      <c r="C117" s="172">
        <f t="shared" si="27"/>
        <v>170938</v>
      </c>
      <c r="D117" s="173">
        <f t="shared" si="15"/>
        <v>100144</v>
      </c>
      <c r="E117" s="173">
        <f t="shared" si="16"/>
        <v>70917</v>
      </c>
      <c r="F117" s="173">
        <f t="shared" si="17"/>
        <v>56464</v>
      </c>
      <c r="G117" s="174">
        <f t="shared" si="18"/>
        <v>398463</v>
      </c>
      <c r="H117" s="172">
        <f t="shared" si="28"/>
        <v>152688</v>
      </c>
      <c r="I117" s="173">
        <f t="shared" si="19"/>
        <v>96786</v>
      </c>
      <c r="J117" s="173">
        <f t="shared" si="20"/>
        <v>68833</v>
      </c>
      <c r="K117" s="173">
        <f t="shared" si="21"/>
        <v>50193</v>
      </c>
      <c r="L117" s="174">
        <f t="shared" si="22"/>
        <v>368500</v>
      </c>
      <c r="M117" s="172">
        <v>57117</v>
      </c>
      <c r="N117" s="173">
        <v>25178</v>
      </c>
      <c r="O117" s="173">
        <v>12510</v>
      </c>
      <c r="P117" s="173">
        <v>6901</v>
      </c>
      <c r="Q117" s="174">
        <v>101706</v>
      </c>
      <c r="R117" s="172">
        <v>25952</v>
      </c>
      <c r="S117" s="173">
        <v>22970</v>
      </c>
      <c r="T117" s="173">
        <v>8523</v>
      </c>
      <c r="U117" s="173">
        <v>7031</v>
      </c>
      <c r="V117" s="174">
        <v>64476</v>
      </c>
      <c r="W117" s="172">
        <v>7821</v>
      </c>
      <c r="X117" s="173">
        <v>4898</v>
      </c>
      <c r="Y117" s="173">
        <v>6636</v>
      </c>
      <c r="Z117" s="173">
        <v>7742</v>
      </c>
      <c r="AA117" s="174">
        <v>27097</v>
      </c>
      <c r="AB117" s="172">
        <v>49977</v>
      </c>
      <c r="AC117" s="173">
        <v>34557</v>
      </c>
      <c r="AD117" s="173">
        <v>30144</v>
      </c>
      <c r="AE117" s="173">
        <v>16434</v>
      </c>
      <c r="AF117" s="174">
        <v>131112</v>
      </c>
      <c r="AG117" s="172"/>
      <c r="AH117" s="173"/>
      <c r="AI117" s="173"/>
      <c r="AJ117" s="173"/>
      <c r="AK117" s="174"/>
      <c r="AL117" s="172">
        <v>3953</v>
      </c>
      <c r="AM117" s="173">
        <v>3558</v>
      </c>
      <c r="AN117" s="173">
        <v>4326</v>
      </c>
      <c r="AO117" s="173">
        <v>4839</v>
      </c>
      <c r="AP117" s="174">
        <v>16676</v>
      </c>
      <c r="AQ117" s="172">
        <v>1199</v>
      </c>
      <c r="AR117" s="173">
        <v>1199</v>
      </c>
      <c r="AS117" s="173">
        <v>1199</v>
      </c>
      <c r="AT117" s="173"/>
      <c r="AU117" s="174">
        <v>3597</v>
      </c>
      <c r="AV117" s="172">
        <v>2956</v>
      </c>
      <c r="AW117" s="173">
        <v>2293</v>
      </c>
      <c r="AX117" s="173">
        <v>2481</v>
      </c>
      <c r="AY117" s="173">
        <v>3549</v>
      </c>
      <c r="AZ117" s="174">
        <v>11279</v>
      </c>
      <c r="BA117" s="172">
        <v>3713</v>
      </c>
      <c r="BB117" s="173">
        <v>2133</v>
      </c>
      <c r="BC117" s="173">
        <v>3014</v>
      </c>
      <c r="BD117" s="173">
        <v>3697</v>
      </c>
      <c r="BE117" s="174">
        <v>12557</v>
      </c>
      <c r="BF117" s="172">
        <f t="shared" si="29"/>
        <v>18250</v>
      </c>
      <c r="BG117" s="173">
        <f t="shared" si="23"/>
        <v>3358</v>
      </c>
      <c r="BH117" s="173">
        <f t="shared" si="24"/>
        <v>2084</v>
      </c>
      <c r="BI117" s="173">
        <f t="shared" si="25"/>
        <v>6271</v>
      </c>
      <c r="BJ117" s="174">
        <f t="shared" si="26"/>
        <v>29963</v>
      </c>
      <c r="BK117" s="172"/>
      <c r="BL117" s="173"/>
      <c r="BM117" s="173"/>
      <c r="BN117" s="173"/>
      <c r="BO117" s="174"/>
      <c r="BP117" s="172">
        <v>14378</v>
      </c>
      <c r="BQ117" s="173">
        <v>316</v>
      </c>
      <c r="BR117" s="173">
        <v>395</v>
      </c>
      <c r="BS117" s="173">
        <v>395</v>
      </c>
      <c r="BT117" s="174">
        <v>15484</v>
      </c>
      <c r="BU117" s="172">
        <v>1344</v>
      </c>
      <c r="BV117" s="173">
        <v>356</v>
      </c>
      <c r="BW117" s="173">
        <v>346</v>
      </c>
      <c r="BX117" s="173">
        <v>4296</v>
      </c>
      <c r="BY117" s="174">
        <v>6342</v>
      </c>
      <c r="BZ117" s="172">
        <v>2528</v>
      </c>
      <c r="CA117" s="173">
        <v>2686</v>
      </c>
      <c r="CB117" s="173">
        <v>1343</v>
      </c>
      <c r="CC117" s="173">
        <v>1580</v>
      </c>
      <c r="CD117" s="174">
        <v>8137</v>
      </c>
      <c r="CE117" s="172"/>
      <c r="CF117" s="173"/>
      <c r="CG117" s="173"/>
      <c r="CH117" s="173"/>
      <c r="CI117" s="174"/>
    </row>
    <row r="118" spans="1:87">
      <c r="A118" s="170"/>
      <c r="B118" s="171" t="s">
        <v>27</v>
      </c>
      <c r="C118" s="172">
        <f t="shared" si="27"/>
        <v>0</v>
      </c>
      <c r="D118" s="173">
        <f t="shared" si="15"/>
        <v>32568</v>
      </c>
      <c r="E118" s="173">
        <f t="shared" si="16"/>
        <v>44722</v>
      </c>
      <c r="F118" s="173">
        <f t="shared" si="17"/>
        <v>45194</v>
      </c>
      <c r="G118" s="174">
        <f t="shared" si="18"/>
        <v>122484</v>
      </c>
      <c r="H118" s="172">
        <f t="shared" si="28"/>
        <v>0</v>
      </c>
      <c r="I118" s="173">
        <f t="shared" si="19"/>
        <v>32568</v>
      </c>
      <c r="J118" s="173">
        <f t="shared" si="20"/>
        <v>44722</v>
      </c>
      <c r="K118" s="173">
        <f t="shared" si="21"/>
        <v>45194</v>
      </c>
      <c r="L118" s="174">
        <f t="shared" si="22"/>
        <v>122484</v>
      </c>
      <c r="M118" s="172"/>
      <c r="N118" s="173">
        <v>32568</v>
      </c>
      <c r="O118" s="173">
        <v>44722</v>
      </c>
      <c r="P118" s="173">
        <v>45194</v>
      </c>
      <c r="Q118" s="174">
        <v>122484</v>
      </c>
      <c r="R118" s="172"/>
      <c r="S118" s="173"/>
      <c r="T118" s="173"/>
      <c r="U118" s="173"/>
      <c r="V118" s="174"/>
      <c r="W118" s="172"/>
      <c r="X118" s="173"/>
      <c r="Y118" s="173"/>
      <c r="Z118" s="173"/>
      <c r="AA118" s="174"/>
      <c r="AB118" s="172"/>
      <c r="AC118" s="173"/>
      <c r="AD118" s="173"/>
      <c r="AE118" s="173"/>
      <c r="AF118" s="174"/>
      <c r="AG118" s="172"/>
      <c r="AH118" s="173"/>
      <c r="AI118" s="173"/>
      <c r="AJ118" s="173"/>
      <c r="AK118" s="174"/>
      <c r="AL118" s="172"/>
      <c r="AM118" s="173"/>
      <c r="AN118" s="173"/>
      <c r="AO118" s="173"/>
      <c r="AP118" s="174"/>
      <c r="AQ118" s="172"/>
      <c r="AR118" s="173"/>
      <c r="AS118" s="173"/>
      <c r="AT118" s="173"/>
      <c r="AU118" s="174"/>
      <c r="AV118" s="172"/>
      <c r="AW118" s="173"/>
      <c r="AX118" s="173"/>
      <c r="AY118" s="173"/>
      <c r="AZ118" s="174"/>
      <c r="BA118" s="172"/>
      <c r="BB118" s="173"/>
      <c r="BC118" s="173"/>
      <c r="BD118" s="173"/>
      <c r="BE118" s="174"/>
      <c r="BF118" s="172">
        <f t="shared" si="29"/>
        <v>0</v>
      </c>
      <c r="BG118" s="173">
        <f t="shared" si="23"/>
        <v>0</v>
      </c>
      <c r="BH118" s="173">
        <f t="shared" si="24"/>
        <v>0</v>
      </c>
      <c r="BI118" s="173">
        <f t="shared" si="25"/>
        <v>0</v>
      </c>
      <c r="BJ118" s="174">
        <f t="shared" si="26"/>
        <v>0</v>
      </c>
      <c r="BK118" s="172"/>
      <c r="BL118" s="173"/>
      <c r="BM118" s="173"/>
      <c r="BN118" s="173"/>
      <c r="BO118" s="174"/>
      <c r="BP118" s="172"/>
      <c r="BQ118" s="173"/>
      <c r="BR118" s="173"/>
      <c r="BS118" s="173"/>
      <c r="BT118" s="174"/>
      <c r="BU118" s="172"/>
      <c r="BV118" s="173"/>
      <c r="BW118" s="173"/>
      <c r="BX118" s="173"/>
      <c r="BY118" s="174"/>
      <c r="BZ118" s="172"/>
      <c r="CA118" s="173"/>
      <c r="CB118" s="173"/>
      <c r="CC118" s="173"/>
      <c r="CD118" s="174"/>
      <c r="CE118" s="172"/>
      <c r="CF118" s="173"/>
      <c r="CG118" s="173"/>
      <c r="CH118" s="173"/>
      <c r="CI118" s="174"/>
    </row>
    <row r="119" spans="1:87">
      <c r="A119" s="170"/>
      <c r="B119" s="171" t="s">
        <v>28</v>
      </c>
      <c r="C119" s="172">
        <f t="shared" si="27"/>
        <v>213140</v>
      </c>
      <c r="D119" s="173">
        <f t="shared" si="15"/>
        <v>129033</v>
      </c>
      <c r="E119" s="173">
        <f t="shared" si="16"/>
        <v>131393</v>
      </c>
      <c r="F119" s="173">
        <f t="shared" si="17"/>
        <v>111451</v>
      </c>
      <c r="G119" s="174">
        <f t="shared" si="18"/>
        <v>585017</v>
      </c>
      <c r="H119" s="172">
        <f t="shared" si="28"/>
        <v>198272</v>
      </c>
      <c r="I119" s="173">
        <f t="shared" si="19"/>
        <v>115758</v>
      </c>
      <c r="J119" s="173">
        <f t="shared" si="20"/>
        <v>121068</v>
      </c>
      <c r="K119" s="173">
        <f t="shared" si="21"/>
        <v>104489</v>
      </c>
      <c r="L119" s="174">
        <f t="shared" si="22"/>
        <v>539587</v>
      </c>
      <c r="M119" s="172">
        <v>4012</v>
      </c>
      <c r="N119" s="173">
        <v>4012</v>
      </c>
      <c r="O119" s="173">
        <v>1062</v>
      </c>
      <c r="P119" s="173">
        <v>3068</v>
      </c>
      <c r="Q119" s="174">
        <v>12154</v>
      </c>
      <c r="R119" s="172">
        <v>59</v>
      </c>
      <c r="S119" s="173">
        <v>531</v>
      </c>
      <c r="T119" s="173"/>
      <c r="U119" s="173">
        <v>177</v>
      </c>
      <c r="V119" s="174">
        <v>767</v>
      </c>
      <c r="W119" s="172">
        <v>86789</v>
      </c>
      <c r="X119" s="173">
        <v>46551</v>
      </c>
      <c r="Y119" s="173">
        <v>28969</v>
      </c>
      <c r="Z119" s="173">
        <v>42480</v>
      </c>
      <c r="AA119" s="174">
        <v>204789</v>
      </c>
      <c r="AB119" s="172">
        <v>90715</v>
      </c>
      <c r="AC119" s="173">
        <v>53513</v>
      </c>
      <c r="AD119" s="173">
        <v>38468</v>
      </c>
      <c r="AE119" s="173">
        <v>25724</v>
      </c>
      <c r="AF119" s="174">
        <v>208420</v>
      </c>
      <c r="AG119" s="172">
        <v>8083</v>
      </c>
      <c r="AH119" s="173">
        <v>2183</v>
      </c>
      <c r="AI119" s="173">
        <v>39825</v>
      </c>
      <c r="AJ119" s="173">
        <v>26078</v>
      </c>
      <c r="AK119" s="174">
        <v>76169</v>
      </c>
      <c r="AL119" s="172">
        <v>8614</v>
      </c>
      <c r="AM119" s="173">
        <v>8968</v>
      </c>
      <c r="AN119" s="173">
        <v>12744</v>
      </c>
      <c r="AO119" s="173">
        <v>6962</v>
      </c>
      <c r="AP119" s="174">
        <v>37288</v>
      </c>
      <c r="AQ119" s="172"/>
      <c r="AR119" s="173"/>
      <c r="AS119" s="173"/>
      <c r="AT119" s="173"/>
      <c r="AU119" s="174"/>
      <c r="AV119" s="172"/>
      <c r="AW119" s="173"/>
      <c r="AX119" s="173"/>
      <c r="AY119" s="173"/>
      <c r="AZ119" s="174"/>
      <c r="BA119" s="172"/>
      <c r="BB119" s="173"/>
      <c r="BC119" s="173"/>
      <c r="BD119" s="173"/>
      <c r="BE119" s="174"/>
      <c r="BF119" s="172">
        <f t="shared" si="29"/>
        <v>14868</v>
      </c>
      <c r="BG119" s="173">
        <f t="shared" si="23"/>
        <v>13275</v>
      </c>
      <c r="BH119" s="173">
        <f t="shared" si="24"/>
        <v>10325</v>
      </c>
      <c r="BI119" s="173">
        <f t="shared" si="25"/>
        <v>6962</v>
      </c>
      <c r="BJ119" s="174">
        <f t="shared" si="26"/>
        <v>45430</v>
      </c>
      <c r="BK119" s="172">
        <v>1888</v>
      </c>
      <c r="BL119" s="173">
        <v>1534</v>
      </c>
      <c r="BM119" s="173">
        <v>118</v>
      </c>
      <c r="BN119" s="173"/>
      <c r="BO119" s="174">
        <v>3540</v>
      </c>
      <c r="BP119" s="172">
        <v>2596</v>
      </c>
      <c r="BQ119" s="173">
        <v>4130</v>
      </c>
      <c r="BR119" s="173">
        <v>2596</v>
      </c>
      <c r="BS119" s="173">
        <v>1947</v>
      </c>
      <c r="BT119" s="174">
        <v>11269</v>
      </c>
      <c r="BU119" s="172">
        <v>10384</v>
      </c>
      <c r="BV119" s="173">
        <v>7611</v>
      </c>
      <c r="BW119" s="173">
        <v>7611</v>
      </c>
      <c r="BX119" s="173">
        <v>5015</v>
      </c>
      <c r="BY119" s="174">
        <v>30621</v>
      </c>
      <c r="BZ119" s="172"/>
      <c r="CA119" s="173"/>
      <c r="CB119" s="173"/>
      <c r="CC119" s="173"/>
      <c r="CD119" s="174"/>
      <c r="CE119" s="172"/>
      <c r="CF119" s="173"/>
      <c r="CG119" s="173"/>
      <c r="CH119" s="173"/>
      <c r="CI119" s="174"/>
    </row>
    <row r="120" s="147" customFormat="1" ht="14.6" spans="1:87">
      <c r="A120" s="175" t="s">
        <v>106</v>
      </c>
      <c r="B120" s="176"/>
      <c r="C120" s="177">
        <f t="shared" si="27"/>
        <v>384078</v>
      </c>
      <c r="D120" s="178">
        <f t="shared" si="15"/>
        <v>261745</v>
      </c>
      <c r="E120" s="178">
        <f t="shared" si="16"/>
        <v>247032</v>
      </c>
      <c r="F120" s="178">
        <f t="shared" si="17"/>
        <v>213109</v>
      </c>
      <c r="G120" s="179">
        <f t="shared" si="18"/>
        <v>1105964</v>
      </c>
      <c r="H120" s="177">
        <f t="shared" si="28"/>
        <v>350960</v>
      </c>
      <c r="I120" s="178">
        <f t="shared" si="19"/>
        <v>245112</v>
      </c>
      <c r="J120" s="178">
        <f t="shared" si="20"/>
        <v>234623</v>
      </c>
      <c r="K120" s="178">
        <f t="shared" si="21"/>
        <v>199876</v>
      </c>
      <c r="L120" s="179">
        <f t="shared" si="22"/>
        <v>1030571</v>
      </c>
      <c r="M120" s="177">
        <v>61129</v>
      </c>
      <c r="N120" s="178">
        <v>61758</v>
      </c>
      <c r="O120" s="178">
        <v>58294</v>
      </c>
      <c r="P120" s="178">
        <v>55163</v>
      </c>
      <c r="Q120" s="179">
        <v>236344</v>
      </c>
      <c r="R120" s="177">
        <v>26011</v>
      </c>
      <c r="S120" s="178">
        <v>23501</v>
      </c>
      <c r="T120" s="178">
        <v>8523</v>
      </c>
      <c r="U120" s="178">
        <v>7208</v>
      </c>
      <c r="V120" s="179">
        <v>65243</v>
      </c>
      <c r="W120" s="177">
        <v>94610</v>
      </c>
      <c r="X120" s="178">
        <v>51449</v>
      </c>
      <c r="Y120" s="178">
        <v>35605</v>
      </c>
      <c r="Z120" s="178">
        <v>50222</v>
      </c>
      <c r="AA120" s="179">
        <v>231886</v>
      </c>
      <c r="AB120" s="177">
        <v>140692</v>
      </c>
      <c r="AC120" s="178">
        <v>88070</v>
      </c>
      <c r="AD120" s="178">
        <v>68612</v>
      </c>
      <c r="AE120" s="178">
        <v>42158</v>
      </c>
      <c r="AF120" s="179">
        <v>339532</v>
      </c>
      <c r="AG120" s="177">
        <v>8083</v>
      </c>
      <c r="AH120" s="178">
        <v>2183</v>
      </c>
      <c r="AI120" s="178">
        <v>39825</v>
      </c>
      <c r="AJ120" s="178">
        <v>26078</v>
      </c>
      <c r="AK120" s="179">
        <v>76169</v>
      </c>
      <c r="AL120" s="177">
        <v>12567</v>
      </c>
      <c r="AM120" s="178">
        <v>12526</v>
      </c>
      <c r="AN120" s="178">
        <v>17070</v>
      </c>
      <c r="AO120" s="178">
        <v>11801</v>
      </c>
      <c r="AP120" s="179">
        <v>53964</v>
      </c>
      <c r="AQ120" s="177">
        <v>1199</v>
      </c>
      <c r="AR120" s="178">
        <v>1199</v>
      </c>
      <c r="AS120" s="178">
        <v>1199</v>
      </c>
      <c r="AT120" s="178"/>
      <c r="AU120" s="179">
        <v>3597</v>
      </c>
      <c r="AV120" s="177">
        <v>2956</v>
      </c>
      <c r="AW120" s="178">
        <v>2293</v>
      </c>
      <c r="AX120" s="178">
        <v>2481</v>
      </c>
      <c r="AY120" s="178">
        <v>3549</v>
      </c>
      <c r="AZ120" s="179">
        <v>11279</v>
      </c>
      <c r="BA120" s="177">
        <v>3713</v>
      </c>
      <c r="BB120" s="178">
        <v>2133</v>
      </c>
      <c r="BC120" s="178">
        <v>3014</v>
      </c>
      <c r="BD120" s="178">
        <v>3697</v>
      </c>
      <c r="BE120" s="179">
        <v>12557</v>
      </c>
      <c r="BF120" s="177">
        <f t="shared" si="29"/>
        <v>33118</v>
      </c>
      <c r="BG120" s="178">
        <f t="shared" si="23"/>
        <v>16633</v>
      </c>
      <c r="BH120" s="178">
        <f t="shared" si="24"/>
        <v>12409</v>
      </c>
      <c r="BI120" s="178">
        <f t="shared" si="25"/>
        <v>13233</v>
      </c>
      <c r="BJ120" s="179">
        <f t="shared" si="26"/>
        <v>75393</v>
      </c>
      <c r="BK120" s="177">
        <v>1888</v>
      </c>
      <c r="BL120" s="178">
        <v>1534</v>
      </c>
      <c r="BM120" s="178">
        <v>118</v>
      </c>
      <c r="BN120" s="178"/>
      <c r="BO120" s="179">
        <v>3540</v>
      </c>
      <c r="BP120" s="177">
        <v>16974</v>
      </c>
      <c r="BQ120" s="178">
        <v>4446</v>
      </c>
      <c r="BR120" s="178">
        <v>2991</v>
      </c>
      <c r="BS120" s="178">
        <v>2342</v>
      </c>
      <c r="BT120" s="179">
        <v>26753</v>
      </c>
      <c r="BU120" s="177">
        <v>11728</v>
      </c>
      <c r="BV120" s="178">
        <v>7967</v>
      </c>
      <c r="BW120" s="178">
        <v>7957</v>
      </c>
      <c r="BX120" s="178">
        <v>9311</v>
      </c>
      <c r="BY120" s="179">
        <v>36963</v>
      </c>
      <c r="BZ120" s="177">
        <v>2528</v>
      </c>
      <c r="CA120" s="178">
        <v>2686</v>
      </c>
      <c r="CB120" s="178">
        <v>1343</v>
      </c>
      <c r="CC120" s="178">
        <v>1580</v>
      </c>
      <c r="CD120" s="179">
        <v>8137</v>
      </c>
      <c r="CE120" s="177"/>
      <c r="CF120" s="178"/>
      <c r="CG120" s="178"/>
      <c r="CH120" s="178"/>
      <c r="CI120" s="179"/>
    </row>
    <row r="121" spans="1:87">
      <c r="A121" s="170" t="s">
        <v>107</v>
      </c>
      <c r="B121" s="171" t="s">
        <v>26</v>
      </c>
      <c r="C121" s="172">
        <f t="shared" si="27"/>
        <v>254939</v>
      </c>
      <c r="D121" s="173">
        <f t="shared" si="15"/>
        <v>241369</v>
      </c>
      <c r="E121" s="173">
        <f t="shared" si="16"/>
        <v>261360</v>
      </c>
      <c r="F121" s="173">
        <f t="shared" si="17"/>
        <v>226233</v>
      </c>
      <c r="G121" s="174">
        <f t="shared" si="18"/>
        <v>983901</v>
      </c>
      <c r="H121" s="172">
        <f t="shared" si="28"/>
        <v>222548</v>
      </c>
      <c r="I121" s="173">
        <f t="shared" si="19"/>
        <v>215291</v>
      </c>
      <c r="J121" s="173">
        <f t="shared" si="20"/>
        <v>242421</v>
      </c>
      <c r="K121" s="173">
        <f t="shared" si="21"/>
        <v>211070</v>
      </c>
      <c r="L121" s="174">
        <f t="shared" si="22"/>
        <v>891330</v>
      </c>
      <c r="M121" s="172">
        <v>1829</v>
      </c>
      <c r="N121" s="173">
        <v>10207</v>
      </c>
      <c r="O121" s="173">
        <v>11623</v>
      </c>
      <c r="P121" s="173">
        <v>20591</v>
      </c>
      <c r="Q121" s="174">
        <v>44250</v>
      </c>
      <c r="R121" s="172">
        <v>55047</v>
      </c>
      <c r="S121" s="173">
        <v>43601</v>
      </c>
      <c r="T121" s="173">
        <v>70709</v>
      </c>
      <c r="U121" s="173">
        <v>57198</v>
      </c>
      <c r="V121" s="174">
        <v>226555</v>
      </c>
      <c r="W121" s="172">
        <v>3304</v>
      </c>
      <c r="X121" s="173">
        <v>6313</v>
      </c>
      <c r="Y121" s="173">
        <v>6903</v>
      </c>
      <c r="Z121" s="173">
        <v>3894</v>
      </c>
      <c r="AA121" s="174">
        <v>20414</v>
      </c>
      <c r="AB121" s="172">
        <v>53336</v>
      </c>
      <c r="AC121" s="173">
        <v>39294</v>
      </c>
      <c r="AD121" s="173">
        <v>31651</v>
      </c>
      <c r="AE121" s="173">
        <v>20827</v>
      </c>
      <c r="AF121" s="174">
        <v>145108</v>
      </c>
      <c r="AG121" s="172">
        <v>48734</v>
      </c>
      <c r="AH121" s="173">
        <v>35990</v>
      </c>
      <c r="AI121" s="173">
        <v>34279</v>
      </c>
      <c r="AJ121" s="173">
        <v>20768</v>
      </c>
      <c r="AK121" s="174">
        <v>139771</v>
      </c>
      <c r="AL121" s="172">
        <v>4602</v>
      </c>
      <c r="AM121" s="173">
        <v>2478</v>
      </c>
      <c r="AN121" s="173">
        <v>4307</v>
      </c>
      <c r="AO121" s="173">
        <v>5959</v>
      </c>
      <c r="AP121" s="174">
        <v>17346</v>
      </c>
      <c r="AQ121" s="172">
        <v>9499</v>
      </c>
      <c r="AR121" s="173">
        <v>9558</v>
      </c>
      <c r="AS121" s="173">
        <v>5782</v>
      </c>
      <c r="AT121" s="173">
        <v>5546</v>
      </c>
      <c r="AU121" s="174">
        <v>30385</v>
      </c>
      <c r="AV121" s="172">
        <v>4071</v>
      </c>
      <c r="AW121" s="173">
        <v>6372</v>
      </c>
      <c r="AX121" s="173">
        <v>10089</v>
      </c>
      <c r="AY121" s="173">
        <v>12095</v>
      </c>
      <c r="AZ121" s="174">
        <v>32627</v>
      </c>
      <c r="BA121" s="172">
        <v>42126</v>
      </c>
      <c r="BB121" s="173">
        <v>61478</v>
      </c>
      <c r="BC121" s="173">
        <v>67078</v>
      </c>
      <c r="BD121" s="173">
        <v>64192</v>
      </c>
      <c r="BE121" s="174">
        <v>234874</v>
      </c>
      <c r="BF121" s="172">
        <f t="shared" si="29"/>
        <v>32391</v>
      </c>
      <c r="BG121" s="173">
        <f t="shared" si="23"/>
        <v>26078</v>
      </c>
      <c r="BH121" s="173">
        <f t="shared" si="24"/>
        <v>18939</v>
      </c>
      <c r="BI121" s="173">
        <f t="shared" si="25"/>
        <v>15163</v>
      </c>
      <c r="BJ121" s="174">
        <f t="shared" si="26"/>
        <v>92571</v>
      </c>
      <c r="BK121" s="172"/>
      <c r="BL121" s="173"/>
      <c r="BM121" s="173"/>
      <c r="BN121" s="173"/>
      <c r="BO121" s="174"/>
      <c r="BP121" s="172"/>
      <c r="BQ121" s="173"/>
      <c r="BR121" s="173"/>
      <c r="BS121" s="173"/>
      <c r="BT121" s="174"/>
      <c r="BU121" s="172">
        <v>32391</v>
      </c>
      <c r="BV121" s="173">
        <v>26078</v>
      </c>
      <c r="BW121" s="173">
        <v>14101</v>
      </c>
      <c r="BX121" s="173">
        <v>59</v>
      </c>
      <c r="BY121" s="174">
        <v>72629</v>
      </c>
      <c r="BZ121" s="172"/>
      <c r="CA121" s="173"/>
      <c r="CB121" s="173">
        <v>4838</v>
      </c>
      <c r="CC121" s="173">
        <v>15104</v>
      </c>
      <c r="CD121" s="174">
        <v>19942</v>
      </c>
      <c r="CE121" s="172"/>
      <c r="CF121" s="173"/>
      <c r="CG121" s="173"/>
      <c r="CH121" s="173"/>
      <c r="CI121" s="174"/>
    </row>
    <row r="122" s="147" customFormat="1" ht="14.6" spans="1:87">
      <c r="A122" s="175" t="s">
        <v>108</v>
      </c>
      <c r="B122" s="176"/>
      <c r="C122" s="177">
        <f t="shared" si="27"/>
        <v>254939</v>
      </c>
      <c r="D122" s="178">
        <f t="shared" si="15"/>
        <v>241369</v>
      </c>
      <c r="E122" s="178">
        <f t="shared" si="16"/>
        <v>261360</v>
      </c>
      <c r="F122" s="178">
        <f t="shared" si="17"/>
        <v>226233</v>
      </c>
      <c r="G122" s="179">
        <f t="shared" si="18"/>
        <v>983901</v>
      </c>
      <c r="H122" s="177">
        <f t="shared" si="28"/>
        <v>222548</v>
      </c>
      <c r="I122" s="178">
        <f t="shared" si="19"/>
        <v>215291</v>
      </c>
      <c r="J122" s="178">
        <f t="shared" si="20"/>
        <v>242421</v>
      </c>
      <c r="K122" s="178">
        <f t="shared" si="21"/>
        <v>211070</v>
      </c>
      <c r="L122" s="179">
        <f t="shared" si="22"/>
        <v>891330</v>
      </c>
      <c r="M122" s="177">
        <v>1829</v>
      </c>
      <c r="N122" s="178">
        <v>10207</v>
      </c>
      <c r="O122" s="178">
        <v>11623</v>
      </c>
      <c r="P122" s="178">
        <v>20591</v>
      </c>
      <c r="Q122" s="179">
        <v>44250</v>
      </c>
      <c r="R122" s="177">
        <v>55047</v>
      </c>
      <c r="S122" s="178">
        <v>43601</v>
      </c>
      <c r="T122" s="178">
        <v>70709</v>
      </c>
      <c r="U122" s="178">
        <v>57198</v>
      </c>
      <c r="V122" s="179">
        <v>226555</v>
      </c>
      <c r="W122" s="177">
        <v>3304</v>
      </c>
      <c r="X122" s="178">
        <v>6313</v>
      </c>
      <c r="Y122" s="178">
        <v>6903</v>
      </c>
      <c r="Z122" s="178">
        <v>3894</v>
      </c>
      <c r="AA122" s="179">
        <v>20414</v>
      </c>
      <c r="AB122" s="177">
        <v>53336</v>
      </c>
      <c r="AC122" s="178">
        <v>39294</v>
      </c>
      <c r="AD122" s="178">
        <v>31651</v>
      </c>
      <c r="AE122" s="178">
        <v>20827</v>
      </c>
      <c r="AF122" s="179">
        <v>145108</v>
      </c>
      <c r="AG122" s="177">
        <v>48734</v>
      </c>
      <c r="AH122" s="178">
        <v>35990</v>
      </c>
      <c r="AI122" s="178">
        <v>34279</v>
      </c>
      <c r="AJ122" s="178">
        <v>20768</v>
      </c>
      <c r="AK122" s="179">
        <v>139771</v>
      </c>
      <c r="AL122" s="177">
        <v>4602</v>
      </c>
      <c r="AM122" s="178">
        <v>2478</v>
      </c>
      <c r="AN122" s="178">
        <v>4307</v>
      </c>
      <c r="AO122" s="178">
        <v>5959</v>
      </c>
      <c r="AP122" s="179">
        <v>17346</v>
      </c>
      <c r="AQ122" s="177">
        <v>9499</v>
      </c>
      <c r="AR122" s="178">
        <v>9558</v>
      </c>
      <c r="AS122" s="178">
        <v>5782</v>
      </c>
      <c r="AT122" s="178">
        <v>5546</v>
      </c>
      <c r="AU122" s="179">
        <v>30385</v>
      </c>
      <c r="AV122" s="177">
        <v>4071</v>
      </c>
      <c r="AW122" s="178">
        <v>6372</v>
      </c>
      <c r="AX122" s="178">
        <v>10089</v>
      </c>
      <c r="AY122" s="178">
        <v>12095</v>
      </c>
      <c r="AZ122" s="179">
        <v>32627</v>
      </c>
      <c r="BA122" s="177">
        <v>42126</v>
      </c>
      <c r="BB122" s="178">
        <v>61478</v>
      </c>
      <c r="BC122" s="178">
        <v>67078</v>
      </c>
      <c r="BD122" s="178">
        <v>64192</v>
      </c>
      <c r="BE122" s="179">
        <v>234874</v>
      </c>
      <c r="BF122" s="177">
        <f t="shared" si="29"/>
        <v>32391</v>
      </c>
      <c r="BG122" s="178">
        <f t="shared" si="23"/>
        <v>26078</v>
      </c>
      <c r="BH122" s="178">
        <f t="shared" si="24"/>
        <v>18939</v>
      </c>
      <c r="BI122" s="178">
        <f t="shared" si="25"/>
        <v>15163</v>
      </c>
      <c r="BJ122" s="179">
        <f t="shared" si="26"/>
        <v>92571</v>
      </c>
      <c r="BK122" s="177"/>
      <c r="BL122" s="178"/>
      <c r="BM122" s="178"/>
      <c r="BN122" s="178"/>
      <c r="BO122" s="179"/>
      <c r="BP122" s="177"/>
      <c r="BQ122" s="178"/>
      <c r="BR122" s="178"/>
      <c r="BS122" s="178"/>
      <c r="BT122" s="179"/>
      <c r="BU122" s="177">
        <v>32391</v>
      </c>
      <c r="BV122" s="178">
        <v>26078</v>
      </c>
      <c r="BW122" s="178">
        <v>14101</v>
      </c>
      <c r="BX122" s="178">
        <v>59</v>
      </c>
      <c r="BY122" s="179">
        <v>72629</v>
      </c>
      <c r="BZ122" s="177"/>
      <c r="CA122" s="178"/>
      <c r="CB122" s="178">
        <v>4838</v>
      </c>
      <c r="CC122" s="178">
        <v>15104</v>
      </c>
      <c r="CD122" s="179">
        <v>19942</v>
      </c>
      <c r="CE122" s="177"/>
      <c r="CF122" s="178"/>
      <c r="CG122" s="178"/>
      <c r="CH122" s="178"/>
      <c r="CI122" s="179"/>
    </row>
    <row r="123" spans="1:87">
      <c r="A123" s="170" t="s">
        <v>109</v>
      </c>
      <c r="B123" s="171" t="s">
        <v>26</v>
      </c>
      <c r="C123" s="172">
        <f t="shared" si="27"/>
        <v>19141</v>
      </c>
      <c r="D123" s="173">
        <f t="shared" si="15"/>
        <v>18330</v>
      </c>
      <c r="E123" s="173">
        <f t="shared" si="16"/>
        <v>13492</v>
      </c>
      <c r="F123" s="173">
        <f t="shared" si="17"/>
        <v>8051</v>
      </c>
      <c r="G123" s="174">
        <f t="shared" si="18"/>
        <v>59014</v>
      </c>
      <c r="H123" s="172">
        <f t="shared" si="28"/>
        <v>18367</v>
      </c>
      <c r="I123" s="173">
        <f t="shared" si="19"/>
        <v>17261</v>
      </c>
      <c r="J123" s="173">
        <f t="shared" si="20"/>
        <v>12976</v>
      </c>
      <c r="K123" s="173">
        <f t="shared" si="21"/>
        <v>7734</v>
      </c>
      <c r="L123" s="174">
        <f t="shared" si="22"/>
        <v>56338</v>
      </c>
      <c r="M123" s="172">
        <v>99</v>
      </c>
      <c r="N123" s="173">
        <v>613</v>
      </c>
      <c r="O123" s="173">
        <v>495</v>
      </c>
      <c r="P123" s="173"/>
      <c r="Q123" s="174">
        <v>1207</v>
      </c>
      <c r="R123" s="172">
        <v>6579</v>
      </c>
      <c r="S123" s="173">
        <v>5934</v>
      </c>
      <c r="T123" s="173">
        <v>4902</v>
      </c>
      <c r="U123" s="173">
        <v>3612</v>
      </c>
      <c r="V123" s="174">
        <v>21027</v>
      </c>
      <c r="W123" s="172"/>
      <c r="X123" s="173"/>
      <c r="Y123" s="173"/>
      <c r="Z123" s="173"/>
      <c r="AA123" s="174"/>
      <c r="AB123" s="172">
        <v>5188</v>
      </c>
      <c r="AC123" s="173">
        <v>4838</v>
      </c>
      <c r="AD123" s="173">
        <v>3658</v>
      </c>
      <c r="AE123" s="173">
        <v>2046</v>
      </c>
      <c r="AF123" s="174">
        <v>15730</v>
      </c>
      <c r="AG123" s="172"/>
      <c r="AH123" s="173"/>
      <c r="AI123" s="173"/>
      <c r="AJ123" s="173">
        <v>129</v>
      </c>
      <c r="AK123" s="174">
        <v>129</v>
      </c>
      <c r="AL123" s="172"/>
      <c r="AM123" s="173">
        <v>387</v>
      </c>
      <c r="AN123" s="173"/>
      <c r="AO123" s="173"/>
      <c r="AP123" s="174">
        <v>387</v>
      </c>
      <c r="AQ123" s="172">
        <v>2322</v>
      </c>
      <c r="AR123" s="173">
        <v>2459</v>
      </c>
      <c r="AS123" s="173">
        <v>1102</v>
      </c>
      <c r="AT123" s="173">
        <v>1180</v>
      </c>
      <c r="AU123" s="174">
        <v>7063</v>
      </c>
      <c r="AV123" s="172">
        <v>1312</v>
      </c>
      <c r="AW123" s="173">
        <v>1353</v>
      </c>
      <c r="AX123" s="173">
        <v>1223</v>
      </c>
      <c r="AY123" s="173">
        <v>767</v>
      </c>
      <c r="AZ123" s="174">
        <v>4655</v>
      </c>
      <c r="BA123" s="172">
        <v>2867</v>
      </c>
      <c r="BB123" s="173">
        <v>1677</v>
      </c>
      <c r="BC123" s="173">
        <v>1596</v>
      </c>
      <c r="BD123" s="173"/>
      <c r="BE123" s="174">
        <v>6140</v>
      </c>
      <c r="BF123" s="172">
        <f t="shared" si="29"/>
        <v>774</v>
      </c>
      <c r="BG123" s="173">
        <f t="shared" si="23"/>
        <v>1069</v>
      </c>
      <c r="BH123" s="173">
        <f t="shared" si="24"/>
        <v>516</v>
      </c>
      <c r="BI123" s="173">
        <f t="shared" si="25"/>
        <v>317</v>
      </c>
      <c r="BJ123" s="174">
        <f t="shared" si="26"/>
        <v>2676</v>
      </c>
      <c r="BK123" s="172"/>
      <c r="BL123" s="173"/>
      <c r="BM123" s="173"/>
      <c r="BN123" s="173"/>
      <c r="BO123" s="174"/>
      <c r="BP123" s="172">
        <v>258</v>
      </c>
      <c r="BQ123" s="173">
        <v>387</v>
      </c>
      <c r="BR123" s="173"/>
      <c r="BS123" s="173"/>
      <c r="BT123" s="174">
        <v>645</v>
      </c>
      <c r="BU123" s="172">
        <v>258</v>
      </c>
      <c r="BV123" s="173">
        <v>387</v>
      </c>
      <c r="BW123" s="173">
        <v>258</v>
      </c>
      <c r="BX123" s="173">
        <v>258</v>
      </c>
      <c r="BY123" s="174">
        <v>1161</v>
      </c>
      <c r="BZ123" s="172">
        <v>258</v>
      </c>
      <c r="CA123" s="173">
        <v>295</v>
      </c>
      <c r="CB123" s="173">
        <v>258</v>
      </c>
      <c r="CC123" s="173">
        <v>59</v>
      </c>
      <c r="CD123" s="174">
        <v>870</v>
      </c>
      <c r="CE123" s="172"/>
      <c r="CF123" s="173"/>
      <c r="CG123" s="173"/>
      <c r="CH123" s="173"/>
      <c r="CI123" s="174"/>
    </row>
    <row r="124" spans="1:87">
      <c r="A124" s="170"/>
      <c r="B124" s="171" t="s">
        <v>27</v>
      </c>
      <c r="C124" s="172">
        <f t="shared" si="27"/>
        <v>229163.5</v>
      </c>
      <c r="D124" s="173">
        <f t="shared" si="15"/>
        <v>181171.4</v>
      </c>
      <c r="E124" s="173">
        <f t="shared" si="16"/>
        <v>217035</v>
      </c>
      <c r="F124" s="173">
        <f t="shared" si="17"/>
        <v>262233.9</v>
      </c>
      <c r="G124" s="174">
        <f t="shared" si="18"/>
        <v>889603.8</v>
      </c>
      <c r="H124" s="172">
        <f t="shared" si="28"/>
        <v>179647.6</v>
      </c>
      <c r="I124" s="173">
        <f t="shared" si="19"/>
        <v>146578.4</v>
      </c>
      <c r="J124" s="173">
        <f t="shared" si="20"/>
        <v>180299.3</v>
      </c>
      <c r="K124" s="173">
        <f t="shared" si="21"/>
        <v>231192</v>
      </c>
      <c r="L124" s="174">
        <f t="shared" si="22"/>
        <v>737717.3</v>
      </c>
      <c r="M124" s="172">
        <v>35699.8</v>
      </c>
      <c r="N124" s="173">
        <v>26191.4</v>
      </c>
      <c r="O124" s="173">
        <v>25039.8</v>
      </c>
      <c r="P124" s="173">
        <v>12316.8</v>
      </c>
      <c r="Q124" s="174">
        <v>99247.8</v>
      </c>
      <c r="R124" s="172">
        <v>9135.9</v>
      </c>
      <c r="S124" s="173">
        <v>8788</v>
      </c>
      <c r="T124" s="173">
        <v>9332.6</v>
      </c>
      <c r="U124" s="173">
        <v>10154.4</v>
      </c>
      <c r="V124" s="174">
        <v>37410.9</v>
      </c>
      <c r="W124" s="172"/>
      <c r="X124" s="173"/>
      <c r="Y124" s="173"/>
      <c r="Z124" s="173">
        <v>36471</v>
      </c>
      <c r="AA124" s="174">
        <v>36471</v>
      </c>
      <c r="AB124" s="172">
        <v>2702.8</v>
      </c>
      <c r="AC124" s="173">
        <v>9905.7</v>
      </c>
      <c r="AD124" s="173">
        <v>12147.3</v>
      </c>
      <c r="AE124" s="173">
        <v>23443.8</v>
      </c>
      <c r="AF124" s="174">
        <v>48199.6</v>
      </c>
      <c r="AG124" s="172">
        <v>75497.3</v>
      </c>
      <c r="AH124" s="173">
        <v>57094.7</v>
      </c>
      <c r="AI124" s="173">
        <v>61196.2</v>
      </c>
      <c r="AJ124" s="173">
        <v>89324.1</v>
      </c>
      <c r="AK124" s="174">
        <v>283112.3</v>
      </c>
      <c r="AL124" s="172">
        <v>12170.3</v>
      </c>
      <c r="AM124" s="173">
        <v>5605</v>
      </c>
      <c r="AN124" s="173">
        <v>3881</v>
      </c>
      <c r="AO124" s="173">
        <v>5429.1</v>
      </c>
      <c r="AP124" s="174">
        <v>27085.4</v>
      </c>
      <c r="AQ124" s="172">
        <v>19065.2</v>
      </c>
      <c r="AR124" s="173">
        <v>17273.8</v>
      </c>
      <c r="AS124" s="173">
        <v>49660.9</v>
      </c>
      <c r="AT124" s="173">
        <v>40255.8</v>
      </c>
      <c r="AU124" s="174">
        <v>126255.7</v>
      </c>
      <c r="AV124" s="172">
        <v>3370</v>
      </c>
      <c r="AW124" s="173">
        <v>1183</v>
      </c>
      <c r="AX124" s="173">
        <v>497</v>
      </c>
      <c r="AY124" s="173">
        <v>288</v>
      </c>
      <c r="AZ124" s="174">
        <v>5338</v>
      </c>
      <c r="BA124" s="172">
        <v>22006.3</v>
      </c>
      <c r="BB124" s="173">
        <v>20536.8</v>
      </c>
      <c r="BC124" s="173">
        <v>18544.5</v>
      </c>
      <c r="BD124" s="173">
        <v>13509</v>
      </c>
      <c r="BE124" s="174">
        <v>74596.6</v>
      </c>
      <c r="BF124" s="172">
        <f t="shared" si="29"/>
        <v>49515.9</v>
      </c>
      <c r="BG124" s="173">
        <f t="shared" si="23"/>
        <v>34593</v>
      </c>
      <c r="BH124" s="173">
        <f t="shared" si="24"/>
        <v>36735.7</v>
      </c>
      <c r="BI124" s="173">
        <f t="shared" si="25"/>
        <v>31041.9</v>
      </c>
      <c r="BJ124" s="174">
        <f t="shared" si="26"/>
        <v>151886.5</v>
      </c>
      <c r="BK124" s="172">
        <v>634.9</v>
      </c>
      <c r="BL124" s="173">
        <v>2364.5</v>
      </c>
      <c r="BM124" s="173">
        <v>1957.2</v>
      </c>
      <c r="BN124" s="173">
        <v>1837.8</v>
      </c>
      <c r="BO124" s="174">
        <v>6794.4</v>
      </c>
      <c r="BP124" s="172">
        <v>5302.2</v>
      </c>
      <c r="BQ124" s="173">
        <v>4215.9</v>
      </c>
      <c r="BR124" s="173">
        <v>2900</v>
      </c>
      <c r="BS124" s="173">
        <v>3157.9</v>
      </c>
      <c r="BT124" s="174">
        <v>15576</v>
      </c>
      <c r="BU124" s="172">
        <v>39308.4</v>
      </c>
      <c r="BV124" s="173">
        <v>26564.1</v>
      </c>
      <c r="BW124" s="173">
        <v>27297.5</v>
      </c>
      <c r="BX124" s="173">
        <v>23800.2</v>
      </c>
      <c r="BY124" s="174">
        <v>116970.2</v>
      </c>
      <c r="BZ124" s="172">
        <v>3518</v>
      </c>
      <c r="CA124" s="173">
        <v>1201</v>
      </c>
      <c r="CB124" s="173">
        <v>4581</v>
      </c>
      <c r="CC124" s="173">
        <v>2246</v>
      </c>
      <c r="CD124" s="174">
        <v>11546</v>
      </c>
      <c r="CE124" s="172">
        <v>752.4</v>
      </c>
      <c r="CF124" s="173">
        <v>247.5</v>
      </c>
      <c r="CG124" s="173"/>
      <c r="CH124" s="173"/>
      <c r="CI124" s="174">
        <v>999.9</v>
      </c>
    </row>
    <row r="125" s="147" customFormat="1" ht="14.6" spans="1:87">
      <c r="A125" s="175" t="s">
        <v>110</v>
      </c>
      <c r="B125" s="176"/>
      <c r="C125" s="177">
        <f t="shared" si="27"/>
        <v>248304.5</v>
      </c>
      <c r="D125" s="178">
        <f t="shared" si="15"/>
        <v>199501.4</v>
      </c>
      <c r="E125" s="178">
        <f t="shared" si="16"/>
        <v>230527</v>
      </c>
      <c r="F125" s="178">
        <f t="shared" si="17"/>
        <v>270284.9</v>
      </c>
      <c r="G125" s="179">
        <f t="shared" si="18"/>
        <v>948617.8</v>
      </c>
      <c r="H125" s="177">
        <f t="shared" si="28"/>
        <v>198014.6</v>
      </c>
      <c r="I125" s="178">
        <f t="shared" si="19"/>
        <v>163839.4</v>
      </c>
      <c r="J125" s="178">
        <f t="shared" si="20"/>
        <v>193275.3</v>
      </c>
      <c r="K125" s="178">
        <f t="shared" si="21"/>
        <v>238926</v>
      </c>
      <c r="L125" s="179">
        <f t="shared" si="22"/>
        <v>794055.3</v>
      </c>
      <c r="M125" s="177">
        <v>35798.8</v>
      </c>
      <c r="N125" s="178">
        <v>26804.4</v>
      </c>
      <c r="O125" s="178">
        <v>25534.8</v>
      </c>
      <c r="P125" s="178">
        <v>12316.8</v>
      </c>
      <c r="Q125" s="179">
        <v>100454.8</v>
      </c>
      <c r="R125" s="177">
        <v>15714.9</v>
      </c>
      <c r="S125" s="178">
        <v>14722</v>
      </c>
      <c r="T125" s="178">
        <v>14234.6</v>
      </c>
      <c r="U125" s="178">
        <v>13766.4</v>
      </c>
      <c r="V125" s="179">
        <v>58437.9</v>
      </c>
      <c r="W125" s="177"/>
      <c r="X125" s="178"/>
      <c r="Y125" s="178"/>
      <c r="Z125" s="178">
        <v>36471</v>
      </c>
      <c r="AA125" s="179">
        <v>36471</v>
      </c>
      <c r="AB125" s="177">
        <v>7890.8</v>
      </c>
      <c r="AC125" s="178">
        <v>14743.7</v>
      </c>
      <c r="AD125" s="178">
        <v>15805.3</v>
      </c>
      <c r="AE125" s="178">
        <v>25489.8</v>
      </c>
      <c r="AF125" s="179">
        <v>63929.6</v>
      </c>
      <c r="AG125" s="177">
        <v>75497.3</v>
      </c>
      <c r="AH125" s="178">
        <v>57094.7</v>
      </c>
      <c r="AI125" s="178">
        <v>61196.2</v>
      </c>
      <c r="AJ125" s="178">
        <v>89453.1</v>
      </c>
      <c r="AK125" s="179">
        <v>283241.3</v>
      </c>
      <c r="AL125" s="177">
        <v>12170.3</v>
      </c>
      <c r="AM125" s="178">
        <v>5992</v>
      </c>
      <c r="AN125" s="178">
        <v>3881</v>
      </c>
      <c r="AO125" s="178">
        <v>5429.1</v>
      </c>
      <c r="AP125" s="179">
        <v>27472.4</v>
      </c>
      <c r="AQ125" s="177">
        <v>21387.2</v>
      </c>
      <c r="AR125" s="178">
        <v>19732.8</v>
      </c>
      <c r="AS125" s="178">
        <v>50762.9</v>
      </c>
      <c r="AT125" s="178">
        <v>41435.8</v>
      </c>
      <c r="AU125" s="179">
        <v>133318.7</v>
      </c>
      <c r="AV125" s="177">
        <v>4682</v>
      </c>
      <c r="AW125" s="178">
        <v>2536</v>
      </c>
      <c r="AX125" s="178">
        <v>1720</v>
      </c>
      <c r="AY125" s="178">
        <v>1055</v>
      </c>
      <c r="AZ125" s="179">
        <v>9993</v>
      </c>
      <c r="BA125" s="177">
        <v>24873.3</v>
      </c>
      <c r="BB125" s="178">
        <v>22213.8</v>
      </c>
      <c r="BC125" s="178">
        <v>20140.5</v>
      </c>
      <c r="BD125" s="178">
        <v>13509</v>
      </c>
      <c r="BE125" s="179">
        <v>80736.6</v>
      </c>
      <c r="BF125" s="177">
        <f t="shared" si="29"/>
        <v>50289.9</v>
      </c>
      <c r="BG125" s="178">
        <f t="shared" si="23"/>
        <v>35662</v>
      </c>
      <c r="BH125" s="178">
        <f t="shared" si="24"/>
        <v>37251.7</v>
      </c>
      <c r="BI125" s="178">
        <f t="shared" si="25"/>
        <v>31358.9</v>
      </c>
      <c r="BJ125" s="179">
        <f t="shared" si="26"/>
        <v>154562.5</v>
      </c>
      <c r="BK125" s="177">
        <v>634.9</v>
      </c>
      <c r="BL125" s="178">
        <v>2364.5</v>
      </c>
      <c r="BM125" s="178">
        <v>1957.2</v>
      </c>
      <c r="BN125" s="178">
        <v>1837.8</v>
      </c>
      <c r="BO125" s="179">
        <v>6794.4</v>
      </c>
      <c r="BP125" s="177">
        <v>5560.2</v>
      </c>
      <c r="BQ125" s="178">
        <v>4602.9</v>
      </c>
      <c r="BR125" s="178">
        <v>2900</v>
      </c>
      <c r="BS125" s="178">
        <v>3157.9</v>
      </c>
      <c r="BT125" s="179">
        <v>16221</v>
      </c>
      <c r="BU125" s="177">
        <v>39566.4</v>
      </c>
      <c r="BV125" s="178">
        <v>26951.1</v>
      </c>
      <c r="BW125" s="178">
        <v>27555.5</v>
      </c>
      <c r="BX125" s="178">
        <v>24058.2</v>
      </c>
      <c r="BY125" s="179">
        <v>118131.2</v>
      </c>
      <c r="BZ125" s="177">
        <v>3776</v>
      </c>
      <c r="CA125" s="178">
        <v>1496</v>
      </c>
      <c r="CB125" s="178">
        <v>4839</v>
      </c>
      <c r="CC125" s="178">
        <v>2305</v>
      </c>
      <c r="CD125" s="179">
        <v>12416</v>
      </c>
      <c r="CE125" s="177">
        <v>752.4</v>
      </c>
      <c r="CF125" s="178">
        <v>247.5</v>
      </c>
      <c r="CG125" s="178"/>
      <c r="CH125" s="178"/>
      <c r="CI125" s="179">
        <v>999.9</v>
      </c>
    </row>
    <row r="126" spans="1:87">
      <c r="A126" s="170" t="s">
        <v>111</v>
      </c>
      <c r="B126" s="171" t="s">
        <v>26</v>
      </c>
      <c r="C126" s="172">
        <f t="shared" si="27"/>
        <v>236187</v>
      </c>
      <c r="D126" s="173">
        <f t="shared" si="15"/>
        <v>277863</v>
      </c>
      <c r="E126" s="173">
        <f t="shared" si="16"/>
        <v>206724</v>
      </c>
      <c r="F126" s="173">
        <f t="shared" si="17"/>
        <v>168153</v>
      </c>
      <c r="G126" s="174">
        <f t="shared" si="18"/>
        <v>888927</v>
      </c>
      <c r="H126" s="172">
        <f t="shared" si="28"/>
        <v>141795</v>
      </c>
      <c r="I126" s="173">
        <f t="shared" si="19"/>
        <v>178296</v>
      </c>
      <c r="J126" s="173">
        <f t="shared" si="20"/>
        <v>128685</v>
      </c>
      <c r="K126" s="173">
        <f t="shared" si="21"/>
        <v>78108</v>
      </c>
      <c r="L126" s="174">
        <f t="shared" si="22"/>
        <v>526884</v>
      </c>
      <c r="M126" s="172"/>
      <c r="N126" s="173"/>
      <c r="O126" s="173"/>
      <c r="P126" s="173"/>
      <c r="Q126" s="174"/>
      <c r="R126" s="172">
        <v>47058</v>
      </c>
      <c r="S126" s="173">
        <v>106812</v>
      </c>
      <c r="T126" s="173">
        <v>48783</v>
      </c>
      <c r="U126" s="173">
        <v>20493</v>
      </c>
      <c r="V126" s="174">
        <v>223146</v>
      </c>
      <c r="W126" s="172"/>
      <c r="X126" s="173"/>
      <c r="Y126" s="173">
        <v>2760</v>
      </c>
      <c r="Z126" s="173"/>
      <c r="AA126" s="174">
        <v>2760</v>
      </c>
      <c r="AB126" s="172">
        <v>13524</v>
      </c>
      <c r="AC126" s="173">
        <v>2277</v>
      </c>
      <c r="AD126" s="173">
        <v>1380</v>
      </c>
      <c r="AE126" s="173">
        <v>69</v>
      </c>
      <c r="AF126" s="174">
        <v>17250</v>
      </c>
      <c r="AG126" s="172">
        <v>1656</v>
      </c>
      <c r="AH126" s="173">
        <v>4554</v>
      </c>
      <c r="AI126" s="173">
        <v>3036</v>
      </c>
      <c r="AJ126" s="173">
        <v>1932</v>
      </c>
      <c r="AK126" s="174">
        <v>11178</v>
      </c>
      <c r="AL126" s="172">
        <v>138</v>
      </c>
      <c r="AM126" s="173">
        <v>69</v>
      </c>
      <c r="AN126" s="173">
        <v>69</v>
      </c>
      <c r="AO126" s="173"/>
      <c r="AP126" s="174">
        <v>276</v>
      </c>
      <c r="AQ126" s="172">
        <v>10074</v>
      </c>
      <c r="AR126" s="173">
        <v>10143</v>
      </c>
      <c r="AS126" s="173">
        <v>15663</v>
      </c>
      <c r="AT126" s="173">
        <v>15939</v>
      </c>
      <c r="AU126" s="174">
        <v>51819</v>
      </c>
      <c r="AV126" s="172">
        <v>6900</v>
      </c>
      <c r="AW126" s="173">
        <v>8211</v>
      </c>
      <c r="AX126" s="173">
        <v>4278</v>
      </c>
      <c r="AY126" s="173">
        <v>69</v>
      </c>
      <c r="AZ126" s="174">
        <v>19458</v>
      </c>
      <c r="BA126" s="172">
        <v>62445</v>
      </c>
      <c r="BB126" s="173">
        <v>46230</v>
      </c>
      <c r="BC126" s="173">
        <v>52716</v>
      </c>
      <c r="BD126" s="173">
        <v>39606</v>
      </c>
      <c r="BE126" s="174">
        <v>200997</v>
      </c>
      <c r="BF126" s="172">
        <f t="shared" si="29"/>
        <v>94392</v>
      </c>
      <c r="BG126" s="173">
        <f t="shared" si="23"/>
        <v>99567</v>
      </c>
      <c r="BH126" s="173">
        <f t="shared" si="24"/>
        <v>78039</v>
      </c>
      <c r="BI126" s="173">
        <f t="shared" si="25"/>
        <v>90045</v>
      </c>
      <c r="BJ126" s="174">
        <f t="shared" si="26"/>
        <v>362043</v>
      </c>
      <c r="BK126" s="172">
        <v>8694</v>
      </c>
      <c r="BL126" s="173">
        <v>2691</v>
      </c>
      <c r="BM126" s="173">
        <v>4830</v>
      </c>
      <c r="BN126" s="173">
        <v>5382</v>
      </c>
      <c r="BO126" s="174">
        <v>21597</v>
      </c>
      <c r="BP126" s="172">
        <v>56580</v>
      </c>
      <c r="BQ126" s="173">
        <v>62514</v>
      </c>
      <c r="BR126" s="173">
        <v>59271</v>
      </c>
      <c r="BS126" s="173">
        <v>60720</v>
      </c>
      <c r="BT126" s="174">
        <v>239085</v>
      </c>
      <c r="BU126" s="172">
        <v>18975</v>
      </c>
      <c r="BV126" s="173">
        <v>23322</v>
      </c>
      <c r="BW126" s="173">
        <v>2829</v>
      </c>
      <c r="BX126" s="173">
        <v>2139</v>
      </c>
      <c r="BY126" s="174">
        <v>47265</v>
      </c>
      <c r="BZ126" s="172">
        <v>6969</v>
      </c>
      <c r="CA126" s="173">
        <v>7866</v>
      </c>
      <c r="CB126" s="173">
        <v>7590</v>
      </c>
      <c r="CC126" s="173">
        <v>9039</v>
      </c>
      <c r="CD126" s="174">
        <v>31464</v>
      </c>
      <c r="CE126" s="172">
        <v>3174</v>
      </c>
      <c r="CF126" s="173">
        <v>3174</v>
      </c>
      <c r="CG126" s="173">
        <v>3519</v>
      </c>
      <c r="CH126" s="173">
        <v>12765</v>
      </c>
      <c r="CI126" s="174">
        <v>22632</v>
      </c>
    </row>
    <row r="127" spans="1:87">
      <c r="A127" s="170"/>
      <c r="B127" s="171" t="s">
        <v>28</v>
      </c>
      <c r="C127" s="172">
        <f t="shared" si="27"/>
        <v>0</v>
      </c>
      <c r="D127" s="173">
        <f t="shared" si="15"/>
        <v>0</v>
      </c>
      <c r="E127" s="173">
        <f t="shared" si="16"/>
        <v>12152</v>
      </c>
      <c r="F127" s="173">
        <f t="shared" si="17"/>
        <v>27881</v>
      </c>
      <c r="G127" s="174">
        <f t="shared" si="18"/>
        <v>40033</v>
      </c>
      <c r="H127" s="172">
        <f t="shared" si="28"/>
        <v>0</v>
      </c>
      <c r="I127" s="173">
        <f t="shared" si="19"/>
        <v>0</v>
      </c>
      <c r="J127" s="173">
        <f t="shared" si="20"/>
        <v>12152</v>
      </c>
      <c r="K127" s="173">
        <f t="shared" si="21"/>
        <v>27881</v>
      </c>
      <c r="L127" s="174">
        <f t="shared" si="22"/>
        <v>40033</v>
      </c>
      <c r="M127" s="172"/>
      <c r="N127" s="173"/>
      <c r="O127" s="173"/>
      <c r="P127" s="173"/>
      <c r="Q127" s="174"/>
      <c r="R127" s="172"/>
      <c r="S127" s="173"/>
      <c r="T127" s="173">
        <v>12152</v>
      </c>
      <c r="U127" s="173">
        <v>26264</v>
      </c>
      <c r="V127" s="174">
        <v>38416</v>
      </c>
      <c r="W127" s="172"/>
      <c r="X127" s="173"/>
      <c r="Y127" s="173"/>
      <c r="Z127" s="173"/>
      <c r="AA127" s="174"/>
      <c r="AB127" s="172"/>
      <c r="AC127" s="173"/>
      <c r="AD127" s="173"/>
      <c r="AE127" s="173"/>
      <c r="AF127" s="174"/>
      <c r="AG127" s="172"/>
      <c r="AH127" s="173"/>
      <c r="AI127" s="173"/>
      <c r="AJ127" s="173"/>
      <c r="AK127" s="174"/>
      <c r="AL127" s="172"/>
      <c r="AM127" s="173"/>
      <c r="AN127" s="173"/>
      <c r="AO127" s="173">
        <v>1617</v>
      </c>
      <c r="AP127" s="174">
        <v>1617</v>
      </c>
      <c r="AQ127" s="172"/>
      <c r="AR127" s="173"/>
      <c r="AS127" s="173"/>
      <c r="AT127" s="173"/>
      <c r="AU127" s="174"/>
      <c r="AV127" s="172"/>
      <c r="AW127" s="173"/>
      <c r="AX127" s="173"/>
      <c r="AY127" s="173"/>
      <c r="AZ127" s="174"/>
      <c r="BA127" s="172"/>
      <c r="BB127" s="173"/>
      <c r="BC127" s="173"/>
      <c r="BD127" s="173"/>
      <c r="BE127" s="174"/>
      <c r="BF127" s="172">
        <f t="shared" si="29"/>
        <v>0</v>
      </c>
      <c r="BG127" s="173">
        <f t="shared" si="23"/>
        <v>0</v>
      </c>
      <c r="BH127" s="173">
        <f t="shared" si="24"/>
        <v>0</v>
      </c>
      <c r="BI127" s="173">
        <f t="shared" si="25"/>
        <v>0</v>
      </c>
      <c r="BJ127" s="174">
        <f t="shared" si="26"/>
        <v>0</v>
      </c>
      <c r="BK127" s="172"/>
      <c r="BL127" s="173"/>
      <c r="BM127" s="173"/>
      <c r="BN127" s="173"/>
      <c r="BO127" s="174"/>
      <c r="BP127" s="172"/>
      <c r="BQ127" s="173"/>
      <c r="BR127" s="173"/>
      <c r="BS127" s="173"/>
      <c r="BT127" s="174"/>
      <c r="BU127" s="172"/>
      <c r="BV127" s="173"/>
      <c r="BW127" s="173"/>
      <c r="BX127" s="173"/>
      <c r="BY127" s="174"/>
      <c r="BZ127" s="172"/>
      <c r="CA127" s="173"/>
      <c r="CB127" s="173"/>
      <c r="CC127" s="173"/>
      <c r="CD127" s="174"/>
      <c r="CE127" s="172"/>
      <c r="CF127" s="173"/>
      <c r="CG127" s="173"/>
      <c r="CH127" s="173"/>
      <c r="CI127" s="174"/>
    </row>
    <row r="128" s="147" customFormat="1" ht="14.6" spans="1:87">
      <c r="A128" s="175" t="s">
        <v>112</v>
      </c>
      <c r="B128" s="176"/>
      <c r="C128" s="177">
        <f t="shared" si="27"/>
        <v>236187</v>
      </c>
      <c r="D128" s="178">
        <f t="shared" si="15"/>
        <v>277863</v>
      </c>
      <c r="E128" s="178">
        <f t="shared" si="16"/>
        <v>218876</v>
      </c>
      <c r="F128" s="178">
        <f t="shared" si="17"/>
        <v>196034</v>
      </c>
      <c r="G128" s="179">
        <f t="shared" si="18"/>
        <v>928960</v>
      </c>
      <c r="H128" s="177">
        <f t="shared" si="28"/>
        <v>141795</v>
      </c>
      <c r="I128" s="178">
        <f t="shared" si="19"/>
        <v>178296</v>
      </c>
      <c r="J128" s="178">
        <f t="shared" si="20"/>
        <v>140837</v>
      </c>
      <c r="K128" s="178">
        <f t="shared" si="21"/>
        <v>105989</v>
      </c>
      <c r="L128" s="179">
        <f t="shared" si="22"/>
        <v>566917</v>
      </c>
      <c r="M128" s="177"/>
      <c r="N128" s="178"/>
      <c r="O128" s="178"/>
      <c r="P128" s="178"/>
      <c r="Q128" s="179"/>
      <c r="R128" s="177">
        <v>47058</v>
      </c>
      <c r="S128" s="178">
        <v>106812</v>
      </c>
      <c r="T128" s="178">
        <v>60935</v>
      </c>
      <c r="U128" s="178">
        <v>46757</v>
      </c>
      <c r="V128" s="179">
        <v>261562</v>
      </c>
      <c r="W128" s="177"/>
      <c r="X128" s="178"/>
      <c r="Y128" s="178">
        <v>2760</v>
      </c>
      <c r="Z128" s="178"/>
      <c r="AA128" s="179">
        <v>2760</v>
      </c>
      <c r="AB128" s="177">
        <v>13524</v>
      </c>
      <c r="AC128" s="178">
        <v>2277</v>
      </c>
      <c r="AD128" s="178">
        <v>1380</v>
      </c>
      <c r="AE128" s="178">
        <v>69</v>
      </c>
      <c r="AF128" s="179">
        <v>17250</v>
      </c>
      <c r="AG128" s="177">
        <v>1656</v>
      </c>
      <c r="AH128" s="178">
        <v>4554</v>
      </c>
      <c r="AI128" s="178">
        <v>3036</v>
      </c>
      <c r="AJ128" s="178">
        <v>1932</v>
      </c>
      <c r="AK128" s="179">
        <v>11178</v>
      </c>
      <c r="AL128" s="177">
        <v>138</v>
      </c>
      <c r="AM128" s="178">
        <v>69</v>
      </c>
      <c r="AN128" s="178">
        <v>69</v>
      </c>
      <c r="AO128" s="178">
        <v>1617</v>
      </c>
      <c r="AP128" s="179">
        <v>1893</v>
      </c>
      <c r="AQ128" s="177">
        <v>10074</v>
      </c>
      <c r="AR128" s="178">
        <v>10143</v>
      </c>
      <c r="AS128" s="178">
        <v>15663</v>
      </c>
      <c r="AT128" s="178">
        <v>15939</v>
      </c>
      <c r="AU128" s="179">
        <v>51819</v>
      </c>
      <c r="AV128" s="177">
        <v>6900</v>
      </c>
      <c r="AW128" s="178">
        <v>8211</v>
      </c>
      <c r="AX128" s="178">
        <v>4278</v>
      </c>
      <c r="AY128" s="178">
        <v>69</v>
      </c>
      <c r="AZ128" s="179">
        <v>19458</v>
      </c>
      <c r="BA128" s="177">
        <v>62445</v>
      </c>
      <c r="BB128" s="178">
        <v>46230</v>
      </c>
      <c r="BC128" s="178">
        <v>52716</v>
      </c>
      <c r="BD128" s="178">
        <v>39606</v>
      </c>
      <c r="BE128" s="179">
        <v>200997</v>
      </c>
      <c r="BF128" s="177">
        <f t="shared" si="29"/>
        <v>94392</v>
      </c>
      <c r="BG128" s="178">
        <f t="shared" si="23"/>
        <v>99567</v>
      </c>
      <c r="BH128" s="178">
        <f t="shared" si="24"/>
        <v>78039</v>
      </c>
      <c r="BI128" s="178">
        <f t="shared" si="25"/>
        <v>90045</v>
      </c>
      <c r="BJ128" s="179">
        <f t="shared" si="26"/>
        <v>362043</v>
      </c>
      <c r="BK128" s="177">
        <v>8694</v>
      </c>
      <c r="BL128" s="178">
        <v>2691</v>
      </c>
      <c r="BM128" s="178">
        <v>4830</v>
      </c>
      <c r="BN128" s="178">
        <v>5382</v>
      </c>
      <c r="BO128" s="179">
        <v>21597</v>
      </c>
      <c r="BP128" s="177">
        <v>56580</v>
      </c>
      <c r="BQ128" s="178">
        <v>62514</v>
      </c>
      <c r="BR128" s="178">
        <v>59271</v>
      </c>
      <c r="BS128" s="178">
        <v>60720</v>
      </c>
      <c r="BT128" s="179">
        <v>239085</v>
      </c>
      <c r="BU128" s="177">
        <v>18975</v>
      </c>
      <c r="BV128" s="178">
        <v>23322</v>
      </c>
      <c r="BW128" s="178">
        <v>2829</v>
      </c>
      <c r="BX128" s="178">
        <v>2139</v>
      </c>
      <c r="BY128" s="179">
        <v>47265</v>
      </c>
      <c r="BZ128" s="177">
        <v>6969</v>
      </c>
      <c r="CA128" s="178">
        <v>7866</v>
      </c>
      <c r="CB128" s="178">
        <v>7590</v>
      </c>
      <c r="CC128" s="178">
        <v>9039</v>
      </c>
      <c r="CD128" s="179">
        <v>31464</v>
      </c>
      <c r="CE128" s="177">
        <v>3174</v>
      </c>
      <c r="CF128" s="178">
        <v>3174</v>
      </c>
      <c r="CG128" s="178">
        <v>3519</v>
      </c>
      <c r="CH128" s="178">
        <v>12765</v>
      </c>
      <c r="CI128" s="179">
        <v>22632</v>
      </c>
    </row>
    <row r="129" spans="1:87">
      <c r="A129" s="170" t="s">
        <v>113</v>
      </c>
      <c r="B129" s="171" t="s">
        <v>26</v>
      </c>
      <c r="C129" s="172">
        <f t="shared" si="27"/>
        <v>240732</v>
      </c>
      <c r="D129" s="173">
        <f t="shared" si="15"/>
        <v>175628</v>
      </c>
      <c r="E129" s="173">
        <f t="shared" si="16"/>
        <v>197505</v>
      </c>
      <c r="F129" s="173">
        <f t="shared" si="17"/>
        <v>206133</v>
      </c>
      <c r="G129" s="174">
        <f t="shared" si="18"/>
        <v>819998</v>
      </c>
      <c r="H129" s="172">
        <f t="shared" si="28"/>
        <v>173196</v>
      </c>
      <c r="I129" s="173">
        <f t="shared" si="19"/>
        <v>115592</v>
      </c>
      <c r="J129" s="173">
        <f t="shared" si="20"/>
        <v>142461</v>
      </c>
      <c r="K129" s="173">
        <f t="shared" si="21"/>
        <v>147954</v>
      </c>
      <c r="L129" s="174">
        <f t="shared" si="22"/>
        <v>579203</v>
      </c>
      <c r="M129" s="172">
        <v>15594</v>
      </c>
      <c r="N129" s="173">
        <v>11592</v>
      </c>
      <c r="O129" s="173">
        <v>19527</v>
      </c>
      <c r="P129" s="173">
        <v>12333</v>
      </c>
      <c r="Q129" s="174">
        <v>59046</v>
      </c>
      <c r="R129" s="172"/>
      <c r="S129" s="173"/>
      <c r="T129" s="173"/>
      <c r="U129" s="173"/>
      <c r="V129" s="174"/>
      <c r="W129" s="172">
        <v>69</v>
      </c>
      <c r="X129" s="173"/>
      <c r="Y129" s="173">
        <v>69</v>
      </c>
      <c r="Z129" s="173"/>
      <c r="AA129" s="174">
        <v>138</v>
      </c>
      <c r="AB129" s="172">
        <v>51003</v>
      </c>
      <c r="AC129" s="173">
        <v>14610</v>
      </c>
      <c r="AD129" s="173">
        <v>39174</v>
      </c>
      <c r="AE129" s="173">
        <v>52026</v>
      </c>
      <c r="AF129" s="174">
        <v>156813</v>
      </c>
      <c r="AG129" s="172">
        <v>28911</v>
      </c>
      <c r="AH129" s="173">
        <v>16146</v>
      </c>
      <c r="AI129" s="173">
        <v>20700</v>
      </c>
      <c r="AJ129" s="173">
        <v>19389</v>
      </c>
      <c r="AK129" s="174">
        <v>85146</v>
      </c>
      <c r="AL129" s="172">
        <v>18642</v>
      </c>
      <c r="AM129" s="173">
        <v>25158</v>
      </c>
      <c r="AN129" s="173">
        <v>17004</v>
      </c>
      <c r="AO129" s="173">
        <v>21678</v>
      </c>
      <c r="AP129" s="174">
        <v>82482</v>
      </c>
      <c r="AQ129" s="172">
        <v>11799</v>
      </c>
      <c r="AR129" s="173">
        <v>17595</v>
      </c>
      <c r="AS129" s="173">
        <v>10350</v>
      </c>
      <c r="AT129" s="173">
        <v>3657</v>
      </c>
      <c r="AU129" s="174">
        <v>43401</v>
      </c>
      <c r="AV129" s="172">
        <v>9681</v>
      </c>
      <c r="AW129" s="173">
        <v>4595</v>
      </c>
      <c r="AX129" s="173">
        <v>2289</v>
      </c>
      <c r="AY129" s="173">
        <v>1215</v>
      </c>
      <c r="AZ129" s="174">
        <v>17780</v>
      </c>
      <c r="BA129" s="172">
        <v>37497</v>
      </c>
      <c r="BB129" s="173">
        <v>25896</v>
      </c>
      <c r="BC129" s="173">
        <v>33348</v>
      </c>
      <c r="BD129" s="173">
        <v>37656</v>
      </c>
      <c r="BE129" s="174">
        <v>134397</v>
      </c>
      <c r="BF129" s="172">
        <f t="shared" si="29"/>
        <v>67536</v>
      </c>
      <c r="BG129" s="173">
        <f t="shared" si="23"/>
        <v>60036</v>
      </c>
      <c r="BH129" s="173">
        <f t="shared" si="24"/>
        <v>55044</v>
      </c>
      <c r="BI129" s="173">
        <f t="shared" si="25"/>
        <v>58179</v>
      </c>
      <c r="BJ129" s="174">
        <f t="shared" si="26"/>
        <v>240795</v>
      </c>
      <c r="BK129" s="172">
        <v>6279</v>
      </c>
      <c r="BL129" s="173">
        <v>7068</v>
      </c>
      <c r="BM129" s="173">
        <v>5727</v>
      </c>
      <c r="BN129" s="173">
        <v>3036</v>
      </c>
      <c r="BO129" s="174">
        <v>22110</v>
      </c>
      <c r="BP129" s="172">
        <v>23046</v>
      </c>
      <c r="BQ129" s="173">
        <v>21252</v>
      </c>
      <c r="BR129" s="173">
        <v>26595</v>
      </c>
      <c r="BS129" s="173">
        <v>24663</v>
      </c>
      <c r="BT129" s="174">
        <v>95556</v>
      </c>
      <c r="BU129" s="172">
        <v>32706</v>
      </c>
      <c r="BV129" s="173">
        <v>26289</v>
      </c>
      <c r="BW129" s="173">
        <v>20247</v>
      </c>
      <c r="BX129" s="173">
        <v>28635</v>
      </c>
      <c r="BY129" s="174">
        <v>107877</v>
      </c>
      <c r="BZ129" s="172">
        <v>4515</v>
      </c>
      <c r="CA129" s="173">
        <v>4140</v>
      </c>
      <c r="CB129" s="173">
        <v>2277</v>
      </c>
      <c r="CC129" s="173">
        <v>1449</v>
      </c>
      <c r="CD129" s="174">
        <v>12381</v>
      </c>
      <c r="CE129" s="172">
        <v>990</v>
      </c>
      <c r="CF129" s="173">
        <v>1287</v>
      </c>
      <c r="CG129" s="173">
        <v>198</v>
      </c>
      <c r="CH129" s="173">
        <v>396</v>
      </c>
      <c r="CI129" s="174">
        <v>2871</v>
      </c>
    </row>
    <row r="130" s="147" customFormat="1" ht="14.6" spans="1:87">
      <c r="A130" s="175" t="s">
        <v>114</v>
      </c>
      <c r="B130" s="176"/>
      <c r="C130" s="177">
        <f t="shared" si="27"/>
        <v>240732</v>
      </c>
      <c r="D130" s="178">
        <f t="shared" si="15"/>
        <v>175628</v>
      </c>
      <c r="E130" s="178">
        <f t="shared" si="16"/>
        <v>197505</v>
      </c>
      <c r="F130" s="178">
        <f t="shared" si="17"/>
        <v>206133</v>
      </c>
      <c r="G130" s="179">
        <f t="shared" si="18"/>
        <v>819998</v>
      </c>
      <c r="H130" s="177">
        <f t="shared" si="28"/>
        <v>173196</v>
      </c>
      <c r="I130" s="178">
        <f t="shared" si="19"/>
        <v>115592</v>
      </c>
      <c r="J130" s="178">
        <f t="shared" si="20"/>
        <v>142461</v>
      </c>
      <c r="K130" s="178">
        <f t="shared" si="21"/>
        <v>147954</v>
      </c>
      <c r="L130" s="179">
        <f t="shared" si="22"/>
        <v>579203</v>
      </c>
      <c r="M130" s="177">
        <v>15594</v>
      </c>
      <c r="N130" s="178">
        <v>11592</v>
      </c>
      <c r="O130" s="178">
        <v>19527</v>
      </c>
      <c r="P130" s="178">
        <v>12333</v>
      </c>
      <c r="Q130" s="179">
        <v>59046</v>
      </c>
      <c r="R130" s="177"/>
      <c r="S130" s="178"/>
      <c r="T130" s="178"/>
      <c r="U130" s="178"/>
      <c r="V130" s="179"/>
      <c r="W130" s="177">
        <v>69</v>
      </c>
      <c r="X130" s="178"/>
      <c r="Y130" s="178">
        <v>69</v>
      </c>
      <c r="Z130" s="178"/>
      <c r="AA130" s="179">
        <v>138</v>
      </c>
      <c r="AB130" s="177">
        <v>51003</v>
      </c>
      <c r="AC130" s="178">
        <v>14610</v>
      </c>
      <c r="AD130" s="178">
        <v>39174</v>
      </c>
      <c r="AE130" s="178">
        <v>52026</v>
      </c>
      <c r="AF130" s="179">
        <v>156813</v>
      </c>
      <c r="AG130" s="177">
        <v>28911</v>
      </c>
      <c r="AH130" s="178">
        <v>16146</v>
      </c>
      <c r="AI130" s="178">
        <v>20700</v>
      </c>
      <c r="AJ130" s="178">
        <v>19389</v>
      </c>
      <c r="AK130" s="179">
        <v>85146</v>
      </c>
      <c r="AL130" s="177">
        <v>18642</v>
      </c>
      <c r="AM130" s="178">
        <v>25158</v>
      </c>
      <c r="AN130" s="178">
        <v>17004</v>
      </c>
      <c r="AO130" s="178">
        <v>21678</v>
      </c>
      <c r="AP130" s="179">
        <v>82482</v>
      </c>
      <c r="AQ130" s="177">
        <v>11799</v>
      </c>
      <c r="AR130" s="178">
        <v>17595</v>
      </c>
      <c r="AS130" s="178">
        <v>10350</v>
      </c>
      <c r="AT130" s="178">
        <v>3657</v>
      </c>
      <c r="AU130" s="179">
        <v>43401</v>
      </c>
      <c r="AV130" s="177">
        <v>9681</v>
      </c>
      <c r="AW130" s="178">
        <v>4595</v>
      </c>
      <c r="AX130" s="178">
        <v>2289</v>
      </c>
      <c r="AY130" s="178">
        <v>1215</v>
      </c>
      <c r="AZ130" s="179">
        <v>17780</v>
      </c>
      <c r="BA130" s="177">
        <v>37497</v>
      </c>
      <c r="BB130" s="178">
        <v>25896</v>
      </c>
      <c r="BC130" s="178">
        <v>33348</v>
      </c>
      <c r="BD130" s="178">
        <v>37656</v>
      </c>
      <c r="BE130" s="179">
        <v>134397</v>
      </c>
      <c r="BF130" s="177">
        <f t="shared" si="29"/>
        <v>67536</v>
      </c>
      <c r="BG130" s="178">
        <f t="shared" si="23"/>
        <v>60036</v>
      </c>
      <c r="BH130" s="178">
        <f t="shared" si="24"/>
        <v>55044</v>
      </c>
      <c r="BI130" s="178">
        <f t="shared" si="25"/>
        <v>58179</v>
      </c>
      <c r="BJ130" s="179">
        <f t="shared" si="26"/>
        <v>240795</v>
      </c>
      <c r="BK130" s="177">
        <v>6279</v>
      </c>
      <c r="BL130" s="178">
        <v>7068</v>
      </c>
      <c r="BM130" s="178">
        <v>5727</v>
      </c>
      <c r="BN130" s="178">
        <v>3036</v>
      </c>
      <c r="BO130" s="179">
        <v>22110</v>
      </c>
      <c r="BP130" s="177">
        <v>23046</v>
      </c>
      <c r="BQ130" s="178">
        <v>21252</v>
      </c>
      <c r="BR130" s="178">
        <v>26595</v>
      </c>
      <c r="BS130" s="178">
        <v>24663</v>
      </c>
      <c r="BT130" s="179">
        <v>95556</v>
      </c>
      <c r="BU130" s="177">
        <v>32706</v>
      </c>
      <c r="BV130" s="178">
        <v>26289</v>
      </c>
      <c r="BW130" s="178">
        <v>20247</v>
      </c>
      <c r="BX130" s="178">
        <v>28635</v>
      </c>
      <c r="BY130" s="179">
        <v>107877</v>
      </c>
      <c r="BZ130" s="177">
        <v>4515</v>
      </c>
      <c r="CA130" s="178">
        <v>4140</v>
      </c>
      <c r="CB130" s="178">
        <v>2277</v>
      </c>
      <c r="CC130" s="178">
        <v>1449</v>
      </c>
      <c r="CD130" s="179">
        <v>12381</v>
      </c>
      <c r="CE130" s="177">
        <v>990</v>
      </c>
      <c r="CF130" s="178">
        <v>1287</v>
      </c>
      <c r="CG130" s="178">
        <v>198</v>
      </c>
      <c r="CH130" s="178">
        <v>396</v>
      </c>
      <c r="CI130" s="179">
        <v>2871</v>
      </c>
    </row>
    <row r="131" spans="1:87">
      <c r="A131" s="170" t="s">
        <v>115</v>
      </c>
      <c r="B131" s="171" t="s">
        <v>26</v>
      </c>
      <c r="C131" s="172">
        <f t="shared" si="27"/>
        <v>197478</v>
      </c>
      <c r="D131" s="173">
        <f t="shared" ref="D131:D194" si="30">I131+BG131</f>
        <v>189681</v>
      </c>
      <c r="E131" s="173">
        <f t="shared" ref="E131:E194" si="31">J131+BH131</f>
        <v>161253</v>
      </c>
      <c r="F131" s="173">
        <f t="shared" ref="F131:F194" si="32">K131+BI131</f>
        <v>185873</v>
      </c>
      <c r="G131" s="174">
        <f t="shared" ref="G131:G194" si="33">L131+BJ131</f>
        <v>734285</v>
      </c>
      <c r="H131" s="172">
        <f t="shared" si="28"/>
        <v>176433</v>
      </c>
      <c r="I131" s="173">
        <f t="shared" ref="I131:I194" si="34">N131+S131+X131+AC131+AH131+AM131+AR131+AW131+BB131</f>
        <v>171534</v>
      </c>
      <c r="J131" s="173">
        <f t="shared" ref="J131:J194" si="35">O131+T131+Y131+AD131+AI131+AN131+AS131+AX131+BC131</f>
        <v>145107</v>
      </c>
      <c r="K131" s="173">
        <f t="shared" ref="K131:K194" si="36">P131+U131+Z131+AE131+AJ131+AO131+AT131+AY131+BD131</f>
        <v>176627</v>
      </c>
      <c r="L131" s="174">
        <f t="shared" ref="L131:L194" si="37">Q131+V131+AA131+AF131+AK131+AP131+AU131+AZ131+BE131</f>
        <v>669701</v>
      </c>
      <c r="M131" s="172">
        <v>36777</v>
      </c>
      <c r="N131" s="173">
        <v>27945</v>
      </c>
      <c r="O131" s="173">
        <v>24633</v>
      </c>
      <c r="P131" s="173">
        <v>33562</v>
      </c>
      <c r="Q131" s="174">
        <v>122917</v>
      </c>
      <c r="R131" s="172">
        <v>8073</v>
      </c>
      <c r="S131" s="173">
        <v>6417</v>
      </c>
      <c r="T131" s="173">
        <v>6693</v>
      </c>
      <c r="U131" s="173">
        <v>7499</v>
      </c>
      <c r="V131" s="174">
        <v>28682</v>
      </c>
      <c r="W131" s="172">
        <v>9729</v>
      </c>
      <c r="X131" s="173">
        <v>7521</v>
      </c>
      <c r="Y131" s="173">
        <v>5244</v>
      </c>
      <c r="Z131" s="173">
        <v>10419</v>
      </c>
      <c r="AA131" s="174">
        <v>32913</v>
      </c>
      <c r="AB131" s="172">
        <v>19320</v>
      </c>
      <c r="AC131" s="173">
        <v>33396</v>
      </c>
      <c r="AD131" s="173">
        <v>29808</v>
      </c>
      <c r="AE131" s="173">
        <v>19113</v>
      </c>
      <c r="AF131" s="174">
        <v>101637</v>
      </c>
      <c r="AG131" s="172">
        <v>74796</v>
      </c>
      <c r="AH131" s="173">
        <v>67551</v>
      </c>
      <c r="AI131" s="173">
        <v>51819</v>
      </c>
      <c r="AJ131" s="173">
        <v>76190</v>
      </c>
      <c r="AK131" s="174">
        <v>270356</v>
      </c>
      <c r="AL131" s="172">
        <v>2760</v>
      </c>
      <c r="AM131" s="173">
        <v>4002</v>
      </c>
      <c r="AN131" s="173">
        <v>4278</v>
      </c>
      <c r="AO131" s="173">
        <v>4071</v>
      </c>
      <c r="AP131" s="174">
        <v>15111</v>
      </c>
      <c r="AQ131" s="172">
        <v>7590</v>
      </c>
      <c r="AR131" s="173">
        <v>16698</v>
      </c>
      <c r="AS131" s="173">
        <v>12144</v>
      </c>
      <c r="AT131" s="173">
        <v>16389</v>
      </c>
      <c r="AU131" s="174">
        <v>52821</v>
      </c>
      <c r="AV131" s="172"/>
      <c r="AW131" s="173"/>
      <c r="AX131" s="173"/>
      <c r="AY131" s="173"/>
      <c r="AZ131" s="174"/>
      <c r="BA131" s="172">
        <v>17388</v>
      </c>
      <c r="BB131" s="173">
        <v>8004</v>
      </c>
      <c r="BC131" s="173">
        <v>10488</v>
      </c>
      <c r="BD131" s="173">
        <v>9384</v>
      </c>
      <c r="BE131" s="174">
        <v>45264</v>
      </c>
      <c r="BF131" s="172">
        <f t="shared" si="29"/>
        <v>21045</v>
      </c>
      <c r="BG131" s="173">
        <f t="shared" ref="BG131:BG194" si="38">BL131+BQ131+BV131+CA131+CF131</f>
        <v>18147</v>
      </c>
      <c r="BH131" s="173">
        <f t="shared" ref="BH131:BH194" si="39">BM131+BR131+BW131+CB131+CG131</f>
        <v>16146</v>
      </c>
      <c r="BI131" s="173">
        <f t="shared" ref="BI131:BI194" si="40">BN131+BS131+BX131+CC131+CH131</f>
        <v>9246</v>
      </c>
      <c r="BJ131" s="174">
        <f t="shared" ref="BJ131:BJ194" si="41">BO131+BT131+BY131+CD131+CI131</f>
        <v>64584</v>
      </c>
      <c r="BK131" s="172">
        <v>2277</v>
      </c>
      <c r="BL131" s="173">
        <v>966</v>
      </c>
      <c r="BM131" s="173">
        <v>276</v>
      </c>
      <c r="BN131" s="173">
        <v>207</v>
      </c>
      <c r="BO131" s="174">
        <v>3726</v>
      </c>
      <c r="BP131" s="172">
        <v>7521</v>
      </c>
      <c r="BQ131" s="173">
        <v>6969</v>
      </c>
      <c r="BR131" s="173">
        <v>8142</v>
      </c>
      <c r="BS131" s="173">
        <v>3657</v>
      </c>
      <c r="BT131" s="174">
        <v>26289</v>
      </c>
      <c r="BU131" s="172">
        <v>8487</v>
      </c>
      <c r="BV131" s="173">
        <v>6900</v>
      </c>
      <c r="BW131" s="173">
        <v>4002</v>
      </c>
      <c r="BX131" s="173">
        <v>3795</v>
      </c>
      <c r="BY131" s="174">
        <v>23184</v>
      </c>
      <c r="BZ131" s="172">
        <v>414</v>
      </c>
      <c r="CA131" s="173">
        <v>3312</v>
      </c>
      <c r="CB131" s="173">
        <v>2139</v>
      </c>
      <c r="CC131" s="173">
        <v>1518</v>
      </c>
      <c r="CD131" s="174">
        <v>7383</v>
      </c>
      <c r="CE131" s="172">
        <v>2346</v>
      </c>
      <c r="CF131" s="173"/>
      <c r="CG131" s="173">
        <v>1587</v>
      </c>
      <c r="CH131" s="173">
        <v>69</v>
      </c>
      <c r="CI131" s="174">
        <v>4002</v>
      </c>
    </row>
    <row r="132" s="147" customFormat="1" ht="14.6" spans="1:87">
      <c r="A132" s="175" t="s">
        <v>116</v>
      </c>
      <c r="B132" s="176"/>
      <c r="C132" s="177">
        <f t="shared" ref="C132:C195" si="42">H132+BF132</f>
        <v>197478</v>
      </c>
      <c r="D132" s="178">
        <f t="shared" si="30"/>
        <v>189681</v>
      </c>
      <c r="E132" s="178">
        <f t="shared" si="31"/>
        <v>161253</v>
      </c>
      <c r="F132" s="178">
        <f t="shared" si="32"/>
        <v>185873</v>
      </c>
      <c r="G132" s="179">
        <f t="shared" si="33"/>
        <v>734285</v>
      </c>
      <c r="H132" s="177">
        <f t="shared" ref="H132:H195" si="43">M132+R132+W132+AB132+AG132+AL132+AQ132+AV132+BA132</f>
        <v>176433</v>
      </c>
      <c r="I132" s="178">
        <f t="shared" si="34"/>
        <v>171534</v>
      </c>
      <c r="J132" s="178">
        <f t="shared" si="35"/>
        <v>145107</v>
      </c>
      <c r="K132" s="178">
        <f t="shared" si="36"/>
        <v>176627</v>
      </c>
      <c r="L132" s="179">
        <f t="shared" si="37"/>
        <v>669701</v>
      </c>
      <c r="M132" s="177">
        <v>36777</v>
      </c>
      <c r="N132" s="178">
        <v>27945</v>
      </c>
      <c r="O132" s="178">
        <v>24633</v>
      </c>
      <c r="P132" s="178">
        <v>33562</v>
      </c>
      <c r="Q132" s="179">
        <v>122917</v>
      </c>
      <c r="R132" s="177">
        <v>8073</v>
      </c>
      <c r="S132" s="178">
        <v>6417</v>
      </c>
      <c r="T132" s="178">
        <v>6693</v>
      </c>
      <c r="U132" s="178">
        <v>7499</v>
      </c>
      <c r="V132" s="179">
        <v>28682</v>
      </c>
      <c r="W132" s="177">
        <v>9729</v>
      </c>
      <c r="X132" s="178">
        <v>7521</v>
      </c>
      <c r="Y132" s="178">
        <v>5244</v>
      </c>
      <c r="Z132" s="178">
        <v>10419</v>
      </c>
      <c r="AA132" s="179">
        <v>32913</v>
      </c>
      <c r="AB132" s="177">
        <v>19320</v>
      </c>
      <c r="AC132" s="178">
        <v>33396</v>
      </c>
      <c r="AD132" s="178">
        <v>29808</v>
      </c>
      <c r="AE132" s="178">
        <v>19113</v>
      </c>
      <c r="AF132" s="179">
        <v>101637</v>
      </c>
      <c r="AG132" s="177">
        <v>74796</v>
      </c>
      <c r="AH132" s="178">
        <v>67551</v>
      </c>
      <c r="AI132" s="178">
        <v>51819</v>
      </c>
      <c r="AJ132" s="178">
        <v>76190</v>
      </c>
      <c r="AK132" s="179">
        <v>270356</v>
      </c>
      <c r="AL132" s="177">
        <v>2760</v>
      </c>
      <c r="AM132" s="178">
        <v>4002</v>
      </c>
      <c r="AN132" s="178">
        <v>4278</v>
      </c>
      <c r="AO132" s="178">
        <v>4071</v>
      </c>
      <c r="AP132" s="179">
        <v>15111</v>
      </c>
      <c r="AQ132" s="177">
        <v>7590</v>
      </c>
      <c r="AR132" s="178">
        <v>16698</v>
      </c>
      <c r="AS132" s="178">
        <v>12144</v>
      </c>
      <c r="AT132" s="178">
        <v>16389</v>
      </c>
      <c r="AU132" s="179">
        <v>52821</v>
      </c>
      <c r="AV132" s="177"/>
      <c r="AW132" s="178"/>
      <c r="AX132" s="178"/>
      <c r="AY132" s="178"/>
      <c r="AZ132" s="179"/>
      <c r="BA132" s="177">
        <v>17388</v>
      </c>
      <c r="BB132" s="178">
        <v>8004</v>
      </c>
      <c r="BC132" s="178">
        <v>10488</v>
      </c>
      <c r="BD132" s="178">
        <v>9384</v>
      </c>
      <c r="BE132" s="179">
        <v>45264</v>
      </c>
      <c r="BF132" s="177">
        <f t="shared" ref="BF132:BF195" si="44">BK132+BP132+BU132+BZ132+CE132</f>
        <v>21045</v>
      </c>
      <c r="BG132" s="178">
        <f t="shared" si="38"/>
        <v>18147</v>
      </c>
      <c r="BH132" s="178">
        <f t="shared" si="39"/>
        <v>16146</v>
      </c>
      <c r="BI132" s="178">
        <f t="shared" si="40"/>
        <v>9246</v>
      </c>
      <c r="BJ132" s="179">
        <f t="shared" si="41"/>
        <v>64584</v>
      </c>
      <c r="BK132" s="177">
        <v>2277</v>
      </c>
      <c r="BL132" s="178">
        <v>966</v>
      </c>
      <c r="BM132" s="178">
        <v>276</v>
      </c>
      <c r="BN132" s="178">
        <v>207</v>
      </c>
      <c r="BO132" s="179">
        <v>3726</v>
      </c>
      <c r="BP132" s="177">
        <v>7521</v>
      </c>
      <c r="BQ132" s="178">
        <v>6969</v>
      </c>
      <c r="BR132" s="178">
        <v>8142</v>
      </c>
      <c r="BS132" s="178">
        <v>3657</v>
      </c>
      <c r="BT132" s="179">
        <v>26289</v>
      </c>
      <c r="BU132" s="177">
        <v>8487</v>
      </c>
      <c r="BV132" s="178">
        <v>6900</v>
      </c>
      <c r="BW132" s="178">
        <v>4002</v>
      </c>
      <c r="BX132" s="178">
        <v>3795</v>
      </c>
      <c r="BY132" s="179">
        <v>23184</v>
      </c>
      <c r="BZ132" s="177">
        <v>414</v>
      </c>
      <c r="CA132" s="178">
        <v>3312</v>
      </c>
      <c r="CB132" s="178">
        <v>2139</v>
      </c>
      <c r="CC132" s="178">
        <v>1518</v>
      </c>
      <c r="CD132" s="179">
        <v>7383</v>
      </c>
      <c r="CE132" s="177">
        <v>2346</v>
      </c>
      <c r="CF132" s="178"/>
      <c r="CG132" s="178">
        <v>1587</v>
      </c>
      <c r="CH132" s="178">
        <v>69</v>
      </c>
      <c r="CI132" s="179">
        <v>4002</v>
      </c>
    </row>
    <row r="133" spans="1:87">
      <c r="A133" s="170" t="s">
        <v>117</v>
      </c>
      <c r="B133" s="171" t="s">
        <v>26</v>
      </c>
      <c r="C133" s="172">
        <f t="shared" si="42"/>
        <v>197296</v>
      </c>
      <c r="D133" s="173">
        <f t="shared" si="30"/>
        <v>166852</v>
      </c>
      <c r="E133" s="173">
        <f t="shared" si="31"/>
        <v>156586</v>
      </c>
      <c r="F133" s="173">
        <f t="shared" si="32"/>
        <v>131983</v>
      </c>
      <c r="G133" s="174">
        <f t="shared" si="33"/>
        <v>652717</v>
      </c>
      <c r="H133" s="172">
        <f t="shared" si="43"/>
        <v>185378</v>
      </c>
      <c r="I133" s="173">
        <f t="shared" si="34"/>
        <v>155170</v>
      </c>
      <c r="J133" s="173">
        <f t="shared" si="35"/>
        <v>146674</v>
      </c>
      <c r="K133" s="173">
        <f t="shared" si="36"/>
        <v>118767</v>
      </c>
      <c r="L133" s="174">
        <f t="shared" si="37"/>
        <v>605989</v>
      </c>
      <c r="M133" s="172">
        <v>3068</v>
      </c>
      <c r="N133" s="173">
        <v>7198</v>
      </c>
      <c r="O133" s="173">
        <v>6844</v>
      </c>
      <c r="P133" s="173">
        <v>10148</v>
      </c>
      <c r="Q133" s="174">
        <v>27258</v>
      </c>
      <c r="R133" s="172">
        <v>15871</v>
      </c>
      <c r="S133" s="173">
        <v>9145</v>
      </c>
      <c r="T133" s="173">
        <v>9027</v>
      </c>
      <c r="U133" s="173">
        <v>4484</v>
      </c>
      <c r="V133" s="174">
        <v>38527</v>
      </c>
      <c r="W133" s="172">
        <v>2419</v>
      </c>
      <c r="X133" s="173">
        <v>2891</v>
      </c>
      <c r="Y133" s="173">
        <v>5428</v>
      </c>
      <c r="Z133" s="173">
        <v>2065</v>
      </c>
      <c r="AA133" s="174">
        <v>12803</v>
      </c>
      <c r="AB133" s="172">
        <v>26432</v>
      </c>
      <c r="AC133" s="173">
        <v>57643</v>
      </c>
      <c r="AD133" s="173">
        <v>51507</v>
      </c>
      <c r="AE133" s="173">
        <v>28910</v>
      </c>
      <c r="AF133" s="174">
        <v>164492</v>
      </c>
      <c r="AG133" s="172">
        <v>42775</v>
      </c>
      <c r="AH133" s="173">
        <v>34810</v>
      </c>
      <c r="AI133" s="173">
        <v>28851</v>
      </c>
      <c r="AJ133" s="173">
        <v>20355</v>
      </c>
      <c r="AK133" s="174">
        <v>126791</v>
      </c>
      <c r="AL133" s="172">
        <v>5841</v>
      </c>
      <c r="AM133" s="173">
        <v>3776</v>
      </c>
      <c r="AN133" s="173">
        <v>2655</v>
      </c>
      <c r="AO133" s="173">
        <v>8909</v>
      </c>
      <c r="AP133" s="174">
        <v>21181</v>
      </c>
      <c r="AQ133" s="172">
        <v>11564</v>
      </c>
      <c r="AR133" s="173">
        <v>8614</v>
      </c>
      <c r="AS133" s="173">
        <v>7729</v>
      </c>
      <c r="AT133" s="173">
        <v>5664</v>
      </c>
      <c r="AU133" s="174">
        <v>33571</v>
      </c>
      <c r="AV133" s="172">
        <v>5664</v>
      </c>
      <c r="AW133" s="173">
        <v>3953</v>
      </c>
      <c r="AX133" s="173">
        <v>4425</v>
      </c>
      <c r="AY133" s="173">
        <v>5723</v>
      </c>
      <c r="AZ133" s="174">
        <v>19765</v>
      </c>
      <c r="BA133" s="172">
        <v>71744</v>
      </c>
      <c r="BB133" s="173">
        <v>27140</v>
      </c>
      <c r="BC133" s="173">
        <v>30208</v>
      </c>
      <c r="BD133" s="173">
        <v>32509</v>
      </c>
      <c r="BE133" s="174">
        <v>161601</v>
      </c>
      <c r="BF133" s="172">
        <f t="shared" si="44"/>
        <v>11918</v>
      </c>
      <c r="BG133" s="173">
        <f t="shared" si="38"/>
        <v>11682</v>
      </c>
      <c r="BH133" s="173">
        <f t="shared" si="39"/>
        <v>9912</v>
      </c>
      <c r="BI133" s="173">
        <f t="shared" si="40"/>
        <v>13216</v>
      </c>
      <c r="BJ133" s="174">
        <f t="shared" si="41"/>
        <v>46728</v>
      </c>
      <c r="BK133" s="172"/>
      <c r="BL133" s="173"/>
      <c r="BM133" s="173"/>
      <c r="BN133" s="173"/>
      <c r="BO133" s="174"/>
      <c r="BP133" s="172">
        <v>5428</v>
      </c>
      <c r="BQ133" s="173">
        <v>5310</v>
      </c>
      <c r="BR133" s="173">
        <v>4897</v>
      </c>
      <c r="BS133" s="173">
        <v>6254</v>
      </c>
      <c r="BT133" s="174">
        <v>21889</v>
      </c>
      <c r="BU133" s="172">
        <v>6490</v>
      </c>
      <c r="BV133" s="173">
        <v>6372</v>
      </c>
      <c r="BW133" s="173">
        <v>5015</v>
      </c>
      <c r="BX133" s="173">
        <v>6962</v>
      </c>
      <c r="BY133" s="174">
        <v>24839</v>
      </c>
      <c r="BZ133" s="172"/>
      <c r="CA133" s="173"/>
      <c r="CB133" s="173"/>
      <c r="CC133" s="173"/>
      <c r="CD133" s="174"/>
      <c r="CE133" s="172"/>
      <c r="CF133" s="173"/>
      <c r="CG133" s="173"/>
      <c r="CH133" s="173"/>
      <c r="CI133" s="174"/>
    </row>
    <row r="134" s="147" customFormat="1" ht="14.6" spans="1:87">
      <c r="A134" s="175" t="s">
        <v>118</v>
      </c>
      <c r="B134" s="176"/>
      <c r="C134" s="177">
        <f t="shared" si="42"/>
        <v>197296</v>
      </c>
      <c r="D134" s="178">
        <f t="shared" si="30"/>
        <v>166852</v>
      </c>
      <c r="E134" s="178">
        <f t="shared" si="31"/>
        <v>156586</v>
      </c>
      <c r="F134" s="178">
        <f t="shared" si="32"/>
        <v>131983</v>
      </c>
      <c r="G134" s="179">
        <f t="shared" si="33"/>
        <v>652717</v>
      </c>
      <c r="H134" s="177">
        <f t="shared" si="43"/>
        <v>185378</v>
      </c>
      <c r="I134" s="178">
        <f t="shared" si="34"/>
        <v>155170</v>
      </c>
      <c r="J134" s="178">
        <f t="shared" si="35"/>
        <v>146674</v>
      </c>
      <c r="K134" s="178">
        <f t="shared" si="36"/>
        <v>118767</v>
      </c>
      <c r="L134" s="179">
        <f t="shared" si="37"/>
        <v>605989</v>
      </c>
      <c r="M134" s="177">
        <v>3068</v>
      </c>
      <c r="N134" s="178">
        <v>7198</v>
      </c>
      <c r="O134" s="178">
        <v>6844</v>
      </c>
      <c r="P134" s="178">
        <v>10148</v>
      </c>
      <c r="Q134" s="179">
        <v>27258</v>
      </c>
      <c r="R134" s="177">
        <v>15871</v>
      </c>
      <c r="S134" s="178">
        <v>9145</v>
      </c>
      <c r="T134" s="178">
        <v>9027</v>
      </c>
      <c r="U134" s="178">
        <v>4484</v>
      </c>
      <c r="V134" s="179">
        <v>38527</v>
      </c>
      <c r="W134" s="177">
        <v>2419</v>
      </c>
      <c r="X134" s="178">
        <v>2891</v>
      </c>
      <c r="Y134" s="178">
        <v>5428</v>
      </c>
      <c r="Z134" s="178">
        <v>2065</v>
      </c>
      <c r="AA134" s="179">
        <v>12803</v>
      </c>
      <c r="AB134" s="177">
        <v>26432</v>
      </c>
      <c r="AC134" s="178">
        <v>57643</v>
      </c>
      <c r="AD134" s="178">
        <v>51507</v>
      </c>
      <c r="AE134" s="178">
        <v>28910</v>
      </c>
      <c r="AF134" s="179">
        <v>164492</v>
      </c>
      <c r="AG134" s="177">
        <v>42775</v>
      </c>
      <c r="AH134" s="178">
        <v>34810</v>
      </c>
      <c r="AI134" s="178">
        <v>28851</v>
      </c>
      <c r="AJ134" s="178">
        <v>20355</v>
      </c>
      <c r="AK134" s="179">
        <v>126791</v>
      </c>
      <c r="AL134" s="177">
        <v>5841</v>
      </c>
      <c r="AM134" s="178">
        <v>3776</v>
      </c>
      <c r="AN134" s="178">
        <v>2655</v>
      </c>
      <c r="AO134" s="178">
        <v>8909</v>
      </c>
      <c r="AP134" s="179">
        <v>21181</v>
      </c>
      <c r="AQ134" s="177">
        <v>11564</v>
      </c>
      <c r="AR134" s="178">
        <v>8614</v>
      </c>
      <c r="AS134" s="178">
        <v>7729</v>
      </c>
      <c r="AT134" s="178">
        <v>5664</v>
      </c>
      <c r="AU134" s="179">
        <v>33571</v>
      </c>
      <c r="AV134" s="177">
        <v>5664</v>
      </c>
      <c r="AW134" s="178">
        <v>3953</v>
      </c>
      <c r="AX134" s="178">
        <v>4425</v>
      </c>
      <c r="AY134" s="178">
        <v>5723</v>
      </c>
      <c r="AZ134" s="179">
        <v>19765</v>
      </c>
      <c r="BA134" s="177">
        <v>71744</v>
      </c>
      <c r="BB134" s="178">
        <v>27140</v>
      </c>
      <c r="BC134" s="178">
        <v>30208</v>
      </c>
      <c r="BD134" s="178">
        <v>32509</v>
      </c>
      <c r="BE134" s="179">
        <v>161601</v>
      </c>
      <c r="BF134" s="177">
        <f t="shared" si="44"/>
        <v>11918</v>
      </c>
      <c r="BG134" s="178">
        <f t="shared" si="38"/>
        <v>11682</v>
      </c>
      <c r="BH134" s="178">
        <f t="shared" si="39"/>
        <v>9912</v>
      </c>
      <c r="BI134" s="178">
        <f t="shared" si="40"/>
        <v>13216</v>
      </c>
      <c r="BJ134" s="179">
        <f t="shared" si="41"/>
        <v>46728</v>
      </c>
      <c r="BK134" s="177"/>
      <c r="BL134" s="178"/>
      <c r="BM134" s="178"/>
      <c r="BN134" s="178"/>
      <c r="BO134" s="179"/>
      <c r="BP134" s="177">
        <v>5428</v>
      </c>
      <c r="BQ134" s="178">
        <v>5310</v>
      </c>
      <c r="BR134" s="178">
        <v>4897</v>
      </c>
      <c r="BS134" s="178">
        <v>6254</v>
      </c>
      <c r="BT134" s="179">
        <v>21889</v>
      </c>
      <c r="BU134" s="177">
        <v>6490</v>
      </c>
      <c r="BV134" s="178">
        <v>6372</v>
      </c>
      <c r="BW134" s="178">
        <v>5015</v>
      </c>
      <c r="BX134" s="178">
        <v>6962</v>
      </c>
      <c r="BY134" s="179">
        <v>24839</v>
      </c>
      <c r="BZ134" s="177"/>
      <c r="CA134" s="178"/>
      <c r="CB134" s="178"/>
      <c r="CC134" s="178"/>
      <c r="CD134" s="179"/>
      <c r="CE134" s="177"/>
      <c r="CF134" s="178"/>
      <c r="CG134" s="178"/>
      <c r="CH134" s="178"/>
      <c r="CI134" s="179"/>
    </row>
    <row r="135" spans="1:87">
      <c r="A135" s="170" t="s">
        <v>119</v>
      </c>
      <c r="B135" s="171" t="s">
        <v>26</v>
      </c>
      <c r="C135" s="172">
        <f t="shared" si="42"/>
        <v>149873</v>
      </c>
      <c r="D135" s="173">
        <f t="shared" si="30"/>
        <v>131851</v>
      </c>
      <c r="E135" s="173">
        <f t="shared" si="31"/>
        <v>129133</v>
      </c>
      <c r="F135" s="173">
        <f t="shared" si="32"/>
        <v>110113</v>
      </c>
      <c r="G135" s="174">
        <f t="shared" si="33"/>
        <v>520970</v>
      </c>
      <c r="H135" s="172">
        <f t="shared" si="43"/>
        <v>123378</v>
      </c>
      <c r="I135" s="173">
        <f t="shared" si="34"/>
        <v>115852</v>
      </c>
      <c r="J135" s="173">
        <f t="shared" si="35"/>
        <v>111097</v>
      </c>
      <c r="K135" s="173">
        <f t="shared" si="36"/>
        <v>86564</v>
      </c>
      <c r="L135" s="174">
        <f t="shared" si="37"/>
        <v>436891</v>
      </c>
      <c r="M135" s="172"/>
      <c r="N135" s="173"/>
      <c r="O135" s="173"/>
      <c r="P135" s="173"/>
      <c r="Q135" s="174"/>
      <c r="R135" s="172">
        <v>21321</v>
      </c>
      <c r="S135" s="173">
        <v>19803</v>
      </c>
      <c r="T135" s="173">
        <v>24081</v>
      </c>
      <c r="U135" s="173">
        <v>12282</v>
      </c>
      <c r="V135" s="174">
        <v>77487</v>
      </c>
      <c r="W135" s="172"/>
      <c r="X135" s="173"/>
      <c r="Y135" s="173"/>
      <c r="Z135" s="173"/>
      <c r="AA135" s="174"/>
      <c r="AB135" s="172">
        <v>59</v>
      </c>
      <c r="AC135" s="173">
        <v>2338</v>
      </c>
      <c r="AD135" s="173"/>
      <c r="AE135" s="173">
        <v>79</v>
      </c>
      <c r="AF135" s="174">
        <v>2476</v>
      </c>
      <c r="AG135" s="172">
        <v>79080</v>
      </c>
      <c r="AH135" s="173">
        <v>67000</v>
      </c>
      <c r="AI135" s="173">
        <v>65581</v>
      </c>
      <c r="AJ135" s="173">
        <v>50722</v>
      </c>
      <c r="AK135" s="174">
        <v>262383</v>
      </c>
      <c r="AL135" s="172">
        <v>6887</v>
      </c>
      <c r="AM135" s="173">
        <v>10692</v>
      </c>
      <c r="AN135" s="173">
        <v>4242</v>
      </c>
      <c r="AO135" s="173">
        <v>5878</v>
      </c>
      <c r="AP135" s="174">
        <v>27699</v>
      </c>
      <c r="AQ135" s="172"/>
      <c r="AR135" s="173"/>
      <c r="AS135" s="173"/>
      <c r="AT135" s="173"/>
      <c r="AU135" s="174"/>
      <c r="AV135" s="172">
        <v>3950</v>
      </c>
      <c r="AW135" s="173">
        <v>1105</v>
      </c>
      <c r="AX135" s="173">
        <v>2524</v>
      </c>
      <c r="AY135" s="173">
        <v>2091</v>
      </c>
      <c r="AZ135" s="174">
        <v>9670</v>
      </c>
      <c r="BA135" s="172">
        <v>12081</v>
      </c>
      <c r="BB135" s="173">
        <v>14914</v>
      </c>
      <c r="BC135" s="173">
        <v>14669</v>
      </c>
      <c r="BD135" s="173">
        <v>15512</v>
      </c>
      <c r="BE135" s="174">
        <v>57176</v>
      </c>
      <c r="BF135" s="172">
        <f t="shared" si="44"/>
        <v>26495</v>
      </c>
      <c r="BG135" s="173">
        <f t="shared" si="38"/>
        <v>15999</v>
      </c>
      <c r="BH135" s="173">
        <f t="shared" si="39"/>
        <v>18036</v>
      </c>
      <c r="BI135" s="173">
        <f t="shared" si="40"/>
        <v>23549</v>
      </c>
      <c r="BJ135" s="174">
        <f t="shared" si="41"/>
        <v>84079</v>
      </c>
      <c r="BK135" s="172">
        <v>2618</v>
      </c>
      <c r="BL135" s="173">
        <v>3346</v>
      </c>
      <c r="BM135" s="173">
        <v>2461</v>
      </c>
      <c r="BN135" s="173">
        <v>3358</v>
      </c>
      <c r="BO135" s="174">
        <v>11783</v>
      </c>
      <c r="BP135" s="172">
        <v>12082</v>
      </c>
      <c r="BQ135" s="173">
        <v>1801</v>
      </c>
      <c r="BR135" s="173">
        <v>6255</v>
      </c>
      <c r="BS135" s="173">
        <v>3782</v>
      </c>
      <c r="BT135" s="174">
        <v>23920</v>
      </c>
      <c r="BU135" s="172">
        <v>11795</v>
      </c>
      <c r="BV135" s="173">
        <v>10852</v>
      </c>
      <c r="BW135" s="173">
        <v>9320</v>
      </c>
      <c r="BX135" s="173">
        <v>16409</v>
      </c>
      <c r="BY135" s="174">
        <v>48376</v>
      </c>
      <c r="BZ135" s="172"/>
      <c r="CA135" s="173"/>
      <c r="CB135" s="173"/>
      <c r="CC135" s="173"/>
      <c r="CD135" s="174"/>
      <c r="CE135" s="172"/>
      <c r="CF135" s="173"/>
      <c r="CG135" s="173"/>
      <c r="CH135" s="173"/>
      <c r="CI135" s="174"/>
    </row>
    <row r="136" s="147" customFormat="1" ht="14.6" spans="1:87">
      <c r="A136" s="175" t="s">
        <v>120</v>
      </c>
      <c r="B136" s="176"/>
      <c r="C136" s="177">
        <f t="shared" si="42"/>
        <v>149873</v>
      </c>
      <c r="D136" s="178">
        <f t="shared" si="30"/>
        <v>131851</v>
      </c>
      <c r="E136" s="178">
        <f t="shared" si="31"/>
        <v>129133</v>
      </c>
      <c r="F136" s="178">
        <f t="shared" si="32"/>
        <v>110113</v>
      </c>
      <c r="G136" s="179">
        <f t="shared" si="33"/>
        <v>520970</v>
      </c>
      <c r="H136" s="177">
        <f t="shared" si="43"/>
        <v>123378</v>
      </c>
      <c r="I136" s="178">
        <f t="shared" si="34"/>
        <v>115852</v>
      </c>
      <c r="J136" s="178">
        <f t="shared" si="35"/>
        <v>111097</v>
      </c>
      <c r="K136" s="178">
        <f t="shared" si="36"/>
        <v>86564</v>
      </c>
      <c r="L136" s="179">
        <f t="shared" si="37"/>
        <v>436891</v>
      </c>
      <c r="M136" s="177"/>
      <c r="N136" s="178"/>
      <c r="O136" s="178"/>
      <c r="P136" s="178"/>
      <c r="Q136" s="179"/>
      <c r="R136" s="177">
        <v>21321</v>
      </c>
      <c r="S136" s="178">
        <v>19803</v>
      </c>
      <c r="T136" s="178">
        <v>24081</v>
      </c>
      <c r="U136" s="178">
        <v>12282</v>
      </c>
      <c r="V136" s="179">
        <v>77487</v>
      </c>
      <c r="W136" s="177"/>
      <c r="X136" s="178"/>
      <c r="Y136" s="178"/>
      <c r="Z136" s="178"/>
      <c r="AA136" s="179"/>
      <c r="AB136" s="177">
        <v>59</v>
      </c>
      <c r="AC136" s="178">
        <v>2338</v>
      </c>
      <c r="AD136" s="178"/>
      <c r="AE136" s="178">
        <v>79</v>
      </c>
      <c r="AF136" s="179">
        <v>2476</v>
      </c>
      <c r="AG136" s="177">
        <v>79080</v>
      </c>
      <c r="AH136" s="178">
        <v>67000</v>
      </c>
      <c r="AI136" s="178">
        <v>65581</v>
      </c>
      <c r="AJ136" s="178">
        <v>50722</v>
      </c>
      <c r="AK136" s="179">
        <v>262383</v>
      </c>
      <c r="AL136" s="177">
        <v>6887</v>
      </c>
      <c r="AM136" s="178">
        <v>10692</v>
      </c>
      <c r="AN136" s="178">
        <v>4242</v>
      </c>
      <c r="AO136" s="178">
        <v>5878</v>
      </c>
      <c r="AP136" s="179">
        <v>27699</v>
      </c>
      <c r="AQ136" s="177"/>
      <c r="AR136" s="178"/>
      <c r="AS136" s="178"/>
      <c r="AT136" s="178"/>
      <c r="AU136" s="179"/>
      <c r="AV136" s="177">
        <v>3950</v>
      </c>
      <c r="AW136" s="178">
        <v>1105</v>
      </c>
      <c r="AX136" s="178">
        <v>2524</v>
      </c>
      <c r="AY136" s="178">
        <v>2091</v>
      </c>
      <c r="AZ136" s="179">
        <v>9670</v>
      </c>
      <c r="BA136" s="177">
        <v>12081</v>
      </c>
      <c r="BB136" s="178">
        <v>14914</v>
      </c>
      <c r="BC136" s="178">
        <v>14669</v>
      </c>
      <c r="BD136" s="178">
        <v>15512</v>
      </c>
      <c r="BE136" s="179">
        <v>57176</v>
      </c>
      <c r="BF136" s="177">
        <f t="shared" si="44"/>
        <v>26495</v>
      </c>
      <c r="BG136" s="178">
        <f t="shared" si="38"/>
        <v>15999</v>
      </c>
      <c r="BH136" s="178">
        <f t="shared" si="39"/>
        <v>18036</v>
      </c>
      <c r="BI136" s="178">
        <f t="shared" si="40"/>
        <v>23549</v>
      </c>
      <c r="BJ136" s="179">
        <f t="shared" si="41"/>
        <v>84079</v>
      </c>
      <c r="BK136" s="177">
        <v>2618</v>
      </c>
      <c r="BL136" s="178">
        <v>3346</v>
      </c>
      <c r="BM136" s="178">
        <v>2461</v>
      </c>
      <c r="BN136" s="178">
        <v>3358</v>
      </c>
      <c r="BO136" s="179">
        <v>11783</v>
      </c>
      <c r="BP136" s="177">
        <v>12082</v>
      </c>
      <c r="BQ136" s="178">
        <v>1801</v>
      </c>
      <c r="BR136" s="178">
        <v>6255</v>
      </c>
      <c r="BS136" s="178">
        <v>3782</v>
      </c>
      <c r="BT136" s="179">
        <v>23920</v>
      </c>
      <c r="BU136" s="177">
        <v>11795</v>
      </c>
      <c r="BV136" s="178">
        <v>10852</v>
      </c>
      <c r="BW136" s="178">
        <v>9320</v>
      </c>
      <c r="BX136" s="178">
        <v>16409</v>
      </c>
      <c r="BY136" s="179">
        <v>48376</v>
      </c>
      <c r="BZ136" s="177"/>
      <c r="CA136" s="178"/>
      <c r="CB136" s="178"/>
      <c r="CC136" s="178"/>
      <c r="CD136" s="179"/>
      <c r="CE136" s="177"/>
      <c r="CF136" s="178"/>
      <c r="CG136" s="178"/>
      <c r="CH136" s="178"/>
      <c r="CI136" s="179"/>
    </row>
    <row r="137" spans="1:87">
      <c r="A137" s="170" t="s">
        <v>121</v>
      </c>
      <c r="B137" s="171" t="s">
        <v>26</v>
      </c>
      <c r="C137" s="172">
        <f t="shared" si="42"/>
        <v>179745</v>
      </c>
      <c r="D137" s="173">
        <f t="shared" si="30"/>
        <v>149523</v>
      </c>
      <c r="E137" s="173">
        <f t="shared" si="31"/>
        <v>96600</v>
      </c>
      <c r="F137" s="173">
        <f t="shared" si="32"/>
        <v>68103</v>
      </c>
      <c r="G137" s="174">
        <f t="shared" si="33"/>
        <v>493971</v>
      </c>
      <c r="H137" s="172">
        <f t="shared" si="43"/>
        <v>136137</v>
      </c>
      <c r="I137" s="173">
        <f t="shared" si="34"/>
        <v>110538</v>
      </c>
      <c r="J137" s="173">
        <f t="shared" si="35"/>
        <v>61341</v>
      </c>
      <c r="K137" s="173">
        <f t="shared" si="36"/>
        <v>41124</v>
      </c>
      <c r="L137" s="174">
        <f t="shared" si="37"/>
        <v>349140</v>
      </c>
      <c r="M137" s="172">
        <v>42573</v>
      </c>
      <c r="N137" s="173">
        <v>18216</v>
      </c>
      <c r="O137" s="173">
        <v>690</v>
      </c>
      <c r="P137" s="173">
        <v>414</v>
      </c>
      <c r="Q137" s="174">
        <v>61893</v>
      </c>
      <c r="R137" s="172">
        <v>5934</v>
      </c>
      <c r="S137" s="173">
        <v>3381</v>
      </c>
      <c r="T137" s="173"/>
      <c r="U137" s="173"/>
      <c r="V137" s="174">
        <v>9315</v>
      </c>
      <c r="W137" s="172">
        <v>6693</v>
      </c>
      <c r="X137" s="173">
        <v>8004</v>
      </c>
      <c r="Y137" s="173">
        <v>9660</v>
      </c>
      <c r="Z137" s="173">
        <v>7728</v>
      </c>
      <c r="AA137" s="174">
        <v>32085</v>
      </c>
      <c r="AB137" s="172">
        <v>34845</v>
      </c>
      <c r="AC137" s="173">
        <v>18906</v>
      </c>
      <c r="AD137" s="173">
        <v>1794</v>
      </c>
      <c r="AE137" s="173"/>
      <c r="AF137" s="174">
        <v>55545</v>
      </c>
      <c r="AG137" s="172">
        <v>6141</v>
      </c>
      <c r="AH137" s="173">
        <v>27393</v>
      </c>
      <c r="AI137" s="173">
        <v>9522</v>
      </c>
      <c r="AJ137" s="173">
        <v>4140</v>
      </c>
      <c r="AK137" s="174">
        <v>47196</v>
      </c>
      <c r="AL137" s="172">
        <v>1587</v>
      </c>
      <c r="AM137" s="173">
        <v>2829</v>
      </c>
      <c r="AN137" s="173">
        <v>2484</v>
      </c>
      <c r="AO137" s="173">
        <v>4140</v>
      </c>
      <c r="AP137" s="174">
        <v>11040</v>
      </c>
      <c r="AQ137" s="172">
        <v>1449</v>
      </c>
      <c r="AR137" s="173">
        <v>3450</v>
      </c>
      <c r="AS137" s="173">
        <v>276</v>
      </c>
      <c r="AT137" s="173">
        <v>552</v>
      </c>
      <c r="AU137" s="174">
        <v>5727</v>
      </c>
      <c r="AV137" s="172"/>
      <c r="AW137" s="173">
        <v>69</v>
      </c>
      <c r="AX137" s="173">
        <v>138</v>
      </c>
      <c r="AY137" s="173"/>
      <c r="AZ137" s="174">
        <v>207</v>
      </c>
      <c r="BA137" s="172">
        <v>36915</v>
      </c>
      <c r="BB137" s="173">
        <v>28290</v>
      </c>
      <c r="BC137" s="173">
        <v>36777</v>
      </c>
      <c r="BD137" s="173">
        <v>24150</v>
      </c>
      <c r="BE137" s="174">
        <v>126132</v>
      </c>
      <c r="BF137" s="172">
        <f t="shared" si="44"/>
        <v>43608</v>
      </c>
      <c r="BG137" s="173">
        <f t="shared" si="38"/>
        <v>38985</v>
      </c>
      <c r="BH137" s="173">
        <f t="shared" si="39"/>
        <v>35259</v>
      </c>
      <c r="BI137" s="173">
        <f t="shared" si="40"/>
        <v>26979</v>
      </c>
      <c r="BJ137" s="174">
        <f t="shared" si="41"/>
        <v>144831</v>
      </c>
      <c r="BK137" s="172">
        <v>6003</v>
      </c>
      <c r="BL137" s="173"/>
      <c r="BM137" s="173"/>
      <c r="BN137" s="173"/>
      <c r="BO137" s="174">
        <v>6003</v>
      </c>
      <c r="BP137" s="172">
        <v>14007</v>
      </c>
      <c r="BQ137" s="173">
        <v>15939</v>
      </c>
      <c r="BR137" s="173">
        <v>13800</v>
      </c>
      <c r="BS137" s="173">
        <v>14145</v>
      </c>
      <c r="BT137" s="174">
        <v>57891</v>
      </c>
      <c r="BU137" s="172">
        <v>22563</v>
      </c>
      <c r="BV137" s="173">
        <v>16215</v>
      </c>
      <c r="BW137" s="173">
        <v>18216</v>
      </c>
      <c r="BX137" s="173">
        <v>12834</v>
      </c>
      <c r="BY137" s="174">
        <v>69828</v>
      </c>
      <c r="BZ137" s="172">
        <v>1035</v>
      </c>
      <c r="CA137" s="173">
        <v>6831</v>
      </c>
      <c r="CB137" s="173">
        <v>3243</v>
      </c>
      <c r="CC137" s="173"/>
      <c r="CD137" s="174">
        <v>11109</v>
      </c>
      <c r="CE137" s="172"/>
      <c r="CF137" s="173"/>
      <c r="CG137" s="173"/>
      <c r="CH137" s="173"/>
      <c r="CI137" s="174"/>
    </row>
    <row r="138" s="147" customFormat="1" ht="14.6" spans="1:87">
      <c r="A138" s="175" t="s">
        <v>122</v>
      </c>
      <c r="B138" s="176"/>
      <c r="C138" s="177">
        <f t="shared" si="42"/>
        <v>179745</v>
      </c>
      <c r="D138" s="178">
        <f t="shared" si="30"/>
        <v>149523</v>
      </c>
      <c r="E138" s="178">
        <f t="shared" si="31"/>
        <v>96600</v>
      </c>
      <c r="F138" s="178">
        <f t="shared" si="32"/>
        <v>68103</v>
      </c>
      <c r="G138" s="179">
        <f t="shared" si="33"/>
        <v>493971</v>
      </c>
      <c r="H138" s="177">
        <f t="shared" si="43"/>
        <v>136137</v>
      </c>
      <c r="I138" s="178">
        <f t="shared" si="34"/>
        <v>110538</v>
      </c>
      <c r="J138" s="178">
        <f t="shared" si="35"/>
        <v>61341</v>
      </c>
      <c r="K138" s="178">
        <f t="shared" si="36"/>
        <v>41124</v>
      </c>
      <c r="L138" s="179">
        <f t="shared" si="37"/>
        <v>349140</v>
      </c>
      <c r="M138" s="177">
        <v>42573</v>
      </c>
      <c r="N138" s="178">
        <v>18216</v>
      </c>
      <c r="O138" s="178">
        <v>690</v>
      </c>
      <c r="P138" s="178">
        <v>414</v>
      </c>
      <c r="Q138" s="179">
        <v>61893</v>
      </c>
      <c r="R138" s="177">
        <v>5934</v>
      </c>
      <c r="S138" s="178">
        <v>3381</v>
      </c>
      <c r="T138" s="178"/>
      <c r="U138" s="178"/>
      <c r="V138" s="179">
        <v>9315</v>
      </c>
      <c r="W138" s="177">
        <v>6693</v>
      </c>
      <c r="X138" s="178">
        <v>8004</v>
      </c>
      <c r="Y138" s="178">
        <v>9660</v>
      </c>
      <c r="Z138" s="178">
        <v>7728</v>
      </c>
      <c r="AA138" s="179">
        <v>32085</v>
      </c>
      <c r="AB138" s="177">
        <v>34845</v>
      </c>
      <c r="AC138" s="178">
        <v>18906</v>
      </c>
      <c r="AD138" s="178">
        <v>1794</v>
      </c>
      <c r="AE138" s="178"/>
      <c r="AF138" s="179">
        <v>55545</v>
      </c>
      <c r="AG138" s="177">
        <v>6141</v>
      </c>
      <c r="AH138" s="178">
        <v>27393</v>
      </c>
      <c r="AI138" s="178">
        <v>9522</v>
      </c>
      <c r="AJ138" s="178">
        <v>4140</v>
      </c>
      <c r="AK138" s="179">
        <v>47196</v>
      </c>
      <c r="AL138" s="177">
        <v>1587</v>
      </c>
      <c r="AM138" s="178">
        <v>2829</v>
      </c>
      <c r="AN138" s="178">
        <v>2484</v>
      </c>
      <c r="AO138" s="178">
        <v>4140</v>
      </c>
      <c r="AP138" s="179">
        <v>11040</v>
      </c>
      <c r="AQ138" s="177">
        <v>1449</v>
      </c>
      <c r="AR138" s="178">
        <v>3450</v>
      </c>
      <c r="AS138" s="178">
        <v>276</v>
      </c>
      <c r="AT138" s="178">
        <v>552</v>
      </c>
      <c r="AU138" s="179">
        <v>5727</v>
      </c>
      <c r="AV138" s="177"/>
      <c r="AW138" s="178">
        <v>69</v>
      </c>
      <c r="AX138" s="178">
        <v>138</v>
      </c>
      <c r="AY138" s="178"/>
      <c r="AZ138" s="179">
        <v>207</v>
      </c>
      <c r="BA138" s="177">
        <v>36915</v>
      </c>
      <c r="BB138" s="178">
        <v>28290</v>
      </c>
      <c r="BC138" s="178">
        <v>36777</v>
      </c>
      <c r="BD138" s="178">
        <v>24150</v>
      </c>
      <c r="BE138" s="179">
        <v>126132</v>
      </c>
      <c r="BF138" s="177">
        <f t="shared" si="44"/>
        <v>43608</v>
      </c>
      <c r="BG138" s="178">
        <f t="shared" si="38"/>
        <v>38985</v>
      </c>
      <c r="BH138" s="178">
        <f t="shared" si="39"/>
        <v>35259</v>
      </c>
      <c r="BI138" s="178">
        <f t="shared" si="40"/>
        <v>26979</v>
      </c>
      <c r="BJ138" s="179">
        <f t="shared" si="41"/>
        <v>144831</v>
      </c>
      <c r="BK138" s="177">
        <v>6003</v>
      </c>
      <c r="BL138" s="178"/>
      <c r="BM138" s="178"/>
      <c r="BN138" s="178"/>
      <c r="BO138" s="179">
        <v>6003</v>
      </c>
      <c r="BP138" s="177">
        <v>14007</v>
      </c>
      <c r="BQ138" s="178">
        <v>15939</v>
      </c>
      <c r="BR138" s="178">
        <v>13800</v>
      </c>
      <c r="BS138" s="178">
        <v>14145</v>
      </c>
      <c r="BT138" s="179">
        <v>57891</v>
      </c>
      <c r="BU138" s="177">
        <v>22563</v>
      </c>
      <c r="BV138" s="178">
        <v>16215</v>
      </c>
      <c r="BW138" s="178">
        <v>18216</v>
      </c>
      <c r="BX138" s="178">
        <v>12834</v>
      </c>
      <c r="BY138" s="179">
        <v>69828</v>
      </c>
      <c r="BZ138" s="177">
        <v>1035</v>
      </c>
      <c r="CA138" s="178">
        <v>6831</v>
      </c>
      <c r="CB138" s="178">
        <v>3243</v>
      </c>
      <c r="CC138" s="178"/>
      <c r="CD138" s="179">
        <v>11109</v>
      </c>
      <c r="CE138" s="177"/>
      <c r="CF138" s="178"/>
      <c r="CG138" s="178"/>
      <c r="CH138" s="178"/>
      <c r="CI138" s="179"/>
    </row>
    <row r="139" spans="1:87">
      <c r="A139" s="170" t="s">
        <v>123</v>
      </c>
      <c r="B139" s="171" t="s">
        <v>27</v>
      </c>
      <c r="C139" s="172">
        <f t="shared" si="42"/>
        <v>54910</v>
      </c>
      <c r="D139" s="173">
        <f t="shared" si="30"/>
        <v>34394</v>
      </c>
      <c r="E139" s="173">
        <f t="shared" si="31"/>
        <v>33600</v>
      </c>
      <c r="F139" s="173">
        <f t="shared" si="32"/>
        <v>354706</v>
      </c>
      <c r="G139" s="174">
        <f t="shared" si="33"/>
        <v>477610</v>
      </c>
      <c r="H139" s="172">
        <f t="shared" si="43"/>
        <v>45738</v>
      </c>
      <c r="I139" s="173">
        <f t="shared" si="34"/>
        <v>29219</v>
      </c>
      <c r="J139" s="173">
        <f t="shared" si="35"/>
        <v>28398</v>
      </c>
      <c r="K139" s="173">
        <f t="shared" si="36"/>
        <v>350948</v>
      </c>
      <c r="L139" s="174">
        <f t="shared" si="37"/>
        <v>454303</v>
      </c>
      <c r="M139" s="172">
        <v>7959</v>
      </c>
      <c r="N139" s="173">
        <v>2308</v>
      </c>
      <c r="O139" s="173">
        <v>2722</v>
      </c>
      <c r="P139" s="173">
        <v>2327</v>
      </c>
      <c r="Q139" s="174">
        <v>15316</v>
      </c>
      <c r="R139" s="172">
        <v>37779</v>
      </c>
      <c r="S139" s="173">
        <v>26911</v>
      </c>
      <c r="T139" s="173">
        <v>25676</v>
      </c>
      <c r="U139" s="173">
        <v>10197</v>
      </c>
      <c r="V139" s="174">
        <v>100563</v>
      </c>
      <c r="W139" s="172"/>
      <c r="X139" s="173"/>
      <c r="Y139" s="173"/>
      <c r="Z139" s="173"/>
      <c r="AA139" s="174"/>
      <c r="AB139" s="172"/>
      <c r="AC139" s="173"/>
      <c r="AD139" s="173"/>
      <c r="AE139" s="173"/>
      <c r="AF139" s="174"/>
      <c r="AG139" s="172"/>
      <c r="AH139" s="173"/>
      <c r="AI139" s="173"/>
      <c r="AJ139" s="173"/>
      <c r="AK139" s="174"/>
      <c r="AL139" s="172"/>
      <c r="AM139" s="173"/>
      <c r="AN139" s="173"/>
      <c r="AO139" s="173"/>
      <c r="AP139" s="174"/>
      <c r="AQ139" s="172"/>
      <c r="AR139" s="173"/>
      <c r="AS139" s="173"/>
      <c r="AT139" s="173"/>
      <c r="AU139" s="174"/>
      <c r="AV139" s="172"/>
      <c r="AW139" s="173"/>
      <c r="AX139" s="173"/>
      <c r="AY139" s="173"/>
      <c r="AZ139" s="174"/>
      <c r="BA139" s="172"/>
      <c r="BB139" s="173"/>
      <c r="BC139" s="173"/>
      <c r="BD139" s="173">
        <v>338424</v>
      </c>
      <c r="BE139" s="174">
        <v>338424</v>
      </c>
      <c r="BF139" s="172">
        <f t="shared" si="44"/>
        <v>9172</v>
      </c>
      <c r="BG139" s="173">
        <f t="shared" si="38"/>
        <v>5175</v>
      </c>
      <c r="BH139" s="173">
        <f t="shared" si="39"/>
        <v>5202</v>
      </c>
      <c r="BI139" s="173">
        <f t="shared" si="40"/>
        <v>3758</v>
      </c>
      <c r="BJ139" s="174">
        <f t="shared" si="41"/>
        <v>23307</v>
      </c>
      <c r="BK139" s="172"/>
      <c r="BL139" s="173"/>
      <c r="BM139" s="173"/>
      <c r="BN139" s="173"/>
      <c r="BO139" s="174"/>
      <c r="BP139" s="172">
        <v>2829</v>
      </c>
      <c r="BQ139" s="173">
        <v>1311</v>
      </c>
      <c r="BR139" s="173">
        <v>1380</v>
      </c>
      <c r="BS139" s="173">
        <v>1173</v>
      </c>
      <c r="BT139" s="174">
        <v>6693</v>
      </c>
      <c r="BU139" s="172">
        <v>6343</v>
      </c>
      <c r="BV139" s="173">
        <v>3864</v>
      </c>
      <c r="BW139" s="173">
        <v>3822</v>
      </c>
      <c r="BX139" s="173">
        <v>2585</v>
      </c>
      <c r="BY139" s="174">
        <v>16614</v>
      </c>
      <c r="BZ139" s="172"/>
      <c r="CA139" s="173"/>
      <c r="CB139" s="173"/>
      <c r="CC139" s="173"/>
      <c r="CD139" s="174"/>
      <c r="CE139" s="172"/>
      <c r="CF139" s="173"/>
      <c r="CG139" s="173"/>
      <c r="CH139" s="173"/>
      <c r="CI139" s="174"/>
    </row>
    <row r="140" s="147" customFormat="1" ht="14.6" spans="1:87">
      <c r="A140" s="175" t="s">
        <v>124</v>
      </c>
      <c r="B140" s="176"/>
      <c r="C140" s="177">
        <f t="shared" si="42"/>
        <v>54910</v>
      </c>
      <c r="D140" s="178">
        <f t="shared" si="30"/>
        <v>34394</v>
      </c>
      <c r="E140" s="178">
        <f t="shared" si="31"/>
        <v>33600</v>
      </c>
      <c r="F140" s="178">
        <f t="shared" si="32"/>
        <v>354706</v>
      </c>
      <c r="G140" s="179">
        <f t="shared" si="33"/>
        <v>477610</v>
      </c>
      <c r="H140" s="177">
        <f t="shared" si="43"/>
        <v>45738</v>
      </c>
      <c r="I140" s="178">
        <f t="shared" si="34"/>
        <v>29219</v>
      </c>
      <c r="J140" s="178">
        <f t="shared" si="35"/>
        <v>28398</v>
      </c>
      <c r="K140" s="178">
        <f t="shared" si="36"/>
        <v>350948</v>
      </c>
      <c r="L140" s="179">
        <f t="shared" si="37"/>
        <v>454303</v>
      </c>
      <c r="M140" s="177">
        <v>7959</v>
      </c>
      <c r="N140" s="178">
        <v>2308</v>
      </c>
      <c r="O140" s="178">
        <v>2722</v>
      </c>
      <c r="P140" s="178">
        <v>2327</v>
      </c>
      <c r="Q140" s="179">
        <v>15316</v>
      </c>
      <c r="R140" s="177">
        <v>37779</v>
      </c>
      <c r="S140" s="178">
        <v>26911</v>
      </c>
      <c r="T140" s="178">
        <v>25676</v>
      </c>
      <c r="U140" s="178">
        <v>10197</v>
      </c>
      <c r="V140" s="179">
        <v>100563</v>
      </c>
      <c r="W140" s="177"/>
      <c r="X140" s="178"/>
      <c r="Y140" s="178"/>
      <c r="Z140" s="178"/>
      <c r="AA140" s="179"/>
      <c r="AB140" s="177"/>
      <c r="AC140" s="178"/>
      <c r="AD140" s="178"/>
      <c r="AE140" s="178"/>
      <c r="AF140" s="179"/>
      <c r="AG140" s="177"/>
      <c r="AH140" s="178"/>
      <c r="AI140" s="178"/>
      <c r="AJ140" s="178"/>
      <c r="AK140" s="179"/>
      <c r="AL140" s="177"/>
      <c r="AM140" s="178"/>
      <c r="AN140" s="178"/>
      <c r="AO140" s="178"/>
      <c r="AP140" s="179"/>
      <c r="AQ140" s="177"/>
      <c r="AR140" s="178"/>
      <c r="AS140" s="178"/>
      <c r="AT140" s="178"/>
      <c r="AU140" s="179"/>
      <c r="AV140" s="177"/>
      <c r="AW140" s="178"/>
      <c r="AX140" s="178"/>
      <c r="AY140" s="178"/>
      <c r="AZ140" s="179"/>
      <c r="BA140" s="177"/>
      <c r="BB140" s="178"/>
      <c r="BC140" s="178"/>
      <c r="BD140" s="178">
        <v>338424</v>
      </c>
      <c r="BE140" s="179">
        <v>338424</v>
      </c>
      <c r="BF140" s="177">
        <f t="shared" si="44"/>
        <v>9172</v>
      </c>
      <c r="BG140" s="178">
        <f t="shared" si="38"/>
        <v>5175</v>
      </c>
      <c r="BH140" s="178">
        <f t="shared" si="39"/>
        <v>5202</v>
      </c>
      <c r="BI140" s="178">
        <f t="shared" si="40"/>
        <v>3758</v>
      </c>
      <c r="BJ140" s="179">
        <f t="shared" si="41"/>
        <v>23307</v>
      </c>
      <c r="BK140" s="177"/>
      <c r="BL140" s="178"/>
      <c r="BM140" s="178"/>
      <c r="BN140" s="178"/>
      <c r="BO140" s="179"/>
      <c r="BP140" s="177">
        <v>2829</v>
      </c>
      <c r="BQ140" s="178">
        <v>1311</v>
      </c>
      <c r="BR140" s="178">
        <v>1380</v>
      </c>
      <c r="BS140" s="178">
        <v>1173</v>
      </c>
      <c r="BT140" s="179">
        <v>6693</v>
      </c>
      <c r="BU140" s="177">
        <v>6343</v>
      </c>
      <c r="BV140" s="178">
        <v>3864</v>
      </c>
      <c r="BW140" s="178">
        <v>3822</v>
      </c>
      <c r="BX140" s="178">
        <v>2585</v>
      </c>
      <c r="BY140" s="179">
        <v>16614</v>
      </c>
      <c r="BZ140" s="177"/>
      <c r="CA140" s="178"/>
      <c r="CB140" s="178"/>
      <c r="CC140" s="178"/>
      <c r="CD140" s="179"/>
      <c r="CE140" s="177"/>
      <c r="CF140" s="178"/>
      <c r="CG140" s="178"/>
      <c r="CH140" s="178"/>
      <c r="CI140" s="179"/>
    </row>
    <row r="141" spans="1:87">
      <c r="A141" s="170" t="s">
        <v>125</v>
      </c>
      <c r="B141" s="171" t="s">
        <v>26</v>
      </c>
      <c r="C141" s="172">
        <f t="shared" si="42"/>
        <v>59961</v>
      </c>
      <c r="D141" s="173">
        <f t="shared" si="30"/>
        <v>93357</v>
      </c>
      <c r="E141" s="173">
        <f t="shared" si="31"/>
        <v>89424</v>
      </c>
      <c r="F141" s="173">
        <f t="shared" si="32"/>
        <v>82041</v>
      </c>
      <c r="G141" s="174">
        <f t="shared" si="33"/>
        <v>324783</v>
      </c>
      <c r="H141" s="172">
        <f t="shared" si="43"/>
        <v>45540</v>
      </c>
      <c r="I141" s="173">
        <f t="shared" si="34"/>
        <v>79626</v>
      </c>
      <c r="J141" s="173">
        <f t="shared" si="35"/>
        <v>69000</v>
      </c>
      <c r="K141" s="173">
        <f t="shared" si="36"/>
        <v>67137</v>
      </c>
      <c r="L141" s="174">
        <f t="shared" si="37"/>
        <v>261303</v>
      </c>
      <c r="M141" s="172">
        <v>14835</v>
      </c>
      <c r="N141" s="173">
        <v>13593</v>
      </c>
      <c r="O141" s="173">
        <v>12075</v>
      </c>
      <c r="P141" s="173">
        <v>14973</v>
      </c>
      <c r="Q141" s="174">
        <v>55476</v>
      </c>
      <c r="R141" s="172">
        <v>483</v>
      </c>
      <c r="S141" s="173"/>
      <c r="T141" s="173"/>
      <c r="U141" s="173"/>
      <c r="V141" s="174">
        <v>483</v>
      </c>
      <c r="W141" s="172"/>
      <c r="X141" s="173"/>
      <c r="Y141" s="173"/>
      <c r="Z141" s="173"/>
      <c r="AA141" s="174"/>
      <c r="AB141" s="172">
        <v>1242</v>
      </c>
      <c r="AC141" s="173">
        <v>4485</v>
      </c>
      <c r="AD141" s="173">
        <v>3864</v>
      </c>
      <c r="AE141" s="173">
        <v>1794</v>
      </c>
      <c r="AF141" s="174">
        <v>11385</v>
      </c>
      <c r="AG141" s="172">
        <v>4830</v>
      </c>
      <c r="AH141" s="173">
        <v>35259</v>
      </c>
      <c r="AI141" s="173">
        <v>26772</v>
      </c>
      <c r="AJ141" s="173">
        <v>25185</v>
      </c>
      <c r="AK141" s="174">
        <v>92046</v>
      </c>
      <c r="AL141" s="172">
        <v>6141</v>
      </c>
      <c r="AM141" s="173">
        <v>3381</v>
      </c>
      <c r="AN141" s="173">
        <v>4830</v>
      </c>
      <c r="AO141" s="173">
        <v>6555</v>
      </c>
      <c r="AP141" s="174">
        <v>20907</v>
      </c>
      <c r="AQ141" s="172">
        <v>18009</v>
      </c>
      <c r="AR141" s="173">
        <v>22908</v>
      </c>
      <c r="AS141" s="173">
        <v>21459</v>
      </c>
      <c r="AT141" s="173">
        <v>18630</v>
      </c>
      <c r="AU141" s="174">
        <v>81006</v>
      </c>
      <c r="AV141" s="172"/>
      <c r="AW141" s="173"/>
      <c r="AX141" s="173"/>
      <c r="AY141" s="173"/>
      <c r="AZ141" s="174"/>
      <c r="BA141" s="172"/>
      <c r="BB141" s="173"/>
      <c r="BC141" s="173"/>
      <c r="BD141" s="173"/>
      <c r="BE141" s="174"/>
      <c r="BF141" s="172">
        <f t="shared" si="44"/>
        <v>14421</v>
      </c>
      <c r="BG141" s="173">
        <f t="shared" si="38"/>
        <v>13731</v>
      </c>
      <c r="BH141" s="173">
        <f t="shared" si="39"/>
        <v>20424</v>
      </c>
      <c r="BI141" s="173">
        <f t="shared" si="40"/>
        <v>14904</v>
      </c>
      <c r="BJ141" s="174">
        <f t="shared" si="41"/>
        <v>63480</v>
      </c>
      <c r="BK141" s="172">
        <v>2553</v>
      </c>
      <c r="BL141" s="173">
        <v>2622</v>
      </c>
      <c r="BM141" s="173">
        <v>5934</v>
      </c>
      <c r="BN141" s="173">
        <v>4278</v>
      </c>
      <c r="BO141" s="174">
        <v>15387</v>
      </c>
      <c r="BP141" s="172">
        <v>9315</v>
      </c>
      <c r="BQ141" s="173">
        <v>6969</v>
      </c>
      <c r="BR141" s="173">
        <v>9453</v>
      </c>
      <c r="BS141" s="173">
        <v>8418</v>
      </c>
      <c r="BT141" s="174">
        <v>34155</v>
      </c>
      <c r="BU141" s="172">
        <v>1725</v>
      </c>
      <c r="BV141" s="173">
        <v>1587</v>
      </c>
      <c r="BW141" s="173">
        <v>4002</v>
      </c>
      <c r="BX141" s="173">
        <v>1035</v>
      </c>
      <c r="BY141" s="174">
        <v>8349</v>
      </c>
      <c r="BZ141" s="172">
        <v>828</v>
      </c>
      <c r="CA141" s="173">
        <v>2553</v>
      </c>
      <c r="CB141" s="173">
        <v>1035</v>
      </c>
      <c r="CC141" s="173">
        <v>1173</v>
      </c>
      <c r="CD141" s="174">
        <v>5589</v>
      </c>
      <c r="CE141" s="172"/>
      <c r="CF141" s="173"/>
      <c r="CG141" s="173"/>
      <c r="CH141" s="173"/>
      <c r="CI141" s="174"/>
    </row>
    <row r="142" s="147" customFormat="1" ht="14.6" spans="1:87">
      <c r="A142" s="175" t="s">
        <v>126</v>
      </c>
      <c r="B142" s="176"/>
      <c r="C142" s="177">
        <f t="shared" si="42"/>
        <v>59961</v>
      </c>
      <c r="D142" s="178">
        <f t="shared" si="30"/>
        <v>93357</v>
      </c>
      <c r="E142" s="178">
        <f t="shared" si="31"/>
        <v>89424</v>
      </c>
      <c r="F142" s="178">
        <f t="shared" si="32"/>
        <v>82041</v>
      </c>
      <c r="G142" s="179">
        <f t="shared" si="33"/>
        <v>324783</v>
      </c>
      <c r="H142" s="177">
        <f t="shared" si="43"/>
        <v>45540</v>
      </c>
      <c r="I142" s="178">
        <f t="shared" si="34"/>
        <v>79626</v>
      </c>
      <c r="J142" s="178">
        <f t="shared" si="35"/>
        <v>69000</v>
      </c>
      <c r="K142" s="178">
        <f t="shared" si="36"/>
        <v>67137</v>
      </c>
      <c r="L142" s="179">
        <f t="shared" si="37"/>
        <v>261303</v>
      </c>
      <c r="M142" s="177">
        <v>14835</v>
      </c>
      <c r="N142" s="178">
        <v>13593</v>
      </c>
      <c r="O142" s="178">
        <v>12075</v>
      </c>
      <c r="P142" s="178">
        <v>14973</v>
      </c>
      <c r="Q142" s="179">
        <v>55476</v>
      </c>
      <c r="R142" s="177">
        <v>483</v>
      </c>
      <c r="S142" s="178"/>
      <c r="T142" s="178"/>
      <c r="U142" s="178"/>
      <c r="V142" s="179">
        <v>483</v>
      </c>
      <c r="W142" s="177"/>
      <c r="X142" s="178"/>
      <c r="Y142" s="178"/>
      <c r="Z142" s="178"/>
      <c r="AA142" s="179"/>
      <c r="AB142" s="177">
        <v>1242</v>
      </c>
      <c r="AC142" s="178">
        <v>4485</v>
      </c>
      <c r="AD142" s="178">
        <v>3864</v>
      </c>
      <c r="AE142" s="178">
        <v>1794</v>
      </c>
      <c r="AF142" s="179">
        <v>11385</v>
      </c>
      <c r="AG142" s="177">
        <v>4830</v>
      </c>
      <c r="AH142" s="178">
        <v>35259</v>
      </c>
      <c r="AI142" s="178">
        <v>26772</v>
      </c>
      <c r="AJ142" s="178">
        <v>25185</v>
      </c>
      <c r="AK142" s="179">
        <v>92046</v>
      </c>
      <c r="AL142" s="177">
        <v>6141</v>
      </c>
      <c r="AM142" s="178">
        <v>3381</v>
      </c>
      <c r="AN142" s="178">
        <v>4830</v>
      </c>
      <c r="AO142" s="178">
        <v>6555</v>
      </c>
      <c r="AP142" s="179">
        <v>20907</v>
      </c>
      <c r="AQ142" s="177">
        <v>18009</v>
      </c>
      <c r="AR142" s="178">
        <v>22908</v>
      </c>
      <c r="AS142" s="178">
        <v>21459</v>
      </c>
      <c r="AT142" s="178">
        <v>18630</v>
      </c>
      <c r="AU142" s="179">
        <v>81006</v>
      </c>
      <c r="AV142" s="177"/>
      <c r="AW142" s="178"/>
      <c r="AX142" s="178"/>
      <c r="AY142" s="178"/>
      <c r="AZ142" s="179"/>
      <c r="BA142" s="177"/>
      <c r="BB142" s="178"/>
      <c r="BC142" s="178"/>
      <c r="BD142" s="178"/>
      <c r="BE142" s="179"/>
      <c r="BF142" s="177">
        <f t="shared" si="44"/>
        <v>14421</v>
      </c>
      <c r="BG142" s="178">
        <f t="shared" si="38"/>
        <v>13731</v>
      </c>
      <c r="BH142" s="178">
        <f t="shared" si="39"/>
        <v>20424</v>
      </c>
      <c r="BI142" s="178">
        <f t="shared" si="40"/>
        <v>14904</v>
      </c>
      <c r="BJ142" s="179">
        <f t="shared" si="41"/>
        <v>63480</v>
      </c>
      <c r="BK142" s="177">
        <v>2553</v>
      </c>
      <c r="BL142" s="178">
        <v>2622</v>
      </c>
      <c r="BM142" s="178">
        <v>5934</v>
      </c>
      <c r="BN142" s="178">
        <v>4278</v>
      </c>
      <c r="BO142" s="179">
        <v>15387</v>
      </c>
      <c r="BP142" s="177">
        <v>9315</v>
      </c>
      <c r="BQ142" s="178">
        <v>6969</v>
      </c>
      <c r="BR142" s="178">
        <v>9453</v>
      </c>
      <c r="BS142" s="178">
        <v>8418</v>
      </c>
      <c r="BT142" s="179">
        <v>34155</v>
      </c>
      <c r="BU142" s="177">
        <v>1725</v>
      </c>
      <c r="BV142" s="178">
        <v>1587</v>
      </c>
      <c r="BW142" s="178">
        <v>4002</v>
      </c>
      <c r="BX142" s="178">
        <v>1035</v>
      </c>
      <c r="BY142" s="179">
        <v>8349</v>
      </c>
      <c r="BZ142" s="177">
        <v>828</v>
      </c>
      <c r="CA142" s="178">
        <v>2553</v>
      </c>
      <c r="CB142" s="178">
        <v>1035</v>
      </c>
      <c r="CC142" s="178">
        <v>1173</v>
      </c>
      <c r="CD142" s="179">
        <v>5589</v>
      </c>
      <c r="CE142" s="177"/>
      <c r="CF142" s="178"/>
      <c r="CG142" s="178"/>
      <c r="CH142" s="178"/>
      <c r="CI142" s="179"/>
    </row>
    <row r="143" spans="1:87">
      <c r="A143" s="170" t="s">
        <v>127</v>
      </c>
      <c r="B143" s="171" t="s">
        <v>26</v>
      </c>
      <c r="C143" s="172">
        <f t="shared" si="42"/>
        <v>88182</v>
      </c>
      <c r="D143" s="173">
        <f t="shared" si="30"/>
        <v>70932</v>
      </c>
      <c r="E143" s="173">
        <f t="shared" si="31"/>
        <v>82800</v>
      </c>
      <c r="F143" s="173">
        <f t="shared" si="32"/>
        <v>69207</v>
      </c>
      <c r="G143" s="174">
        <f t="shared" si="33"/>
        <v>311121</v>
      </c>
      <c r="H143" s="172">
        <f t="shared" si="43"/>
        <v>64998</v>
      </c>
      <c r="I143" s="173">
        <f t="shared" si="34"/>
        <v>54579</v>
      </c>
      <c r="J143" s="173">
        <f t="shared" si="35"/>
        <v>59961</v>
      </c>
      <c r="K143" s="173">
        <f t="shared" si="36"/>
        <v>50301</v>
      </c>
      <c r="L143" s="174">
        <f t="shared" si="37"/>
        <v>229839</v>
      </c>
      <c r="M143" s="172">
        <v>759</v>
      </c>
      <c r="N143" s="173">
        <v>4761</v>
      </c>
      <c r="O143" s="173">
        <v>5865</v>
      </c>
      <c r="P143" s="173">
        <v>3243</v>
      </c>
      <c r="Q143" s="174">
        <v>14628</v>
      </c>
      <c r="R143" s="172">
        <v>20631</v>
      </c>
      <c r="S143" s="173">
        <v>17664</v>
      </c>
      <c r="T143" s="173">
        <v>21873</v>
      </c>
      <c r="U143" s="173">
        <v>13386</v>
      </c>
      <c r="V143" s="174">
        <v>73554</v>
      </c>
      <c r="W143" s="172"/>
      <c r="X143" s="173"/>
      <c r="Y143" s="173">
        <v>69</v>
      </c>
      <c r="Z143" s="173"/>
      <c r="AA143" s="174">
        <v>69</v>
      </c>
      <c r="AB143" s="172">
        <v>38226</v>
      </c>
      <c r="AC143" s="173">
        <v>28014</v>
      </c>
      <c r="AD143" s="173">
        <v>24771</v>
      </c>
      <c r="AE143" s="173">
        <v>24150</v>
      </c>
      <c r="AF143" s="174">
        <v>115161</v>
      </c>
      <c r="AG143" s="172"/>
      <c r="AH143" s="173"/>
      <c r="AI143" s="173"/>
      <c r="AJ143" s="173"/>
      <c r="AK143" s="174"/>
      <c r="AL143" s="172">
        <v>4416</v>
      </c>
      <c r="AM143" s="173">
        <v>3795</v>
      </c>
      <c r="AN143" s="173">
        <v>5727</v>
      </c>
      <c r="AO143" s="173">
        <v>9384</v>
      </c>
      <c r="AP143" s="174">
        <v>23322</v>
      </c>
      <c r="AQ143" s="172"/>
      <c r="AR143" s="173"/>
      <c r="AS143" s="173"/>
      <c r="AT143" s="173"/>
      <c r="AU143" s="174"/>
      <c r="AV143" s="172">
        <v>138</v>
      </c>
      <c r="AW143" s="173">
        <v>345</v>
      </c>
      <c r="AX143" s="173"/>
      <c r="AY143" s="173">
        <v>138</v>
      </c>
      <c r="AZ143" s="174">
        <v>621</v>
      </c>
      <c r="BA143" s="172">
        <v>828</v>
      </c>
      <c r="BB143" s="173"/>
      <c r="BC143" s="173">
        <v>1656</v>
      </c>
      <c r="BD143" s="173"/>
      <c r="BE143" s="174">
        <v>2484</v>
      </c>
      <c r="BF143" s="172">
        <f t="shared" si="44"/>
        <v>23184</v>
      </c>
      <c r="BG143" s="173">
        <f t="shared" si="38"/>
        <v>16353</v>
      </c>
      <c r="BH143" s="173">
        <f t="shared" si="39"/>
        <v>22839</v>
      </c>
      <c r="BI143" s="173">
        <f t="shared" si="40"/>
        <v>18906</v>
      </c>
      <c r="BJ143" s="174">
        <f t="shared" si="41"/>
        <v>81282</v>
      </c>
      <c r="BK143" s="172">
        <v>5244</v>
      </c>
      <c r="BL143" s="173"/>
      <c r="BM143" s="173"/>
      <c r="BN143" s="173"/>
      <c r="BO143" s="174">
        <v>5244</v>
      </c>
      <c r="BP143" s="172">
        <v>4071</v>
      </c>
      <c r="BQ143" s="173">
        <v>897</v>
      </c>
      <c r="BR143" s="173"/>
      <c r="BS143" s="173"/>
      <c r="BT143" s="174">
        <v>4968</v>
      </c>
      <c r="BU143" s="172">
        <v>13869</v>
      </c>
      <c r="BV143" s="173">
        <v>15456</v>
      </c>
      <c r="BW143" s="173">
        <v>22839</v>
      </c>
      <c r="BX143" s="173">
        <v>18906</v>
      </c>
      <c r="BY143" s="174">
        <v>71070</v>
      </c>
      <c r="BZ143" s="172"/>
      <c r="CA143" s="173"/>
      <c r="CB143" s="173"/>
      <c r="CC143" s="173"/>
      <c r="CD143" s="174"/>
      <c r="CE143" s="172"/>
      <c r="CF143" s="173"/>
      <c r="CG143" s="173"/>
      <c r="CH143" s="173"/>
      <c r="CI143" s="174"/>
    </row>
    <row r="144" s="147" customFormat="1" ht="14.6" spans="1:87">
      <c r="A144" s="175" t="s">
        <v>128</v>
      </c>
      <c r="B144" s="176"/>
      <c r="C144" s="177">
        <f t="shared" si="42"/>
        <v>88182</v>
      </c>
      <c r="D144" s="178">
        <f t="shared" si="30"/>
        <v>70932</v>
      </c>
      <c r="E144" s="178">
        <f t="shared" si="31"/>
        <v>82800</v>
      </c>
      <c r="F144" s="178">
        <f t="shared" si="32"/>
        <v>69207</v>
      </c>
      <c r="G144" s="179">
        <f t="shared" si="33"/>
        <v>311121</v>
      </c>
      <c r="H144" s="177">
        <f t="shared" si="43"/>
        <v>64998</v>
      </c>
      <c r="I144" s="178">
        <f t="shared" si="34"/>
        <v>54579</v>
      </c>
      <c r="J144" s="178">
        <f t="shared" si="35"/>
        <v>59961</v>
      </c>
      <c r="K144" s="178">
        <f t="shared" si="36"/>
        <v>50301</v>
      </c>
      <c r="L144" s="179">
        <f t="shared" si="37"/>
        <v>229839</v>
      </c>
      <c r="M144" s="177">
        <v>759</v>
      </c>
      <c r="N144" s="178">
        <v>4761</v>
      </c>
      <c r="O144" s="178">
        <v>5865</v>
      </c>
      <c r="P144" s="178">
        <v>3243</v>
      </c>
      <c r="Q144" s="179">
        <v>14628</v>
      </c>
      <c r="R144" s="177">
        <v>20631</v>
      </c>
      <c r="S144" s="178">
        <v>17664</v>
      </c>
      <c r="T144" s="178">
        <v>21873</v>
      </c>
      <c r="U144" s="178">
        <v>13386</v>
      </c>
      <c r="V144" s="179">
        <v>73554</v>
      </c>
      <c r="W144" s="177"/>
      <c r="X144" s="178"/>
      <c r="Y144" s="178">
        <v>69</v>
      </c>
      <c r="Z144" s="178"/>
      <c r="AA144" s="179">
        <v>69</v>
      </c>
      <c r="AB144" s="177">
        <v>38226</v>
      </c>
      <c r="AC144" s="178">
        <v>28014</v>
      </c>
      <c r="AD144" s="178">
        <v>24771</v>
      </c>
      <c r="AE144" s="178">
        <v>24150</v>
      </c>
      <c r="AF144" s="179">
        <v>115161</v>
      </c>
      <c r="AG144" s="177"/>
      <c r="AH144" s="178"/>
      <c r="AI144" s="178"/>
      <c r="AJ144" s="178"/>
      <c r="AK144" s="179"/>
      <c r="AL144" s="177">
        <v>4416</v>
      </c>
      <c r="AM144" s="178">
        <v>3795</v>
      </c>
      <c r="AN144" s="178">
        <v>5727</v>
      </c>
      <c r="AO144" s="178">
        <v>9384</v>
      </c>
      <c r="AP144" s="179">
        <v>23322</v>
      </c>
      <c r="AQ144" s="177"/>
      <c r="AR144" s="178"/>
      <c r="AS144" s="178"/>
      <c r="AT144" s="178"/>
      <c r="AU144" s="179"/>
      <c r="AV144" s="177">
        <v>138</v>
      </c>
      <c r="AW144" s="178">
        <v>345</v>
      </c>
      <c r="AX144" s="178"/>
      <c r="AY144" s="178">
        <v>138</v>
      </c>
      <c r="AZ144" s="179">
        <v>621</v>
      </c>
      <c r="BA144" s="177">
        <v>828</v>
      </c>
      <c r="BB144" s="178"/>
      <c r="BC144" s="178">
        <v>1656</v>
      </c>
      <c r="BD144" s="178"/>
      <c r="BE144" s="179">
        <v>2484</v>
      </c>
      <c r="BF144" s="177">
        <f t="shared" si="44"/>
        <v>23184</v>
      </c>
      <c r="BG144" s="178">
        <f t="shared" si="38"/>
        <v>16353</v>
      </c>
      <c r="BH144" s="178">
        <f t="shared" si="39"/>
        <v>22839</v>
      </c>
      <c r="BI144" s="178">
        <f t="shared" si="40"/>
        <v>18906</v>
      </c>
      <c r="BJ144" s="179">
        <f t="shared" si="41"/>
        <v>81282</v>
      </c>
      <c r="BK144" s="177">
        <v>5244</v>
      </c>
      <c r="BL144" s="178"/>
      <c r="BM144" s="178"/>
      <c r="BN144" s="178"/>
      <c r="BO144" s="179">
        <v>5244</v>
      </c>
      <c r="BP144" s="177">
        <v>4071</v>
      </c>
      <c r="BQ144" s="178">
        <v>897</v>
      </c>
      <c r="BR144" s="178"/>
      <c r="BS144" s="178"/>
      <c r="BT144" s="179">
        <v>4968</v>
      </c>
      <c r="BU144" s="177">
        <v>13869</v>
      </c>
      <c r="BV144" s="178">
        <v>15456</v>
      </c>
      <c r="BW144" s="178">
        <v>22839</v>
      </c>
      <c r="BX144" s="178">
        <v>18906</v>
      </c>
      <c r="BY144" s="179">
        <v>71070</v>
      </c>
      <c r="BZ144" s="177"/>
      <c r="CA144" s="178"/>
      <c r="CB144" s="178"/>
      <c r="CC144" s="178"/>
      <c r="CD144" s="179"/>
      <c r="CE144" s="177"/>
      <c r="CF144" s="178"/>
      <c r="CG144" s="178"/>
      <c r="CH144" s="178"/>
      <c r="CI144" s="179"/>
    </row>
    <row r="145" spans="1:87">
      <c r="A145" s="170" t="s">
        <v>129</v>
      </c>
      <c r="B145" s="171" t="s">
        <v>26</v>
      </c>
      <c r="C145" s="172">
        <f t="shared" si="42"/>
        <v>128547</v>
      </c>
      <c r="D145" s="173">
        <f t="shared" si="30"/>
        <v>82248</v>
      </c>
      <c r="E145" s="173">
        <f t="shared" si="31"/>
        <v>61134</v>
      </c>
      <c r="F145" s="173">
        <f t="shared" si="32"/>
        <v>22701</v>
      </c>
      <c r="G145" s="174">
        <f t="shared" si="33"/>
        <v>294630</v>
      </c>
      <c r="H145" s="172">
        <f t="shared" si="43"/>
        <v>86457</v>
      </c>
      <c r="I145" s="173">
        <f t="shared" si="34"/>
        <v>61824</v>
      </c>
      <c r="J145" s="173">
        <f t="shared" si="35"/>
        <v>33189</v>
      </c>
      <c r="K145" s="173">
        <f t="shared" si="36"/>
        <v>4899</v>
      </c>
      <c r="L145" s="174">
        <f t="shared" si="37"/>
        <v>186369</v>
      </c>
      <c r="M145" s="172"/>
      <c r="N145" s="173"/>
      <c r="O145" s="173"/>
      <c r="P145" s="173"/>
      <c r="Q145" s="174"/>
      <c r="R145" s="172"/>
      <c r="S145" s="173"/>
      <c r="T145" s="173"/>
      <c r="U145" s="173"/>
      <c r="V145" s="174"/>
      <c r="W145" s="172"/>
      <c r="X145" s="173"/>
      <c r="Y145" s="173"/>
      <c r="Z145" s="173"/>
      <c r="AA145" s="174"/>
      <c r="AB145" s="172">
        <v>85836</v>
      </c>
      <c r="AC145" s="173">
        <v>59685</v>
      </c>
      <c r="AD145" s="173">
        <v>31533</v>
      </c>
      <c r="AE145" s="173">
        <v>4899</v>
      </c>
      <c r="AF145" s="174">
        <v>181953</v>
      </c>
      <c r="AG145" s="172">
        <v>276</v>
      </c>
      <c r="AH145" s="173">
        <v>483</v>
      </c>
      <c r="AI145" s="173"/>
      <c r="AJ145" s="173"/>
      <c r="AK145" s="174">
        <v>759</v>
      </c>
      <c r="AL145" s="172"/>
      <c r="AM145" s="173"/>
      <c r="AN145" s="173"/>
      <c r="AO145" s="173"/>
      <c r="AP145" s="174"/>
      <c r="AQ145" s="172"/>
      <c r="AR145" s="173">
        <v>1656</v>
      </c>
      <c r="AS145" s="173"/>
      <c r="AT145" s="173"/>
      <c r="AU145" s="174">
        <v>1656</v>
      </c>
      <c r="AV145" s="172"/>
      <c r="AW145" s="173"/>
      <c r="AX145" s="173"/>
      <c r="AY145" s="173"/>
      <c r="AZ145" s="174"/>
      <c r="BA145" s="172">
        <v>345</v>
      </c>
      <c r="BB145" s="173"/>
      <c r="BC145" s="173">
        <v>1656</v>
      </c>
      <c r="BD145" s="173"/>
      <c r="BE145" s="174">
        <v>2001</v>
      </c>
      <c r="BF145" s="172">
        <f t="shared" si="44"/>
        <v>42090</v>
      </c>
      <c r="BG145" s="173">
        <f t="shared" si="38"/>
        <v>20424</v>
      </c>
      <c r="BH145" s="173">
        <f t="shared" si="39"/>
        <v>27945</v>
      </c>
      <c r="BI145" s="173">
        <f t="shared" si="40"/>
        <v>17802</v>
      </c>
      <c r="BJ145" s="174">
        <f t="shared" si="41"/>
        <v>108261</v>
      </c>
      <c r="BK145" s="172">
        <v>1932</v>
      </c>
      <c r="BL145" s="173">
        <v>3657</v>
      </c>
      <c r="BM145" s="173">
        <v>2691</v>
      </c>
      <c r="BN145" s="173">
        <v>3864</v>
      </c>
      <c r="BO145" s="174">
        <v>12144</v>
      </c>
      <c r="BP145" s="172">
        <v>8073</v>
      </c>
      <c r="BQ145" s="173">
        <v>8418</v>
      </c>
      <c r="BR145" s="173">
        <v>12489</v>
      </c>
      <c r="BS145" s="173">
        <v>12006</v>
      </c>
      <c r="BT145" s="174">
        <v>40986</v>
      </c>
      <c r="BU145" s="172">
        <v>28152</v>
      </c>
      <c r="BV145" s="173">
        <v>8349</v>
      </c>
      <c r="BW145" s="173">
        <v>12765</v>
      </c>
      <c r="BX145" s="173">
        <v>1932</v>
      </c>
      <c r="BY145" s="174">
        <v>51198</v>
      </c>
      <c r="BZ145" s="172">
        <v>3933</v>
      </c>
      <c r="CA145" s="173"/>
      <c r="CB145" s="173"/>
      <c r="CC145" s="173"/>
      <c r="CD145" s="174">
        <v>3933</v>
      </c>
      <c r="CE145" s="172"/>
      <c r="CF145" s="173"/>
      <c r="CG145" s="173"/>
      <c r="CH145" s="173"/>
      <c r="CI145" s="174"/>
    </row>
    <row r="146" s="147" customFormat="1" ht="14.6" spans="1:87">
      <c r="A146" s="175" t="s">
        <v>130</v>
      </c>
      <c r="B146" s="176"/>
      <c r="C146" s="177">
        <f t="shared" si="42"/>
        <v>128547</v>
      </c>
      <c r="D146" s="178">
        <f t="shared" si="30"/>
        <v>82248</v>
      </c>
      <c r="E146" s="178">
        <f t="shared" si="31"/>
        <v>61134</v>
      </c>
      <c r="F146" s="178">
        <f t="shared" si="32"/>
        <v>22701</v>
      </c>
      <c r="G146" s="179">
        <f t="shared" si="33"/>
        <v>294630</v>
      </c>
      <c r="H146" s="177">
        <f t="shared" si="43"/>
        <v>86457</v>
      </c>
      <c r="I146" s="178">
        <f t="shared" si="34"/>
        <v>61824</v>
      </c>
      <c r="J146" s="178">
        <f t="shared" si="35"/>
        <v>33189</v>
      </c>
      <c r="K146" s="178">
        <f t="shared" si="36"/>
        <v>4899</v>
      </c>
      <c r="L146" s="179">
        <f t="shared" si="37"/>
        <v>186369</v>
      </c>
      <c r="M146" s="177"/>
      <c r="N146" s="178"/>
      <c r="O146" s="178"/>
      <c r="P146" s="178"/>
      <c r="Q146" s="179"/>
      <c r="R146" s="177"/>
      <c r="S146" s="178"/>
      <c r="T146" s="178"/>
      <c r="U146" s="178"/>
      <c r="V146" s="179"/>
      <c r="W146" s="177"/>
      <c r="X146" s="178"/>
      <c r="Y146" s="178"/>
      <c r="Z146" s="178"/>
      <c r="AA146" s="179"/>
      <c r="AB146" s="177">
        <v>85836</v>
      </c>
      <c r="AC146" s="178">
        <v>59685</v>
      </c>
      <c r="AD146" s="178">
        <v>31533</v>
      </c>
      <c r="AE146" s="178">
        <v>4899</v>
      </c>
      <c r="AF146" s="179">
        <v>181953</v>
      </c>
      <c r="AG146" s="177">
        <v>276</v>
      </c>
      <c r="AH146" s="178">
        <v>483</v>
      </c>
      <c r="AI146" s="178"/>
      <c r="AJ146" s="178"/>
      <c r="AK146" s="179">
        <v>759</v>
      </c>
      <c r="AL146" s="177"/>
      <c r="AM146" s="178"/>
      <c r="AN146" s="178"/>
      <c r="AO146" s="178"/>
      <c r="AP146" s="179"/>
      <c r="AQ146" s="177"/>
      <c r="AR146" s="178">
        <v>1656</v>
      </c>
      <c r="AS146" s="178"/>
      <c r="AT146" s="178"/>
      <c r="AU146" s="179">
        <v>1656</v>
      </c>
      <c r="AV146" s="177"/>
      <c r="AW146" s="178"/>
      <c r="AX146" s="178"/>
      <c r="AY146" s="178"/>
      <c r="AZ146" s="179"/>
      <c r="BA146" s="177">
        <v>345</v>
      </c>
      <c r="BB146" s="178"/>
      <c r="BC146" s="178">
        <v>1656</v>
      </c>
      <c r="BD146" s="178"/>
      <c r="BE146" s="179">
        <v>2001</v>
      </c>
      <c r="BF146" s="177">
        <f t="shared" si="44"/>
        <v>42090</v>
      </c>
      <c r="BG146" s="178">
        <f t="shared" si="38"/>
        <v>20424</v>
      </c>
      <c r="BH146" s="178">
        <f t="shared" si="39"/>
        <v>27945</v>
      </c>
      <c r="BI146" s="178">
        <f t="shared" si="40"/>
        <v>17802</v>
      </c>
      <c r="BJ146" s="179">
        <f t="shared" si="41"/>
        <v>108261</v>
      </c>
      <c r="BK146" s="177">
        <v>1932</v>
      </c>
      <c r="BL146" s="178">
        <v>3657</v>
      </c>
      <c r="BM146" s="178">
        <v>2691</v>
      </c>
      <c r="BN146" s="178">
        <v>3864</v>
      </c>
      <c r="BO146" s="179">
        <v>12144</v>
      </c>
      <c r="BP146" s="177">
        <v>8073</v>
      </c>
      <c r="BQ146" s="178">
        <v>8418</v>
      </c>
      <c r="BR146" s="178">
        <v>12489</v>
      </c>
      <c r="BS146" s="178">
        <v>12006</v>
      </c>
      <c r="BT146" s="179">
        <v>40986</v>
      </c>
      <c r="BU146" s="177">
        <v>28152</v>
      </c>
      <c r="BV146" s="178">
        <v>8349</v>
      </c>
      <c r="BW146" s="178">
        <v>12765</v>
      </c>
      <c r="BX146" s="178">
        <v>1932</v>
      </c>
      <c r="BY146" s="179">
        <v>51198</v>
      </c>
      <c r="BZ146" s="177">
        <v>3933</v>
      </c>
      <c r="CA146" s="178"/>
      <c r="CB146" s="178"/>
      <c r="CC146" s="178"/>
      <c r="CD146" s="179">
        <v>3933</v>
      </c>
      <c r="CE146" s="177"/>
      <c r="CF146" s="178"/>
      <c r="CG146" s="178"/>
      <c r="CH146" s="178"/>
      <c r="CI146" s="179"/>
    </row>
    <row r="147" spans="1:87">
      <c r="A147" s="170" t="s">
        <v>131</v>
      </c>
      <c r="B147" s="171" t="s">
        <v>26</v>
      </c>
      <c r="C147" s="172">
        <f t="shared" si="42"/>
        <v>81489</v>
      </c>
      <c r="D147" s="173">
        <f t="shared" si="30"/>
        <v>64101</v>
      </c>
      <c r="E147" s="173">
        <f t="shared" si="31"/>
        <v>72312</v>
      </c>
      <c r="F147" s="173">
        <f t="shared" si="32"/>
        <v>69552</v>
      </c>
      <c r="G147" s="174">
        <f t="shared" si="33"/>
        <v>287454</v>
      </c>
      <c r="H147" s="172">
        <f t="shared" si="43"/>
        <v>64377</v>
      </c>
      <c r="I147" s="173">
        <f t="shared" si="34"/>
        <v>56028</v>
      </c>
      <c r="J147" s="173">
        <f t="shared" si="35"/>
        <v>53751</v>
      </c>
      <c r="K147" s="173">
        <f t="shared" si="36"/>
        <v>59409</v>
      </c>
      <c r="L147" s="174">
        <f t="shared" si="37"/>
        <v>233565</v>
      </c>
      <c r="M147" s="172">
        <v>3726</v>
      </c>
      <c r="N147" s="173">
        <v>1656</v>
      </c>
      <c r="O147" s="173">
        <v>1104</v>
      </c>
      <c r="P147" s="173">
        <v>2691</v>
      </c>
      <c r="Q147" s="174">
        <v>9177</v>
      </c>
      <c r="R147" s="172"/>
      <c r="S147" s="173"/>
      <c r="T147" s="173"/>
      <c r="U147" s="173"/>
      <c r="V147" s="174"/>
      <c r="W147" s="172">
        <v>1587</v>
      </c>
      <c r="X147" s="173">
        <v>1311</v>
      </c>
      <c r="Y147" s="173">
        <v>2691</v>
      </c>
      <c r="Z147" s="173">
        <v>4416</v>
      </c>
      <c r="AA147" s="174">
        <v>10005</v>
      </c>
      <c r="AB147" s="172">
        <v>13593</v>
      </c>
      <c r="AC147" s="173">
        <v>13110</v>
      </c>
      <c r="AD147" s="173">
        <v>11937</v>
      </c>
      <c r="AE147" s="173">
        <v>6417</v>
      </c>
      <c r="AF147" s="174">
        <v>45057</v>
      </c>
      <c r="AG147" s="172">
        <v>27462</v>
      </c>
      <c r="AH147" s="173">
        <v>22977</v>
      </c>
      <c r="AI147" s="173">
        <v>18975</v>
      </c>
      <c r="AJ147" s="173">
        <v>22770</v>
      </c>
      <c r="AK147" s="174">
        <v>92184</v>
      </c>
      <c r="AL147" s="172">
        <v>1035</v>
      </c>
      <c r="AM147" s="173">
        <v>1518</v>
      </c>
      <c r="AN147" s="173">
        <v>1794</v>
      </c>
      <c r="AO147" s="173">
        <v>1794</v>
      </c>
      <c r="AP147" s="174">
        <v>6141</v>
      </c>
      <c r="AQ147" s="172">
        <v>9936</v>
      </c>
      <c r="AR147" s="173">
        <v>8280</v>
      </c>
      <c r="AS147" s="173">
        <v>8487</v>
      </c>
      <c r="AT147" s="173">
        <v>7590</v>
      </c>
      <c r="AU147" s="174">
        <v>34293</v>
      </c>
      <c r="AV147" s="172">
        <v>1242</v>
      </c>
      <c r="AW147" s="173">
        <v>897</v>
      </c>
      <c r="AX147" s="173">
        <v>1725</v>
      </c>
      <c r="AY147" s="173">
        <v>1863</v>
      </c>
      <c r="AZ147" s="174">
        <v>5727</v>
      </c>
      <c r="BA147" s="172">
        <v>5796</v>
      </c>
      <c r="BB147" s="173">
        <v>6279</v>
      </c>
      <c r="BC147" s="173">
        <v>7038</v>
      </c>
      <c r="BD147" s="173">
        <v>11868</v>
      </c>
      <c r="BE147" s="174">
        <v>30981</v>
      </c>
      <c r="BF147" s="172">
        <f t="shared" si="44"/>
        <v>17112</v>
      </c>
      <c r="BG147" s="173">
        <f t="shared" si="38"/>
        <v>8073</v>
      </c>
      <c r="BH147" s="173">
        <f t="shared" si="39"/>
        <v>18561</v>
      </c>
      <c r="BI147" s="173">
        <f t="shared" si="40"/>
        <v>10143</v>
      </c>
      <c r="BJ147" s="174">
        <f t="shared" si="41"/>
        <v>53889</v>
      </c>
      <c r="BK147" s="172">
        <v>4968</v>
      </c>
      <c r="BL147" s="173">
        <v>1794</v>
      </c>
      <c r="BM147" s="173">
        <v>3519</v>
      </c>
      <c r="BN147" s="173">
        <v>3519</v>
      </c>
      <c r="BO147" s="174">
        <v>13800</v>
      </c>
      <c r="BP147" s="172">
        <v>4623</v>
      </c>
      <c r="BQ147" s="173">
        <v>3795</v>
      </c>
      <c r="BR147" s="173">
        <v>11040</v>
      </c>
      <c r="BS147" s="173">
        <v>5382</v>
      </c>
      <c r="BT147" s="174">
        <v>24840</v>
      </c>
      <c r="BU147" s="172">
        <v>7176</v>
      </c>
      <c r="BV147" s="173">
        <v>2277</v>
      </c>
      <c r="BW147" s="173">
        <v>1311</v>
      </c>
      <c r="BX147" s="173">
        <v>1242</v>
      </c>
      <c r="BY147" s="174">
        <v>12006</v>
      </c>
      <c r="BZ147" s="172">
        <v>345</v>
      </c>
      <c r="CA147" s="173">
        <v>207</v>
      </c>
      <c r="CB147" s="173">
        <v>2691</v>
      </c>
      <c r="CC147" s="173"/>
      <c r="CD147" s="174">
        <v>3243</v>
      </c>
      <c r="CE147" s="172"/>
      <c r="CF147" s="173"/>
      <c r="CG147" s="173"/>
      <c r="CH147" s="173"/>
      <c r="CI147" s="174"/>
    </row>
    <row r="148" s="147" customFormat="1" ht="14.6" spans="1:87">
      <c r="A148" s="175" t="s">
        <v>132</v>
      </c>
      <c r="B148" s="176"/>
      <c r="C148" s="177">
        <f t="shared" si="42"/>
        <v>81489</v>
      </c>
      <c r="D148" s="178">
        <f t="shared" si="30"/>
        <v>64101</v>
      </c>
      <c r="E148" s="178">
        <f t="shared" si="31"/>
        <v>72312</v>
      </c>
      <c r="F148" s="178">
        <f t="shared" si="32"/>
        <v>69552</v>
      </c>
      <c r="G148" s="179">
        <f t="shared" si="33"/>
        <v>287454</v>
      </c>
      <c r="H148" s="177">
        <f t="shared" si="43"/>
        <v>64377</v>
      </c>
      <c r="I148" s="178">
        <f t="shared" si="34"/>
        <v>56028</v>
      </c>
      <c r="J148" s="178">
        <f t="shared" si="35"/>
        <v>53751</v>
      </c>
      <c r="K148" s="178">
        <f t="shared" si="36"/>
        <v>59409</v>
      </c>
      <c r="L148" s="179">
        <f t="shared" si="37"/>
        <v>233565</v>
      </c>
      <c r="M148" s="177">
        <v>3726</v>
      </c>
      <c r="N148" s="178">
        <v>1656</v>
      </c>
      <c r="O148" s="178">
        <v>1104</v>
      </c>
      <c r="P148" s="178">
        <v>2691</v>
      </c>
      <c r="Q148" s="179">
        <v>9177</v>
      </c>
      <c r="R148" s="177"/>
      <c r="S148" s="178"/>
      <c r="T148" s="178"/>
      <c r="U148" s="178"/>
      <c r="V148" s="179"/>
      <c r="W148" s="177">
        <v>1587</v>
      </c>
      <c r="X148" s="178">
        <v>1311</v>
      </c>
      <c r="Y148" s="178">
        <v>2691</v>
      </c>
      <c r="Z148" s="178">
        <v>4416</v>
      </c>
      <c r="AA148" s="179">
        <v>10005</v>
      </c>
      <c r="AB148" s="177">
        <v>13593</v>
      </c>
      <c r="AC148" s="178">
        <v>13110</v>
      </c>
      <c r="AD148" s="178">
        <v>11937</v>
      </c>
      <c r="AE148" s="178">
        <v>6417</v>
      </c>
      <c r="AF148" s="179">
        <v>45057</v>
      </c>
      <c r="AG148" s="177">
        <v>27462</v>
      </c>
      <c r="AH148" s="178">
        <v>22977</v>
      </c>
      <c r="AI148" s="178">
        <v>18975</v>
      </c>
      <c r="AJ148" s="178">
        <v>22770</v>
      </c>
      <c r="AK148" s="179">
        <v>92184</v>
      </c>
      <c r="AL148" s="177">
        <v>1035</v>
      </c>
      <c r="AM148" s="178">
        <v>1518</v>
      </c>
      <c r="AN148" s="178">
        <v>1794</v>
      </c>
      <c r="AO148" s="178">
        <v>1794</v>
      </c>
      <c r="AP148" s="179">
        <v>6141</v>
      </c>
      <c r="AQ148" s="177">
        <v>9936</v>
      </c>
      <c r="AR148" s="178">
        <v>8280</v>
      </c>
      <c r="AS148" s="178">
        <v>8487</v>
      </c>
      <c r="AT148" s="178">
        <v>7590</v>
      </c>
      <c r="AU148" s="179">
        <v>34293</v>
      </c>
      <c r="AV148" s="177">
        <v>1242</v>
      </c>
      <c r="AW148" s="178">
        <v>897</v>
      </c>
      <c r="AX148" s="178">
        <v>1725</v>
      </c>
      <c r="AY148" s="178">
        <v>1863</v>
      </c>
      <c r="AZ148" s="179">
        <v>5727</v>
      </c>
      <c r="BA148" s="177">
        <v>5796</v>
      </c>
      <c r="BB148" s="178">
        <v>6279</v>
      </c>
      <c r="BC148" s="178">
        <v>7038</v>
      </c>
      <c r="BD148" s="178">
        <v>11868</v>
      </c>
      <c r="BE148" s="179">
        <v>30981</v>
      </c>
      <c r="BF148" s="177">
        <f t="shared" si="44"/>
        <v>17112</v>
      </c>
      <c r="BG148" s="178">
        <f t="shared" si="38"/>
        <v>8073</v>
      </c>
      <c r="BH148" s="178">
        <f t="shared" si="39"/>
        <v>18561</v>
      </c>
      <c r="BI148" s="178">
        <f t="shared" si="40"/>
        <v>10143</v>
      </c>
      <c r="BJ148" s="179">
        <f t="shared" si="41"/>
        <v>53889</v>
      </c>
      <c r="BK148" s="177">
        <v>4968</v>
      </c>
      <c r="BL148" s="178">
        <v>1794</v>
      </c>
      <c r="BM148" s="178">
        <v>3519</v>
      </c>
      <c r="BN148" s="178">
        <v>3519</v>
      </c>
      <c r="BO148" s="179">
        <v>13800</v>
      </c>
      <c r="BP148" s="177">
        <v>4623</v>
      </c>
      <c r="BQ148" s="178">
        <v>3795</v>
      </c>
      <c r="BR148" s="178">
        <v>11040</v>
      </c>
      <c r="BS148" s="178">
        <v>5382</v>
      </c>
      <c r="BT148" s="179">
        <v>24840</v>
      </c>
      <c r="BU148" s="177">
        <v>7176</v>
      </c>
      <c r="BV148" s="178">
        <v>2277</v>
      </c>
      <c r="BW148" s="178">
        <v>1311</v>
      </c>
      <c r="BX148" s="178">
        <v>1242</v>
      </c>
      <c r="BY148" s="179">
        <v>12006</v>
      </c>
      <c r="BZ148" s="177">
        <v>345</v>
      </c>
      <c r="CA148" s="178">
        <v>207</v>
      </c>
      <c r="CB148" s="178">
        <v>2691</v>
      </c>
      <c r="CC148" s="178"/>
      <c r="CD148" s="179">
        <v>3243</v>
      </c>
      <c r="CE148" s="177"/>
      <c r="CF148" s="178"/>
      <c r="CG148" s="178"/>
      <c r="CH148" s="178"/>
      <c r="CI148" s="179"/>
    </row>
    <row r="149" spans="1:87">
      <c r="A149" s="170" t="s">
        <v>133</v>
      </c>
      <c r="B149" s="171" t="s">
        <v>26</v>
      </c>
      <c r="C149" s="172">
        <f t="shared" si="42"/>
        <v>99429</v>
      </c>
      <c r="D149" s="173">
        <f t="shared" si="30"/>
        <v>81627</v>
      </c>
      <c r="E149" s="173">
        <f t="shared" si="31"/>
        <v>45195</v>
      </c>
      <c r="F149" s="173">
        <f t="shared" si="32"/>
        <v>34983</v>
      </c>
      <c r="G149" s="174">
        <f t="shared" si="33"/>
        <v>261234</v>
      </c>
      <c r="H149" s="172">
        <f t="shared" si="43"/>
        <v>68655</v>
      </c>
      <c r="I149" s="173">
        <f t="shared" si="34"/>
        <v>58995</v>
      </c>
      <c r="J149" s="173">
        <f t="shared" si="35"/>
        <v>19389</v>
      </c>
      <c r="K149" s="173">
        <f t="shared" si="36"/>
        <v>10488</v>
      </c>
      <c r="L149" s="174">
        <f t="shared" si="37"/>
        <v>157527</v>
      </c>
      <c r="M149" s="172"/>
      <c r="N149" s="173"/>
      <c r="O149" s="173"/>
      <c r="P149" s="173"/>
      <c r="Q149" s="174"/>
      <c r="R149" s="172">
        <v>7659</v>
      </c>
      <c r="S149" s="173">
        <v>24564</v>
      </c>
      <c r="T149" s="173">
        <v>13110</v>
      </c>
      <c r="U149" s="173">
        <v>2484</v>
      </c>
      <c r="V149" s="174">
        <v>47817</v>
      </c>
      <c r="W149" s="172">
        <v>7245</v>
      </c>
      <c r="X149" s="173">
        <v>3864</v>
      </c>
      <c r="Y149" s="173"/>
      <c r="Z149" s="173"/>
      <c r="AA149" s="174">
        <v>11109</v>
      </c>
      <c r="AB149" s="172">
        <v>1932</v>
      </c>
      <c r="AC149" s="173">
        <v>5244</v>
      </c>
      <c r="AD149" s="173">
        <v>1173</v>
      </c>
      <c r="AE149" s="173">
        <v>828</v>
      </c>
      <c r="AF149" s="174">
        <v>9177</v>
      </c>
      <c r="AG149" s="172"/>
      <c r="AH149" s="173"/>
      <c r="AI149" s="173"/>
      <c r="AJ149" s="173"/>
      <c r="AK149" s="174"/>
      <c r="AL149" s="172">
        <v>9177</v>
      </c>
      <c r="AM149" s="173">
        <v>7176</v>
      </c>
      <c r="AN149" s="173">
        <v>5106</v>
      </c>
      <c r="AO149" s="173">
        <v>7176</v>
      </c>
      <c r="AP149" s="174">
        <v>28635</v>
      </c>
      <c r="AQ149" s="172">
        <v>17526</v>
      </c>
      <c r="AR149" s="173">
        <v>8832</v>
      </c>
      <c r="AS149" s="173"/>
      <c r="AT149" s="173"/>
      <c r="AU149" s="174">
        <v>26358</v>
      </c>
      <c r="AV149" s="172">
        <v>4692</v>
      </c>
      <c r="AW149" s="173">
        <v>2208</v>
      </c>
      <c r="AX149" s="173"/>
      <c r="AY149" s="173"/>
      <c r="AZ149" s="174">
        <v>6900</v>
      </c>
      <c r="BA149" s="172">
        <v>20424</v>
      </c>
      <c r="BB149" s="173">
        <v>7107</v>
      </c>
      <c r="BC149" s="173"/>
      <c r="BD149" s="173"/>
      <c r="BE149" s="174">
        <v>27531</v>
      </c>
      <c r="BF149" s="172">
        <f t="shared" si="44"/>
        <v>30774</v>
      </c>
      <c r="BG149" s="173">
        <f t="shared" si="38"/>
        <v>22632</v>
      </c>
      <c r="BH149" s="173">
        <f t="shared" si="39"/>
        <v>25806</v>
      </c>
      <c r="BI149" s="173">
        <f t="shared" si="40"/>
        <v>24495</v>
      </c>
      <c r="BJ149" s="174">
        <f t="shared" si="41"/>
        <v>103707</v>
      </c>
      <c r="BK149" s="172">
        <v>2415</v>
      </c>
      <c r="BL149" s="173">
        <v>2967</v>
      </c>
      <c r="BM149" s="173">
        <v>3450</v>
      </c>
      <c r="BN149" s="173"/>
      <c r="BO149" s="174">
        <v>8832</v>
      </c>
      <c r="BP149" s="172">
        <v>13731</v>
      </c>
      <c r="BQ149" s="173">
        <v>11040</v>
      </c>
      <c r="BR149" s="173">
        <v>13179</v>
      </c>
      <c r="BS149" s="173">
        <v>13179</v>
      </c>
      <c r="BT149" s="174">
        <v>51129</v>
      </c>
      <c r="BU149" s="172">
        <v>5865</v>
      </c>
      <c r="BV149" s="173">
        <v>2001</v>
      </c>
      <c r="BW149" s="173">
        <v>5589</v>
      </c>
      <c r="BX149" s="173">
        <v>8073</v>
      </c>
      <c r="BY149" s="174">
        <v>21528</v>
      </c>
      <c r="BZ149" s="172">
        <v>2622</v>
      </c>
      <c r="CA149" s="173">
        <v>2898</v>
      </c>
      <c r="CB149" s="173">
        <v>3588</v>
      </c>
      <c r="CC149" s="173">
        <v>3243</v>
      </c>
      <c r="CD149" s="174">
        <v>12351</v>
      </c>
      <c r="CE149" s="172">
        <v>6141</v>
      </c>
      <c r="CF149" s="173">
        <v>3726</v>
      </c>
      <c r="CG149" s="173"/>
      <c r="CH149" s="173"/>
      <c r="CI149" s="174">
        <v>9867</v>
      </c>
    </row>
    <row r="150" s="147" customFormat="1" ht="14.6" spans="1:87">
      <c r="A150" s="175" t="s">
        <v>134</v>
      </c>
      <c r="B150" s="176"/>
      <c r="C150" s="177">
        <f t="shared" si="42"/>
        <v>99429</v>
      </c>
      <c r="D150" s="178">
        <f t="shared" si="30"/>
        <v>81627</v>
      </c>
      <c r="E150" s="178">
        <f t="shared" si="31"/>
        <v>45195</v>
      </c>
      <c r="F150" s="178">
        <f t="shared" si="32"/>
        <v>34983</v>
      </c>
      <c r="G150" s="179">
        <f t="shared" si="33"/>
        <v>261234</v>
      </c>
      <c r="H150" s="177">
        <f t="shared" si="43"/>
        <v>68655</v>
      </c>
      <c r="I150" s="178">
        <f t="shared" si="34"/>
        <v>58995</v>
      </c>
      <c r="J150" s="178">
        <f t="shared" si="35"/>
        <v>19389</v>
      </c>
      <c r="K150" s="178">
        <f t="shared" si="36"/>
        <v>10488</v>
      </c>
      <c r="L150" s="179">
        <f t="shared" si="37"/>
        <v>157527</v>
      </c>
      <c r="M150" s="177"/>
      <c r="N150" s="178"/>
      <c r="O150" s="178"/>
      <c r="P150" s="178"/>
      <c r="Q150" s="179"/>
      <c r="R150" s="177">
        <v>7659</v>
      </c>
      <c r="S150" s="178">
        <v>24564</v>
      </c>
      <c r="T150" s="178">
        <v>13110</v>
      </c>
      <c r="U150" s="178">
        <v>2484</v>
      </c>
      <c r="V150" s="179">
        <v>47817</v>
      </c>
      <c r="W150" s="177">
        <v>7245</v>
      </c>
      <c r="X150" s="178">
        <v>3864</v>
      </c>
      <c r="Y150" s="178"/>
      <c r="Z150" s="178"/>
      <c r="AA150" s="179">
        <v>11109</v>
      </c>
      <c r="AB150" s="177">
        <v>1932</v>
      </c>
      <c r="AC150" s="178">
        <v>5244</v>
      </c>
      <c r="AD150" s="178">
        <v>1173</v>
      </c>
      <c r="AE150" s="178">
        <v>828</v>
      </c>
      <c r="AF150" s="179">
        <v>9177</v>
      </c>
      <c r="AG150" s="177"/>
      <c r="AH150" s="178"/>
      <c r="AI150" s="178"/>
      <c r="AJ150" s="178"/>
      <c r="AK150" s="179"/>
      <c r="AL150" s="177">
        <v>9177</v>
      </c>
      <c r="AM150" s="178">
        <v>7176</v>
      </c>
      <c r="AN150" s="178">
        <v>5106</v>
      </c>
      <c r="AO150" s="178">
        <v>7176</v>
      </c>
      <c r="AP150" s="179">
        <v>28635</v>
      </c>
      <c r="AQ150" s="177">
        <v>17526</v>
      </c>
      <c r="AR150" s="178">
        <v>8832</v>
      </c>
      <c r="AS150" s="178"/>
      <c r="AT150" s="178"/>
      <c r="AU150" s="179">
        <v>26358</v>
      </c>
      <c r="AV150" s="177">
        <v>4692</v>
      </c>
      <c r="AW150" s="178">
        <v>2208</v>
      </c>
      <c r="AX150" s="178"/>
      <c r="AY150" s="178"/>
      <c r="AZ150" s="179">
        <v>6900</v>
      </c>
      <c r="BA150" s="177">
        <v>20424</v>
      </c>
      <c r="BB150" s="178">
        <v>7107</v>
      </c>
      <c r="BC150" s="178"/>
      <c r="BD150" s="178"/>
      <c r="BE150" s="179">
        <v>27531</v>
      </c>
      <c r="BF150" s="177">
        <f t="shared" si="44"/>
        <v>30774</v>
      </c>
      <c r="BG150" s="178">
        <f t="shared" si="38"/>
        <v>22632</v>
      </c>
      <c r="BH150" s="178">
        <f t="shared" si="39"/>
        <v>25806</v>
      </c>
      <c r="BI150" s="178">
        <f t="shared" si="40"/>
        <v>24495</v>
      </c>
      <c r="BJ150" s="179">
        <f t="shared" si="41"/>
        <v>103707</v>
      </c>
      <c r="BK150" s="177">
        <v>2415</v>
      </c>
      <c r="BL150" s="178">
        <v>2967</v>
      </c>
      <c r="BM150" s="178">
        <v>3450</v>
      </c>
      <c r="BN150" s="178"/>
      <c r="BO150" s="179">
        <v>8832</v>
      </c>
      <c r="BP150" s="177">
        <v>13731</v>
      </c>
      <c r="BQ150" s="178">
        <v>11040</v>
      </c>
      <c r="BR150" s="178">
        <v>13179</v>
      </c>
      <c r="BS150" s="178">
        <v>13179</v>
      </c>
      <c r="BT150" s="179">
        <v>51129</v>
      </c>
      <c r="BU150" s="177">
        <v>5865</v>
      </c>
      <c r="BV150" s="178">
        <v>2001</v>
      </c>
      <c r="BW150" s="178">
        <v>5589</v>
      </c>
      <c r="BX150" s="178">
        <v>8073</v>
      </c>
      <c r="BY150" s="179">
        <v>21528</v>
      </c>
      <c r="BZ150" s="177">
        <v>2622</v>
      </c>
      <c r="CA150" s="178">
        <v>2898</v>
      </c>
      <c r="CB150" s="178">
        <v>3588</v>
      </c>
      <c r="CC150" s="178">
        <v>3243</v>
      </c>
      <c r="CD150" s="179">
        <v>12351</v>
      </c>
      <c r="CE150" s="177">
        <v>6141</v>
      </c>
      <c r="CF150" s="178">
        <v>3726</v>
      </c>
      <c r="CG150" s="178"/>
      <c r="CH150" s="178"/>
      <c r="CI150" s="179">
        <v>9867</v>
      </c>
    </row>
    <row r="151" spans="1:87">
      <c r="A151" s="170" t="s">
        <v>135</v>
      </c>
      <c r="B151" s="171" t="s">
        <v>26</v>
      </c>
      <c r="C151" s="172">
        <f t="shared" si="42"/>
        <v>113091</v>
      </c>
      <c r="D151" s="173">
        <f t="shared" si="30"/>
        <v>63411</v>
      </c>
      <c r="E151" s="173">
        <f t="shared" si="31"/>
        <v>40710</v>
      </c>
      <c r="F151" s="173">
        <f t="shared" si="32"/>
        <v>30774</v>
      </c>
      <c r="G151" s="174">
        <f t="shared" si="33"/>
        <v>247986</v>
      </c>
      <c r="H151" s="172">
        <f t="shared" si="43"/>
        <v>87837</v>
      </c>
      <c r="I151" s="173">
        <f t="shared" si="34"/>
        <v>53268</v>
      </c>
      <c r="J151" s="173">
        <f t="shared" si="35"/>
        <v>39675</v>
      </c>
      <c r="K151" s="173">
        <f t="shared" si="36"/>
        <v>30774</v>
      </c>
      <c r="L151" s="174">
        <f t="shared" si="37"/>
        <v>211554</v>
      </c>
      <c r="M151" s="172"/>
      <c r="N151" s="173"/>
      <c r="O151" s="173"/>
      <c r="P151" s="173"/>
      <c r="Q151" s="174"/>
      <c r="R151" s="172"/>
      <c r="S151" s="173"/>
      <c r="T151" s="173"/>
      <c r="U151" s="173"/>
      <c r="V151" s="174"/>
      <c r="W151" s="172"/>
      <c r="X151" s="173"/>
      <c r="Y151" s="173"/>
      <c r="Z151" s="173"/>
      <c r="AA151" s="174"/>
      <c r="AB151" s="172">
        <v>60789</v>
      </c>
      <c r="AC151" s="173">
        <v>34362</v>
      </c>
      <c r="AD151" s="173">
        <v>33120</v>
      </c>
      <c r="AE151" s="173">
        <v>25116</v>
      </c>
      <c r="AF151" s="174">
        <v>153387</v>
      </c>
      <c r="AG151" s="172">
        <v>24633</v>
      </c>
      <c r="AH151" s="173">
        <v>16905</v>
      </c>
      <c r="AI151" s="173">
        <v>5589</v>
      </c>
      <c r="AJ151" s="173">
        <v>5175</v>
      </c>
      <c r="AK151" s="174">
        <v>52302</v>
      </c>
      <c r="AL151" s="172"/>
      <c r="AM151" s="173"/>
      <c r="AN151" s="173"/>
      <c r="AO151" s="173"/>
      <c r="AP151" s="174"/>
      <c r="AQ151" s="172">
        <v>2415</v>
      </c>
      <c r="AR151" s="173">
        <v>2001</v>
      </c>
      <c r="AS151" s="173">
        <v>966</v>
      </c>
      <c r="AT151" s="173">
        <v>483</v>
      </c>
      <c r="AU151" s="174">
        <v>5865</v>
      </c>
      <c r="AV151" s="172"/>
      <c r="AW151" s="173"/>
      <c r="AX151" s="173"/>
      <c r="AY151" s="173"/>
      <c r="AZ151" s="174"/>
      <c r="BA151" s="172"/>
      <c r="BB151" s="173"/>
      <c r="BC151" s="173"/>
      <c r="BD151" s="173"/>
      <c r="BE151" s="174"/>
      <c r="BF151" s="172">
        <f t="shared" si="44"/>
        <v>25254</v>
      </c>
      <c r="BG151" s="173">
        <f t="shared" si="38"/>
        <v>10143</v>
      </c>
      <c r="BH151" s="173">
        <f t="shared" si="39"/>
        <v>1035</v>
      </c>
      <c r="BI151" s="173">
        <f t="shared" si="40"/>
        <v>0</v>
      </c>
      <c r="BJ151" s="174">
        <f t="shared" si="41"/>
        <v>36432</v>
      </c>
      <c r="BK151" s="172"/>
      <c r="BL151" s="173"/>
      <c r="BM151" s="173"/>
      <c r="BN151" s="173"/>
      <c r="BO151" s="174"/>
      <c r="BP151" s="172">
        <v>25254</v>
      </c>
      <c r="BQ151" s="173">
        <v>10143</v>
      </c>
      <c r="BR151" s="173">
        <v>1035</v>
      </c>
      <c r="BS151" s="173"/>
      <c r="BT151" s="174">
        <v>36432</v>
      </c>
      <c r="BU151" s="172"/>
      <c r="BV151" s="173"/>
      <c r="BW151" s="173"/>
      <c r="BX151" s="173"/>
      <c r="BY151" s="174"/>
      <c r="BZ151" s="172"/>
      <c r="CA151" s="173"/>
      <c r="CB151" s="173"/>
      <c r="CC151" s="173"/>
      <c r="CD151" s="174"/>
      <c r="CE151" s="172"/>
      <c r="CF151" s="173"/>
      <c r="CG151" s="173"/>
      <c r="CH151" s="173"/>
      <c r="CI151" s="174"/>
    </row>
    <row r="152" s="147" customFormat="1" ht="14.6" spans="1:87">
      <c r="A152" s="175" t="s">
        <v>136</v>
      </c>
      <c r="B152" s="176"/>
      <c r="C152" s="177">
        <f t="shared" si="42"/>
        <v>113091</v>
      </c>
      <c r="D152" s="178">
        <f t="shared" si="30"/>
        <v>63411</v>
      </c>
      <c r="E152" s="178">
        <f t="shared" si="31"/>
        <v>40710</v>
      </c>
      <c r="F152" s="178">
        <f t="shared" si="32"/>
        <v>30774</v>
      </c>
      <c r="G152" s="179">
        <f t="shared" si="33"/>
        <v>247986</v>
      </c>
      <c r="H152" s="177">
        <f t="shared" si="43"/>
        <v>87837</v>
      </c>
      <c r="I152" s="178">
        <f t="shared" si="34"/>
        <v>53268</v>
      </c>
      <c r="J152" s="178">
        <f t="shared" si="35"/>
        <v>39675</v>
      </c>
      <c r="K152" s="178">
        <f t="shared" si="36"/>
        <v>30774</v>
      </c>
      <c r="L152" s="179">
        <f t="shared" si="37"/>
        <v>211554</v>
      </c>
      <c r="M152" s="177"/>
      <c r="N152" s="178"/>
      <c r="O152" s="178"/>
      <c r="P152" s="178"/>
      <c r="Q152" s="179"/>
      <c r="R152" s="177"/>
      <c r="S152" s="178"/>
      <c r="T152" s="178"/>
      <c r="U152" s="178"/>
      <c r="V152" s="179"/>
      <c r="W152" s="177"/>
      <c r="X152" s="178"/>
      <c r="Y152" s="178"/>
      <c r="Z152" s="178"/>
      <c r="AA152" s="179"/>
      <c r="AB152" s="177">
        <v>60789</v>
      </c>
      <c r="AC152" s="178">
        <v>34362</v>
      </c>
      <c r="AD152" s="178">
        <v>33120</v>
      </c>
      <c r="AE152" s="178">
        <v>25116</v>
      </c>
      <c r="AF152" s="179">
        <v>153387</v>
      </c>
      <c r="AG152" s="177">
        <v>24633</v>
      </c>
      <c r="AH152" s="178">
        <v>16905</v>
      </c>
      <c r="AI152" s="178">
        <v>5589</v>
      </c>
      <c r="AJ152" s="178">
        <v>5175</v>
      </c>
      <c r="AK152" s="179">
        <v>52302</v>
      </c>
      <c r="AL152" s="177"/>
      <c r="AM152" s="178"/>
      <c r="AN152" s="178"/>
      <c r="AO152" s="178"/>
      <c r="AP152" s="179"/>
      <c r="AQ152" s="177">
        <v>2415</v>
      </c>
      <c r="AR152" s="178">
        <v>2001</v>
      </c>
      <c r="AS152" s="178">
        <v>966</v>
      </c>
      <c r="AT152" s="178">
        <v>483</v>
      </c>
      <c r="AU152" s="179">
        <v>5865</v>
      </c>
      <c r="AV152" s="177"/>
      <c r="AW152" s="178"/>
      <c r="AX152" s="178"/>
      <c r="AY152" s="178"/>
      <c r="AZ152" s="179"/>
      <c r="BA152" s="177"/>
      <c r="BB152" s="178"/>
      <c r="BC152" s="178"/>
      <c r="BD152" s="178"/>
      <c r="BE152" s="179"/>
      <c r="BF152" s="177">
        <f t="shared" si="44"/>
        <v>25254</v>
      </c>
      <c r="BG152" s="178">
        <f t="shared" si="38"/>
        <v>10143</v>
      </c>
      <c r="BH152" s="178">
        <f t="shared" si="39"/>
        <v>1035</v>
      </c>
      <c r="BI152" s="178">
        <f t="shared" si="40"/>
        <v>0</v>
      </c>
      <c r="BJ152" s="179">
        <f t="shared" si="41"/>
        <v>36432</v>
      </c>
      <c r="BK152" s="177"/>
      <c r="BL152" s="178"/>
      <c r="BM152" s="178"/>
      <c r="BN152" s="178"/>
      <c r="BO152" s="179"/>
      <c r="BP152" s="177">
        <v>25254</v>
      </c>
      <c r="BQ152" s="178">
        <v>10143</v>
      </c>
      <c r="BR152" s="178">
        <v>1035</v>
      </c>
      <c r="BS152" s="178"/>
      <c r="BT152" s="179">
        <v>36432</v>
      </c>
      <c r="BU152" s="177"/>
      <c r="BV152" s="178"/>
      <c r="BW152" s="178"/>
      <c r="BX152" s="178"/>
      <c r="BY152" s="179"/>
      <c r="BZ152" s="177"/>
      <c r="CA152" s="178"/>
      <c r="CB152" s="178"/>
      <c r="CC152" s="178"/>
      <c r="CD152" s="179"/>
      <c r="CE152" s="177"/>
      <c r="CF152" s="178"/>
      <c r="CG152" s="178"/>
      <c r="CH152" s="178"/>
      <c r="CI152" s="179"/>
    </row>
    <row r="153" spans="1:87">
      <c r="A153" s="170" t="s">
        <v>137</v>
      </c>
      <c r="B153" s="171" t="s">
        <v>26</v>
      </c>
      <c r="C153" s="172">
        <f t="shared" si="42"/>
        <v>69759</v>
      </c>
      <c r="D153" s="173">
        <f t="shared" si="30"/>
        <v>60996</v>
      </c>
      <c r="E153" s="173">
        <f t="shared" si="31"/>
        <v>65757</v>
      </c>
      <c r="F153" s="173">
        <f t="shared" si="32"/>
        <v>50646</v>
      </c>
      <c r="G153" s="174">
        <f t="shared" si="33"/>
        <v>247158</v>
      </c>
      <c r="H153" s="172">
        <f t="shared" si="43"/>
        <v>69759</v>
      </c>
      <c r="I153" s="173">
        <f t="shared" si="34"/>
        <v>60996</v>
      </c>
      <c r="J153" s="173">
        <f t="shared" si="35"/>
        <v>65757</v>
      </c>
      <c r="K153" s="173">
        <f t="shared" si="36"/>
        <v>50646</v>
      </c>
      <c r="L153" s="174">
        <f t="shared" si="37"/>
        <v>247158</v>
      </c>
      <c r="M153" s="172"/>
      <c r="N153" s="173"/>
      <c r="O153" s="173"/>
      <c r="P153" s="173"/>
      <c r="Q153" s="174"/>
      <c r="R153" s="172"/>
      <c r="S153" s="173"/>
      <c r="T153" s="173"/>
      <c r="U153" s="173"/>
      <c r="V153" s="174"/>
      <c r="W153" s="172"/>
      <c r="X153" s="173"/>
      <c r="Y153" s="173"/>
      <c r="Z153" s="173"/>
      <c r="AA153" s="174"/>
      <c r="AB153" s="172">
        <v>49887</v>
      </c>
      <c r="AC153" s="173">
        <v>40296</v>
      </c>
      <c r="AD153" s="173">
        <v>38157</v>
      </c>
      <c r="AE153" s="173">
        <v>28152</v>
      </c>
      <c r="AF153" s="174">
        <v>156492</v>
      </c>
      <c r="AG153" s="172"/>
      <c r="AH153" s="173"/>
      <c r="AI153" s="173"/>
      <c r="AJ153" s="173"/>
      <c r="AK153" s="174"/>
      <c r="AL153" s="172"/>
      <c r="AM153" s="173"/>
      <c r="AN153" s="173"/>
      <c r="AO153" s="173"/>
      <c r="AP153" s="174"/>
      <c r="AQ153" s="172">
        <v>4140</v>
      </c>
      <c r="AR153" s="173">
        <v>4554</v>
      </c>
      <c r="AS153" s="173">
        <v>10419</v>
      </c>
      <c r="AT153" s="173">
        <v>4761</v>
      </c>
      <c r="AU153" s="174">
        <v>23874</v>
      </c>
      <c r="AV153" s="172"/>
      <c r="AW153" s="173"/>
      <c r="AX153" s="173"/>
      <c r="AY153" s="173"/>
      <c r="AZ153" s="174"/>
      <c r="BA153" s="172">
        <v>15732</v>
      </c>
      <c r="BB153" s="173">
        <v>16146</v>
      </c>
      <c r="BC153" s="173">
        <v>17181</v>
      </c>
      <c r="BD153" s="173">
        <v>17733</v>
      </c>
      <c r="BE153" s="174">
        <v>66792</v>
      </c>
      <c r="BF153" s="172">
        <f t="shared" si="44"/>
        <v>0</v>
      </c>
      <c r="BG153" s="173">
        <f t="shared" si="38"/>
        <v>0</v>
      </c>
      <c r="BH153" s="173">
        <f t="shared" si="39"/>
        <v>0</v>
      </c>
      <c r="BI153" s="173">
        <f t="shared" si="40"/>
        <v>0</v>
      </c>
      <c r="BJ153" s="174">
        <f t="shared" si="41"/>
        <v>0</v>
      </c>
      <c r="BK153" s="172"/>
      <c r="BL153" s="173"/>
      <c r="BM153" s="173"/>
      <c r="BN153" s="173"/>
      <c r="BO153" s="174"/>
      <c r="BP153" s="172"/>
      <c r="BQ153" s="173"/>
      <c r="BR153" s="173"/>
      <c r="BS153" s="173"/>
      <c r="BT153" s="174"/>
      <c r="BU153" s="172"/>
      <c r="BV153" s="173"/>
      <c r="BW153" s="173"/>
      <c r="BX153" s="173"/>
      <c r="BY153" s="174"/>
      <c r="BZ153" s="172"/>
      <c r="CA153" s="173"/>
      <c r="CB153" s="173"/>
      <c r="CC153" s="173"/>
      <c r="CD153" s="174"/>
      <c r="CE153" s="172"/>
      <c r="CF153" s="173"/>
      <c r="CG153" s="173"/>
      <c r="CH153" s="173"/>
      <c r="CI153" s="174"/>
    </row>
    <row r="154" s="147" customFormat="1" ht="14.6" spans="1:87">
      <c r="A154" s="175" t="s">
        <v>138</v>
      </c>
      <c r="B154" s="176"/>
      <c r="C154" s="177">
        <f t="shared" si="42"/>
        <v>69759</v>
      </c>
      <c r="D154" s="178">
        <f t="shared" si="30"/>
        <v>60996</v>
      </c>
      <c r="E154" s="178">
        <f t="shared" si="31"/>
        <v>65757</v>
      </c>
      <c r="F154" s="178">
        <f t="shared" si="32"/>
        <v>50646</v>
      </c>
      <c r="G154" s="179">
        <f t="shared" si="33"/>
        <v>247158</v>
      </c>
      <c r="H154" s="177">
        <f t="shared" si="43"/>
        <v>69759</v>
      </c>
      <c r="I154" s="178">
        <f t="shared" si="34"/>
        <v>60996</v>
      </c>
      <c r="J154" s="178">
        <f t="shared" si="35"/>
        <v>65757</v>
      </c>
      <c r="K154" s="178">
        <f t="shared" si="36"/>
        <v>50646</v>
      </c>
      <c r="L154" s="179">
        <f t="shared" si="37"/>
        <v>247158</v>
      </c>
      <c r="M154" s="177"/>
      <c r="N154" s="178"/>
      <c r="O154" s="178"/>
      <c r="P154" s="178"/>
      <c r="Q154" s="179"/>
      <c r="R154" s="177"/>
      <c r="S154" s="178"/>
      <c r="T154" s="178"/>
      <c r="U154" s="178"/>
      <c r="V154" s="179"/>
      <c r="W154" s="177"/>
      <c r="X154" s="178"/>
      <c r="Y154" s="178"/>
      <c r="Z154" s="178"/>
      <c r="AA154" s="179"/>
      <c r="AB154" s="177">
        <v>49887</v>
      </c>
      <c r="AC154" s="178">
        <v>40296</v>
      </c>
      <c r="AD154" s="178">
        <v>38157</v>
      </c>
      <c r="AE154" s="178">
        <v>28152</v>
      </c>
      <c r="AF154" s="179">
        <v>156492</v>
      </c>
      <c r="AG154" s="177"/>
      <c r="AH154" s="178"/>
      <c r="AI154" s="178"/>
      <c r="AJ154" s="178"/>
      <c r="AK154" s="179"/>
      <c r="AL154" s="177"/>
      <c r="AM154" s="178"/>
      <c r="AN154" s="178"/>
      <c r="AO154" s="178"/>
      <c r="AP154" s="179"/>
      <c r="AQ154" s="177">
        <v>4140</v>
      </c>
      <c r="AR154" s="178">
        <v>4554</v>
      </c>
      <c r="AS154" s="178">
        <v>10419</v>
      </c>
      <c r="AT154" s="178">
        <v>4761</v>
      </c>
      <c r="AU154" s="179">
        <v>23874</v>
      </c>
      <c r="AV154" s="177"/>
      <c r="AW154" s="178"/>
      <c r="AX154" s="178"/>
      <c r="AY154" s="178"/>
      <c r="AZ154" s="179"/>
      <c r="BA154" s="177">
        <v>15732</v>
      </c>
      <c r="BB154" s="178">
        <v>16146</v>
      </c>
      <c r="BC154" s="178">
        <v>17181</v>
      </c>
      <c r="BD154" s="178">
        <v>17733</v>
      </c>
      <c r="BE154" s="179">
        <v>66792</v>
      </c>
      <c r="BF154" s="177">
        <f t="shared" si="44"/>
        <v>0</v>
      </c>
      <c r="BG154" s="178">
        <f t="shared" si="38"/>
        <v>0</v>
      </c>
      <c r="BH154" s="178">
        <f t="shared" si="39"/>
        <v>0</v>
      </c>
      <c r="BI154" s="178">
        <f t="shared" si="40"/>
        <v>0</v>
      </c>
      <c r="BJ154" s="179">
        <f t="shared" si="41"/>
        <v>0</v>
      </c>
      <c r="BK154" s="177"/>
      <c r="BL154" s="178"/>
      <c r="BM154" s="178"/>
      <c r="BN154" s="178"/>
      <c r="BO154" s="179"/>
      <c r="BP154" s="177"/>
      <c r="BQ154" s="178"/>
      <c r="BR154" s="178"/>
      <c r="BS154" s="178"/>
      <c r="BT154" s="179"/>
      <c r="BU154" s="177"/>
      <c r="BV154" s="178"/>
      <c r="BW154" s="178"/>
      <c r="BX154" s="178"/>
      <c r="BY154" s="179"/>
      <c r="BZ154" s="177"/>
      <c r="CA154" s="178"/>
      <c r="CB154" s="178"/>
      <c r="CC154" s="178"/>
      <c r="CD154" s="179"/>
      <c r="CE154" s="177"/>
      <c r="CF154" s="178"/>
      <c r="CG154" s="178"/>
      <c r="CH154" s="178"/>
      <c r="CI154" s="179"/>
    </row>
    <row r="155" spans="1:87">
      <c r="A155" s="170" t="s">
        <v>139</v>
      </c>
      <c r="B155" s="171" t="s">
        <v>26</v>
      </c>
      <c r="C155" s="172">
        <f t="shared" si="42"/>
        <v>61203</v>
      </c>
      <c r="D155" s="173">
        <f t="shared" si="30"/>
        <v>54855</v>
      </c>
      <c r="E155" s="173">
        <f t="shared" si="31"/>
        <v>53958</v>
      </c>
      <c r="F155" s="173">
        <f t="shared" si="32"/>
        <v>66516</v>
      </c>
      <c r="G155" s="174">
        <f t="shared" si="33"/>
        <v>236532</v>
      </c>
      <c r="H155" s="172">
        <f t="shared" si="43"/>
        <v>32016</v>
      </c>
      <c r="I155" s="173">
        <f t="shared" si="34"/>
        <v>27945</v>
      </c>
      <c r="J155" s="173">
        <f t="shared" si="35"/>
        <v>29946</v>
      </c>
      <c r="K155" s="173">
        <f t="shared" si="36"/>
        <v>36363</v>
      </c>
      <c r="L155" s="174">
        <f t="shared" si="37"/>
        <v>126270</v>
      </c>
      <c r="M155" s="172">
        <v>345</v>
      </c>
      <c r="N155" s="173"/>
      <c r="O155" s="173">
        <v>138</v>
      </c>
      <c r="P155" s="173">
        <v>207</v>
      </c>
      <c r="Q155" s="174">
        <v>690</v>
      </c>
      <c r="R155" s="172"/>
      <c r="S155" s="173"/>
      <c r="T155" s="173"/>
      <c r="U155" s="173"/>
      <c r="V155" s="174"/>
      <c r="W155" s="172"/>
      <c r="X155" s="173"/>
      <c r="Y155" s="173"/>
      <c r="Z155" s="173"/>
      <c r="AA155" s="174"/>
      <c r="AB155" s="172">
        <v>207</v>
      </c>
      <c r="AC155" s="173"/>
      <c r="AD155" s="173"/>
      <c r="AE155" s="173"/>
      <c r="AF155" s="174">
        <v>207</v>
      </c>
      <c r="AG155" s="172"/>
      <c r="AH155" s="173"/>
      <c r="AI155" s="173"/>
      <c r="AJ155" s="173"/>
      <c r="AK155" s="174"/>
      <c r="AL155" s="172">
        <v>3243</v>
      </c>
      <c r="AM155" s="173">
        <v>2277</v>
      </c>
      <c r="AN155" s="173">
        <v>3381</v>
      </c>
      <c r="AO155" s="173">
        <v>3036</v>
      </c>
      <c r="AP155" s="174">
        <v>11937</v>
      </c>
      <c r="AQ155" s="172">
        <v>10281</v>
      </c>
      <c r="AR155" s="173">
        <v>6693</v>
      </c>
      <c r="AS155" s="173">
        <v>6003</v>
      </c>
      <c r="AT155" s="173">
        <v>4761</v>
      </c>
      <c r="AU155" s="174">
        <v>27738</v>
      </c>
      <c r="AV155" s="172">
        <v>69</v>
      </c>
      <c r="AW155" s="173">
        <v>207</v>
      </c>
      <c r="AX155" s="173"/>
      <c r="AY155" s="173"/>
      <c r="AZ155" s="174">
        <v>276</v>
      </c>
      <c r="BA155" s="172">
        <v>17871</v>
      </c>
      <c r="BB155" s="173">
        <v>18768</v>
      </c>
      <c r="BC155" s="173">
        <v>20424</v>
      </c>
      <c r="BD155" s="173">
        <v>28359</v>
      </c>
      <c r="BE155" s="174">
        <v>85422</v>
      </c>
      <c r="BF155" s="172">
        <f t="shared" si="44"/>
        <v>29187</v>
      </c>
      <c r="BG155" s="173">
        <f t="shared" si="38"/>
        <v>26910</v>
      </c>
      <c r="BH155" s="173">
        <f t="shared" si="39"/>
        <v>24012</v>
      </c>
      <c r="BI155" s="173">
        <f t="shared" si="40"/>
        <v>30153</v>
      </c>
      <c r="BJ155" s="174">
        <f t="shared" si="41"/>
        <v>110262</v>
      </c>
      <c r="BK155" s="172">
        <v>1725</v>
      </c>
      <c r="BL155" s="173">
        <v>1380</v>
      </c>
      <c r="BM155" s="173">
        <v>4071</v>
      </c>
      <c r="BN155" s="173">
        <v>3450</v>
      </c>
      <c r="BO155" s="174">
        <v>10626</v>
      </c>
      <c r="BP155" s="172">
        <v>7452</v>
      </c>
      <c r="BQ155" s="173">
        <v>6831</v>
      </c>
      <c r="BR155" s="173">
        <v>6486</v>
      </c>
      <c r="BS155" s="173">
        <v>2760</v>
      </c>
      <c r="BT155" s="174">
        <v>23529</v>
      </c>
      <c r="BU155" s="172">
        <v>17871</v>
      </c>
      <c r="BV155" s="173">
        <v>16353</v>
      </c>
      <c r="BW155" s="173">
        <v>11868</v>
      </c>
      <c r="BX155" s="173">
        <v>19251</v>
      </c>
      <c r="BY155" s="174">
        <v>65343</v>
      </c>
      <c r="BZ155" s="172">
        <v>2139</v>
      </c>
      <c r="CA155" s="173">
        <v>2346</v>
      </c>
      <c r="CB155" s="173">
        <v>1587</v>
      </c>
      <c r="CC155" s="173">
        <v>4692</v>
      </c>
      <c r="CD155" s="174">
        <v>10764</v>
      </c>
      <c r="CE155" s="172"/>
      <c r="CF155" s="173"/>
      <c r="CG155" s="173"/>
      <c r="CH155" s="173"/>
      <c r="CI155" s="174"/>
    </row>
    <row r="156" s="147" customFormat="1" ht="14.6" spans="1:87">
      <c r="A156" s="175" t="s">
        <v>140</v>
      </c>
      <c r="B156" s="176"/>
      <c r="C156" s="177">
        <f t="shared" si="42"/>
        <v>61203</v>
      </c>
      <c r="D156" s="178">
        <f t="shared" si="30"/>
        <v>54855</v>
      </c>
      <c r="E156" s="178">
        <f t="shared" si="31"/>
        <v>53958</v>
      </c>
      <c r="F156" s="178">
        <f t="shared" si="32"/>
        <v>66516</v>
      </c>
      <c r="G156" s="179">
        <f t="shared" si="33"/>
        <v>236532</v>
      </c>
      <c r="H156" s="177">
        <f t="shared" si="43"/>
        <v>32016</v>
      </c>
      <c r="I156" s="178">
        <f t="shared" si="34"/>
        <v>27945</v>
      </c>
      <c r="J156" s="178">
        <f t="shared" si="35"/>
        <v>29946</v>
      </c>
      <c r="K156" s="178">
        <f t="shared" si="36"/>
        <v>36363</v>
      </c>
      <c r="L156" s="179">
        <f t="shared" si="37"/>
        <v>126270</v>
      </c>
      <c r="M156" s="177">
        <v>345</v>
      </c>
      <c r="N156" s="178"/>
      <c r="O156" s="178">
        <v>138</v>
      </c>
      <c r="P156" s="178">
        <v>207</v>
      </c>
      <c r="Q156" s="179">
        <v>690</v>
      </c>
      <c r="R156" s="177"/>
      <c r="S156" s="178"/>
      <c r="T156" s="178"/>
      <c r="U156" s="178"/>
      <c r="V156" s="179"/>
      <c r="W156" s="177"/>
      <c r="X156" s="178"/>
      <c r="Y156" s="178"/>
      <c r="Z156" s="178"/>
      <c r="AA156" s="179"/>
      <c r="AB156" s="177">
        <v>207</v>
      </c>
      <c r="AC156" s="178"/>
      <c r="AD156" s="178"/>
      <c r="AE156" s="178"/>
      <c r="AF156" s="179">
        <v>207</v>
      </c>
      <c r="AG156" s="177"/>
      <c r="AH156" s="178"/>
      <c r="AI156" s="178"/>
      <c r="AJ156" s="178"/>
      <c r="AK156" s="179"/>
      <c r="AL156" s="177">
        <v>3243</v>
      </c>
      <c r="AM156" s="178">
        <v>2277</v>
      </c>
      <c r="AN156" s="178">
        <v>3381</v>
      </c>
      <c r="AO156" s="178">
        <v>3036</v>
      </c>
      <c r="AP156" s="179">
        <v>11937</v>
      </c>
      <c r="AQ156" s="177">
        <v>10281</v>
      </c>
      <c r="AR156" s="178">
        <v>6693</v>
      </c>
      <c r="AS156" s="178">
        <v>6003</v>
      </c>
      <c r="AT156" s="178">
        <v>4761</v>
      </c>
      <c r="AU156" s="179">
        <v>27738</v>
      </c>
      <c r="AV156" s="177">
        <v>69</v>
      </c>
      <c r="AW156" s="178">
        <v>207</v>
      </c>
      <c r="AX156" s="178"/>
      <c r="AY156" s="178"/>
      <c r="AZ156" s="179">
        <v>276</v>
      </c>
      <c r="BA156" s="177">
        <v>17871</v>
      </c>
      <c r="BB156" s="178">
        <v>18768</v>
      </c>
      <c r="BC156" s="178">
        <v>20424</v>
      </c>
      <c r="BD156" s="178">
        <v>28359</v>
      </c>
      <c r="BE156" s="179">
        <v>85422</v>
      </c>
      <c r="BF156" s="177">
        <f t="shared" si="44"/>
        <v>29187</v>
      </c>
      <c r="BG156" s="178">
        <f t="shared" si="38"/>
        <v>26910</v>
      </c>
      <c r="BH156" s="178">
        <f t="shared" si="39"/>
        <v>24012</v>
      </c>
      <c r="BI156" s="178">
        <f t="shared" si="40"/>
        <v>30153</v>
      </c>
      <c r="BJ156" s="179">
        <f t="shared" si="41"/>
        <v>110262</v>
      </c>
      <c r="BK156" s="177">
        <v>1725</v>
      </c>
      <c r="BL156" s="178">
        <v>1380</v>
      </c>
      <c r="BM156" s="178">
        <v>4071</v>
      </c>
      <c r="BN156" s="178">
        <v>3450</v>
      </c>
      <c r="BO156" s="179">
        <v>10626</v>
      </c>
      <c r="BP156" s="177">
        <v>7452</v>
      </c>
      <c r="BQ156" s="178">
        <v>6831</v>
      </c>
      <c r="BR156" s="178">
        <v>6486</v>
      </c>
      <c r="BS156" s="178">
        <v>2760</v>
      </c>
      <c r="BT156" s="179">
        <v>23529</v>
      </c>
      <c r="BU156" s="177">
        <v>17871</v>
      </c>
      <c r="BV156" s="178">
        <v>16353</v>
      </c>
      <c r="BW156" s="178">
        <v>11868</v>
      </c>
      <c r="BX156" s="178">
        <v>19251</v>
      </c>
      <c r="BY156" s="179">
        <v>65343</v>
      </c>
      <c r="BZ156" s="177">
        <v>2139</v>
      </c>
      <c r="CA156" s="178">
        <v>2346</v>
      </c>
      <c r="CB156" s="178">
        <v>1587</v>
      </c>
      <c r="CC156" s="178">
        <v>4692</v>
      </c>
      <c r="CD156" s="179">
        <v>10764</v>
      </c>
      <c r="CE156" s="177"/>
      <c r="CF156" s="178"/>
      <c r="CG156" s="178"/>
      <c r="CH156" s="178"/>
      <c r="CI156" s="179"/>
    </row>
    <row r="157" spans="1:87">
      <c r="A157" s="170" t="s">
        <v>141</v>
      </c>
      <c r="B157" s="171" t="s">
        <v>26</v>
      </c>
      <c r="C157" s="172">
        <f t="shared" si="42"/>
        <v>6579</v>
      </c>
      <c r="D157" s="173">
        <f t="shared" si="30"/>
        <v>0</v>
      </c>
      <c r="E157" s="173">
        <f t="shared" si="31"/>
        <v>27606</v>
      </c>
      <c r="F157" s="173">
        <f t="shared" si="32"/>
        <v>199821</v>
      </c>
      <c r="G157" s="174">
        <f t="shared" si="33"/>
        <v>234006</v>
      </c>
      <c r="H157" s="172">
        <f t="shared" si="43"/>
        <v>6450</v>
      </c>
      <c r="I157" s="173">
        <f t="shared" si="34"/>
        <v>0</v>
      </c>
      <c r="J157" s="173">
        <f t="shared" si="35"/>
        <v>27606</v>
      </c>
      <c r="K157" s="173">
        <f t="shared" si="36"/>
        <v>199821</v>
      </c>
      <c r="L157" s="174">
        <f t="shared" si="37"/>
        <v>233877</v>
      </c>
      <c r="M157" s="172">
        <v>129</v>
      </c>
      <c r="N157" s="173"/>
      <c r="O157" s="173"/>
      <c r="P157" s="173">
        <v>41667</v>
      </c>
      <c r="Q157" s="174">
        <v>41796</v>
      </c>
      <c r="R157" s="172">
        <v>6063</v>
      </c>
      <c r="S157" s="173"/>
      <c r="T157" s="173">
        <v>26832</v>
      </c>
      <c r="U157" s="173">
        <v>114939</v>
      </c>
      <c r="V157" s="174">
        <v>147834</v>
      </c>
      <c r="W157" s="172"/>
      <c r="X157" s="173"/>
      <c r="Y157" s="173"/>
      <c r="Z157" s="173"/>
      <c r="AA157" s="174"/>
      <c r="AB157" s="172">
        <v>258</v>
      </c>
      <c r="AC157" s="173"/>
      <c r="AD157" s="173"/>
      <c r="AE157" s="173">
        <v>43215</v>
      </c>
      <c r="AF157" s="174">
        <v>43473</v>
      </c>
      <c r="AG157" s="172"/>
      <c r="AH157" s="173"/>
      <c r="AI157" s="173"/>
      <c r="AJ157" s="173"/>
      <c r="AK157" s="174"/>
      <c r="AL157" s="172"/>
      <c r="AM157" s="173"/>
      <c r="AN157" s="173"/>
      <c r="AO157" s="173"/>
      <c r="AP157" s="174"/>
      <c r="AQ157" s="172"/>
      <c r="AR157" s="173"/>
      <c r="AS157" s="173">
        <v>774</v>
      </c>
      <c r="AT157" s="173"/>
      <c r="AU157" s="174">
        <v>774</v>
      </c>
      <c r="AV157" s="172"/>
      <c r="AW157" s="173"/>
      <c r="AX157" s="173"/>
      <c r="AY157" s="173"/>
      <c r="AZ157" s="174"/>
      <c r="BA157" s="172"/>
      <c r="BB157" s="173"/>
      <c r="BC157" s="173"/>
      <c r="BD157" s="173"/>
      <c r="BE157" s="174"/>
      <c r="BF157" s="172">
        <f t="shared" si="44"/>
        <v>129</v>
      </c>
      <c r="BG157" s="173">
        <f t="shared" si="38"/>
        <v>0</v>
      </c>
      <c r="BH157" s="173">
        <f t="shared" si="39"/>
        <v>0</v>
      </c>
      <c r="BI157" s="173">
        <f t="shared" si="40"/>
        <v>0</v>
      </c>
      <c r="BJ157" s="174">
        <f t="shared" si="41"/>
        <v>129</v>
      </c>
      <c r="BK157" s="172"/>
      <c r="BL157" s="173"/>
      <c r="BM157" s="173"/>
      <c r="BN157" s="173"/>
      <c r="BO157" s="174"/>
      <c r="BP157" s="172"/>
      <c r="BQ157" s="173"/>
      <c r="BR157" s="173"/>
      <c r="BS157" s="173"/>
      <c r="BT157" s="174"/>
      <c r="BU157" s="172">
        <v>129</v>
      </c>
      <c r="BV157" s="173"/>
      <c r="BW157" s="173"/>
      <c r="BX157" s="173"/>
      <c r="BY157" s="174">
        <v>129</v>
      </c>
      <c r="BZ157" s="172"/>
      <c r="CA157" s="173"/>
      <c r="CB157" s="173"/>
      <c r="CC157" s="173"/>
      <c r="CD157" s="174"/>
      <c r="CE157" s="172"/>
      <c r="CF157" s="173"/>
      <c r="CG157" s="173"/>
      <c r="CH157" s="173"/>
      <c r="CI157" s="174"/>
    </row>
    <row r="158" s="147" customFormat="1" ht="14.6" spans="1:87">
      <c r="A158" s="175" t="s">
        <v>142</v>
      </c>
      <c r="B158" s="176"/>
      <c r="C158" s="177">
        <f t="shared" si="42"/>
        <v>6579</v>
      </c>
      <c r="D158" s="178">
        <f t="shared" si="30"/>
        <v>0</v>
      </c>
      <c r="E158" s="178">
        <f t="shared" si="31"/>
        <v>27606</v>
      </c>
      <c r="F158" s="178">
        <f t="shared" si="32"/>
        <v>199821</v>
      </c>
      <c r="G158" s="179">
        <f t="shared" si="33"/>
        <v>234006</v>
      </c>
      <c r="H158" s="177">
        <f t="shared" si="43"/>
        <v>6450</v>
      </c>
      <c r="I158" s="178">
        <f t="shared" si="34"/>
        <v>0</v>
      </c>
      <c r="J158" s="178">
        <f t="shared" si="35"/>
        <v>27606</v>
      </c>
      <c r="K158" s="178">
        <f t="shared" si="36"/>
        <v>199821</v>
      </c>
      <c r="L158" s="179">
        <f t="shared" si="37"/>
        <v>233877</v>
      </c>
      <c r="M158" s="177">
        <v>129</v>
      </c>
      <c r="N158" s="178"/>
      <c r="O158" s="178"/>
      <c r="P158" s="178">
        <v>41667</v>
      </c>
      <c r="Q158" s="179">
        <v>41796</v>
      </c>
      <c r="R158" s="177">
        <v>6063</v>
      </c>
      <c r="S158" s="178"/>
      <c r="T158" s="178">
        <v>26832</v>
      </c>
      <c r="U158" s="178">
        <v>114939</v>
      </c>
      <c r="V158" s="179">
        <v>147834</v>
      </c>
      <c r="W158" s="177"/>
      <c r="X158" s="178"/>
      <c r="Y158" s="178"/>
      <c r="Z158" s="178"/>
      <c r="AA158" s="179"/>
      <c r="AB158" s="177">
        <v>258</v>
      </c>
      <c r="AC158" s="178"/>
      <c r="AD158" s="178"/>
      <c r="AE158" s="178">
        <v>43215</v>
      </c>
      <c r="AF158" s="179">
        <v>43473</v>
      </c>
      <c r="AG158" s="177"/>
      <c r="AH158" s="178"/>
      <c r="AI158" s="178"/>
      <c r="AJ158" s="178"/>
      <c r="AK158" s="179"/>
      <c r="AL158" s="177"/>
      <c r="AM158" s="178"/>
      <c r="AN158" s="178"/>
      <c r="AO158" s="178"/>
      <c r="AP158" s="179"/>
      <c r="AQ158" s="177"/>
      <c r="AR158" s="178"/>
      <c r="AS158" s="178">
        <v>774</v>
      </c>
      <c r="AT158" s="178"/>
      <c r="AU158" s="179">
        <v>774</v>
      </c>
      <c r="AV158" s="177"/>
      <c r="AW158" s="178"/>
      <c r="AX158" s="178"/>
      <c r="AY158" s="178"/>
      <c r="AZ158" s="179"/>
      <c r="BA158" s="177"/>
      <c r="BB158" s="178"/>
      <c r="BC158" s="178"/>
      <c r="BD158" s="178"/>
      <c r="BE158" s="179"/>
      <c r="BF158" s="177">
        <f t="shared" si="44"/>
        <v>129</v>
      </c>
      <c r="BG158" s="178">
        <f t="shared" si="38"/>
        <v>0</v>
      </c>
      <c r="BH158" s="178">
        <f t="shared" si="39"/>
        <v>0</v>
      </c>
      <c r="BI158" s="178">
        <f t="shared" si="40"/>
        <v>0</v>
      </c>
      <c r="BJ158" s="179">
        <f t="shared" si="41"/>
        <v>129</v>
      </c>
      <c r="BK158" s="177"/>
      <c r="BL158" s="178"/>
      <c r="BM158" s="178"/>
      <c r="BN158" s="178"/>
      <c r="BO158" s="179"/>
      <c r="BP158" s="177"/>
      <c r="BQ158" s="178"/>
      <c r="BR158" s="178"/>
      <c r="BS158" s="178"/>
      <c r="BT158" s="179"/>
      <c r="BU158" s="177">
        <v>129</v>
      </c>
      <c r="BV158" s="178"/>
      <c r="BW158" s="178"/>
      <c r="BX158" s="178"/>
      <c r="BY158" s="179">
        <v>129</v>
      </c>
      <c r="BZ158" s="177"/>
      <c r="CA158" s="178"/>
      <c r="CB158" s="178"/>
      <c r="CC158" s="178"/>
      <c r="CD158" s="179"/>
      <c r="CE158" s="177"/>
      <c r="CF158" s="178"/>
      <c r="CG158" s="178"/>
      <c r="CH158" s="178"/>
      <c r="CI158" s="179"/>
    </row>
    <row r="159" spans="1:87">
      <c r="A159" s="170" t="s">
        <v>143</v>
      </c>
      <c r="B159" s="171" t="s">
        <v>26</v>
      </c>
      <c r="C159" s="172">
        <f t="shared" si="42"/>
        <v>44643</v>
      </c>
      <c r="D159" s="173">
        <f t="shared" si="30"/>
        <v>73761</v>
      </c>
      <c r="E159" s="173">
        <f t="shared" si="31"/>
        <v>44436</v>
      </c>
      <c r="F159" s="173">
        <f t="shared" si="32"/>
        <v>41814</v>
      </c>
      <c r="G159" s="174">
        <f t="shared" si="33"/>
        <v>204654</v>
      </c>
      <c r="H159" s="172">
        <f t="shared" si="43"/>
        <v>44643</v>
      </c>
      <c r="I159" s="173">
        <f t="shared" si="34"/>
        <v>73761</v>
      </c>
      <c r="J159" s="173">
        <f t="shared" si="35"/>
        <v>43263</v>
      </c>
      <c r="K159" s="173">
        <f t="shared" si="36"/>
        <v>33741</v>
      </c>
      <c r="L159" s="174">
        <f t="shared" si="37"/>
        <v>195408</v>
      </c>
      <c r="M159" s="172">
        <v>2553</v>
      </c>
      <c r="N159" s="173">
        <v>24357</v>
      </c>
      <c r="O159" s="173">
        <v>12489</v>
      </c>
      <c r="P159" s="173">
        <v>6693</v>
      </c>
      <c r="Q159" s="174">
        <v>46092</v>
      </c>
      <c r="R159" s="172"/>
      <c r="S159" s="173"/>
      <c r="T159" s="173"/>
      <c r="U159" s="173"/>
      <c r="V159" s="174"/>
      <c r="W159" s="172">
        <v>3795</v>
      </c>
      <c r="X159" s="173">
        <v>2967</v>
      </c>
      <c r="Y159" s="173">
        <v>4071</v>
      </c>
      <c r="Z159" s="173">
        <v>2967</v>
      </c>
      <c r="AA159" s="174">
        <v>13800</v>
      </c>
      <c r="AB159" s="172">
        <v>21252</v>
      </c>
      <c r="AC159" s="173">
        <v>30498</v>
      </c>
      <c r="AD159" s="173">
        <v>17664</v>
      </c>
      <c r="AE159" s="173">
        <v>13524</v>
      </c>
      <c r="AF159" s="174">
        <v>82938</v>
      </c>
      <c r="AG159" s="172"/>
      <c r="AH159" s="173"/>
      <c r="AI159" s="173"/>
      <c r="AJ159" s="173"/>
      <c r="AK159" s="174"/>
      <c r="AL159" s="172">
        <v>1587</v>
      </c>
      <c r="AM159" s="173">
        <v>1173</v>
      </c>
      <c r="AN159" s="173">
        <v>2139</v>
      </c>
      <c r="AO159" s="173">
        <v>2553</v>
      </c>
      <c r="AP159" s="174">
        <v>7452</v>
      </c>
      <c r="AQ159" s="172">
        <v>15456</v>
      </c>
      <c r="AR159" s="173">
        <v>14766</v>
      </c>
      <c r="AS159" s="173">
        <v>6900</v>
      </c>
      <c r="AT159" s="173">
        <v>8004</v>
      </c>
      <c r="AU159" s="174">
        <v>45126</v>
      </c>
      <c r="AV159" s="172"/>
      <c r="AW159" s="173"/>
      <c r="AX159" s="173"/>
      <c r="AY159" s="173"/>
      <c r="AZ159" s="174"/>
      <c r="BA159" s="172"/>
      <c r="BB159" s="173"/>
      <c r="BC159" s="173"/>
      <c r="BD159" s="173"/>
      <c r="BE159" s="174"/>
      <c r="BF159" s="172">
        <f t="shared" si="44"/>
        <v>0</v>
      </c>
      <c r="BG159" s="173">
        <f t="shared" si="38"/>
        <v>0</v>
      </c>
      <c r="BH159" s="173">
        <f t="shared" si="39"/>
        <v>1173</v>
      </c>
      <c r="BI159" s="173">
        <f t="shared" si="40"/>
        <v>8073</v>
      </c>
      <c r="BJ159" s="174">
        <f t="shared" si="41"/>
        <v>9246</v>
      </c>
      <c r="BK159" s="172"/>
      <c r="BL159" s="173"/>
      <c r="BM159" s="173"/>
      <c r="BN159" s="173"/>
      <c r="BO159" s="174"/>
      <c r="BP159" s="172"/>
      <c r="BQ159" s="173"/>
      <c r="BR159" s="173"/>
      <c r="BS159" s="173">
        <v>4761</v>
      </c>
      <c r="BT159" s="174">
        <v>4761</v>
      </c>
      <c r="BU159" s="172"/>
      <c r="BV159" s="173"/>
      <c r="BW159" s="173">
        <v>1173</v>
      </c>
      <c r="BX159" s="173">
        <v>3312</v>
      </c>
      <c r="BY159" s="174">
        <v>4485</v>
      </c>
      <c r="BZ159" s="172"/>
      <c r="CA159" s="173"/>
      <c r="CB159" s="173"/>
      <c r="CC159" s="173"/>
      <c r="CD159" s="174"/>
      <c r="CE159" s="172"/>
      <c r="CF159" s="173"/>
      <c r="CG159" s="173"/>
      <c r="CH159" s="173"/>
      <c r="CI159" s="174"/>
    </row>
    <row r="160" s="147" customFormat="1" ht="14.6" spans="1:87">
      <c r="A160" s="175" t="s">
        <v>144</v>
      </c>
      <c r="B160" s="176"/>
      <c r="C160" s="177">
        <f t="shared" si="42"/>
        <v>44643</v>
      </c>
      <c r="D160" s="178">
        <f t="shared" si="30"/>
        <v>73761</v>
      </c>
      <c r="E160" s="178">
        <f t="shared" si="31"/>
        <v>44436</v>
      </c>
      <c r="F160" s="178">
        <f t="shared" si="32"/>
        <v>41814</v>
      </c>
      <c r="G160" s="179">
        <f t="shared" si="33"/>
        <v>204654</v>
      </c>
      <c r="H160" s="177">
        <f t="shared" si="43"/>
        <v>44643</v>
      </c>
      <c r="I160" s="178">
        <f t="shared" si="34"/>
        <v>73761</v>
      </c>
      <c r="J160" s="178">
        <f t="shared" si="35"/>
        <v>43263</v>
      </c>
      <c r="K160" s="178">
        <f t="shared" si="36"/>
        <v>33741</v>
      </c>
      <c r="L160" s="179">
        <f t="shared" si="37"/>
        <v>195408</v>
      </c>
      <c r="M160" s="177">
        <v>2553</v>
      </c>
      <c r="N160" s="178">
        <v>24357</v>
      </c>
      <c r="O160" s="178">
        <v>12489</v>
      </c>
      <c r="P160" s="178">
        <v>6693</v>
      </c>
      <c r="Q160" s="179">
        <v>46092</v>
      </c>
      <c r="R160" s="177"/>
      <c r="S160" s="178"/>
      <c r="T160" s="178"/>
      <c r="U160" s="178"/>
      <c r="V160" s="179"/>
      <c r="W160" s="177">
        <v>3795</v>
      </c>
      <c r="X160" s="178">
        <v>2967</v>
      </c>
      <c r="Y160" s="178">
        <v>4071</v>
      </c>
      <c r="Z160" s="178">
        <v>2967</v>
      </c>
      <c r="AA160" s="179">
        <v>13800</v>
      </c>
      <c r="AB160" s="177">
        <v>21252</v>
      </c>
      <c r="AC160" s="178">
        <v>30498</v>
      </c>
      <c r="AD160" s="178">
        <v>17664</v>
      </c>
      <c r="AE160" s="178">
        <v>13524</v>
      </c>
      <c r="AF160" s="179">
        <v>82938</v>
      </c>
      <c r="AG160" s="177"/>
      <c r="AH160" s="178"/>
      <c r="AI160" s="178"/>
      <c r="AJ160" s="178"/>
      <c r="AK160" s="179"/>
      <c r="AL160" s="177">
        <v>1587</v>
      </c>
      <c r="AM160" s="178">
        <v>1173</v>
      </c>
      <c r="AN160" s="178">
        <v>2139</v>
      </c>
      <c r="AO160" s="178">
        <v>2553</v>
      </c>
      <c r="AP160" s="179">
        <v>7452</v>
      </c>
      <c r="AQ160" s="177">
        <v>15456</v>
      </c>
      <c r="AR160" s="178">
        <v>14766</v>
      </c>
      <c r="AS160" s="178">
        <v>6900</v>
      </c>
      <c r="AT160" s="178">
        <v>8004</v>
      </c>
      <c r="AU160" s="179">
        <v>45126</v>
      </c>
      <c r="AV160" s="177"/>
      <c r="AW160" s="178"/>
      <c r="AX160" s="178"/>
      <c r="AY160" s="178"/>
      <c r="AZ160" s="179"/>
      <c r="BA160" s="177"/>
      <c r="BB160" s="178"/>
      <c r="BC160" s="178"/>
      <c r="BD160" s="178"/>
      <c r="BE160" s="179"/>
      <c r="BF160" s="177">
        <f t="shared" si="44"/>
        <v>0</v>
      </c>
      <c r="BG160" s="178">
        <f t="shared" si="38"/>
        <v>0</v>
      </c>
      <c r="BH160" s="178">
        <f t="shared" si="39"/>
        <v>1173</v>
      </c>
      <c r="BI160" s="178">
        <f t="shared" si="40"/>
        <v>8073</v>
      </c>
      <c r="BJ160" s="179">
        <f t="shared" si="41"/>
        <v>9246</v>
      </c>
      <c r="BK160" s="177"/>
      <c r="BL160" s="178"/>
      <c r="BM160" s="178"/>
      <c r="BN160" s="178"/>
      <c r="BO160" s="179"/>
      <c r="BP160" s="177"/>
      <c r="BQ160" s="178"/>
      <c r="BR160" s="178"/>
      <c r="BS160" s="178">
        <v>4761</v>
      </c>
      <c r="BT160" s="179">
        <v>4761</v>
      </c>
      <c r="BU160" s="177"/>
      <c r="BV160" s="178"/>
      <c r="BW160" s="178">
        <v>1173</v>
      </c>
      <c r="BX160" s="178">
        <v>3312</v>
      </c>
      <c r="BY160" s="179">
        <v>4485</v>
      </c>
      <c r="BZ160" s="177"/>
      <c r="CA160" s="178"/>
      <c r="CB160" s="178"/>
      <c r="CC160" s="178"/>
      <c r="CD160" s="179"/>
      <c r="CE160" s="177"/>
      <c r="CF160" s="178"/>
      <c r="CG160" s="178"/>
      <c r="CH160" s="178"/>
      <c r="CI160" s="179"/>
    </row>
    <row r="161" spans="1:87">
      <c r="A161" s="170" t="s">
        <v>145</v>
      </c>
      <c r="B161" s="171" t="s">
        <v>26</v>
      </c>
      <c r="C161" s="172">
        <f t="shared" si="42"/>
        <v>56028</v>
      </c>
      <c r="D161" s="173">
        <f t="shared" si="30"/>
        <v>48093</v>
      </c>
      <c r="E161" s="173">
        <f t="shared" si="31"/>
        <v>42642</v>
      </c>
      <c r="F161" s="173">
        <f t="shared" si="32"/>
        <v>47610</v>
      </c>
      <c r="G161" s="174">
        <f t="shared" si="33"/>
        <v>194373</v>
      </c>
      <c r="H161" s="172">
        <f t="shared" si="43"/>
        <v>53268</v>
      </c>
      <c r="I161" s="173">
        <f t="shared" si="34"/>
        <v>45540</v>
      </c>
      <c r="J161" s="173">
        <f t="shared" si="35"/>
        <v>42159</v>
      </c>
      <c r="K161" s="173">
        <f t="shared" si="36"/>
        <v>46368</v>
      </c>
      <c r="L161" s="174">
        <f t="shared" si="37"/>
        <v>187335</v>
      </c>
      <c r="M161" s="172"/>
      <c r="N161" s="173">
        <v>1656</v>
      </c>
      <c r="O161" s="173"/>
      <c r="P161" s="173"/>
      <c r="Q161" s="174">
        <v>1656</v>
      </c>
      <c r="R161" s="172"/>
      <c r="S161" s="173"/>
      <c r="T161" s="173"/>
      <c r="U161" s="173"/>
      <c r="V161" s="174"/>
      <c r="W161" s="172"/>
      <c r="X161" s="173"/>
      <c r="Y161" s="173"/>
      <c r="Z161" s="173"/>
      <c r="AA161" s="174"/>
      <c r="AB161" s="172">
        <v>15939</v>
      </c>
      <c r="AC161" s="173">
        <v>14766</v>
      </c>
      <c r="AD161" s="173">
        <v>14214</v>
      </c>
      <c r="AE161" s="173">
        <v>10074</v>
      </c>
      <c r="AF161" s="174">
        <v>54993</v>
      </c>
      <c r="AG161" s="172"/>
      <c r="AH161" s="173"/>
      <c r="AI161" s="173"/>
      <c r="AJ161" s="173"/>
      <c r="AK161" s="174"/>
      <c r="AL161" s="172"/>
      <c r="AM161" s="173"/>
      <c r="AN161" s="173"/>
      <c r="AO161" s="173"/>
      <c r="AP161" s="174"/>
      <c r="AQ161" s="172"/>
      <c r="AR161" s="173"/>
      <c r="AS161" s="173"/>
      <c r="AT161" s="173"/>
      <c r="AU161" s="174"/>
      <c r="AV161" s="172">
        <v>1863</v>
      </c>
      <c r="AW161" s="173">
        <v>1104</v>
      </c>
      <c r="AX161" s="173">
        <v>690</v>
      </c>
      <c r="AY161" s="173">
        <v>621</v>
      </c>
      <c r="AZ161" s="174">
        <v>4278</v>
      </c>
      <c r="BA161" s="172">
        <v>35466</v>
      </c>
      <c r="BB161" s="173">
        <v>28014</v>
      </c>
      <c r="BC161" s="173">
        <v>27255</v>
      </c>
      <c r="BD161" s="173">
        <v>35673</v>
      </c>
      <c r="BE161" s="174">
        <v>126408</v>
      </c>
      <c r="BF161" s="172">
        <f t="shared" si="44"/>
        <v>2760</v>
      </c>
      <c r="BG161" s="173">
        <f t="shared" si="38"/>
        <v>2553</v>
      </c>
      <c r="BH161" s="173">
        <f t="shared" si="39"/>
        <v>483</v>
      </c>
      <c r="BI161" s="173">
        <f t="shared" si="40"/>
        <v>1242</v>
      </c>
      <c r="BJ161" s="174">
        <f t="shared" si="41"/>
        <v>7038</v>
      </c>
      <c r="BK161" s="172"/>
      <c r="BL161" s="173"/>
      <c r="BM161" s="173"/>
      <c r="BN161" s="173"/>
      <c r="BO161" s="174"/>
      <c r="BP161" s="172"/>
      <c r="BQ161" s="173"/>
      <c r="BR161" s="173"/>
      <c r="BS161" s="173"/>
      <c r="BT161" s="174"/>
      <c r="BU161" s="172">
        <v>2760</v>
      </c>
      <c r="BV161" s="173">
        <v>2553</v>
      </c>
      <c r="BW161" s="173">
        <v>483</v>
      </c>
      <c r="BX161" s="173">
        <v>1242</v>
      </c>
      <c r="BY161" s="174">
        <v>7038</v>
      </c>
      <c r="BZ161" s="172"/>
      <c r="CA161" s="173"/>
      <c r="CB161" s="173"/>
      <c r="CC161" s="173"/>
      <c r="CD161" s="174"/>
      <c r="CE161" s="172"/>
      <c r="CF161" s="173"/>
      <c r="CG161" s="173"/>
      <c r="CH161" s="173"/>
      <c r="CI161" s="174"/>
    </row>
    <row r="162" s="147" customFormat="1" ht="14.6" spans="1:87">
      <c r="A162" s="175" t="s">
        <v>146</v>
      </c>
      <c r="B162" s="176"/>
      <c r="C162" s="177">
        <f t="shared" si="42"/>
        <v>56028</v>
      </c>
      <c r="D162" s="178">
        <f t="shared" si="30"/>
        <v>48093</v>
      </c>
      <c r="E162" s="178">
        <f t="shared" si="31"/>
        <v>42642</v>
      </c>
      <c r="F162" s="178">
        <f t="shared" si="32"/>
        <v>47610</v>
      </c>
      <c r="G162" s="179">
        <f t="shared" si="33"/>
        <v>194373</v>
      </c>
      <c r="H162" s="177">
        <f t="shared" si="43"/>
        <v>53268</v>
      </c>
      <c r="I162" s="178">
        <f t="shared" si="34"/>
        <v>45540</v>
      </c>
      <c r="J162" s="178">
        <f t="shared" si="35"/>
        <v>42159</v>
      </c>
      <c r="K162" s="178">
        <f t="shared" si="36"/>
        <v>46368</v>
      </c>
      <c r="L162" s="179">
        <f t="shared" si="37"/>
        <v>187335</v>
      </c>
      <c r="M162" s="177"/>
      <c r="N162" s="178">
        <v>1656</v>
      </c>
      <c r="O162" s="178"/>
      <c r="P162" s="178"/>
      <c r="Q162" s="179">
        <v>1656</v>
      </c>
      <c r="R162" s="177"/>
      <c r="S162" s="178"/>
      <c r="T162" s="178"/>
      <c r="U162" s="178"/>
      <c r="V162" s="179"/>
      <c r="W162" s="177"/>
      <c r="X162" s="178"/>
      <c r="Y162" s="178"/>
      <c r="Z162" s="178"/>
      <c r="AA162" s="179"/>
      <c r="AB162" s="177">
        <v>15939</v>
      </c>
      <c r="AC162" s="178">
        <v>14766</v>
      </c>
      <c r="AD162" s="178">
        <v>14214</v>
      </c>
      <c r="AE162" s="178">
        <v>10074</v>
      </c>
      <c r="AF162" s="179">
        <v>54993</v>
      </c>
      <c r="AG162" s="177"/>
      <c r="AH162" s="178"/>
      <c r="AI162" s="178"/>
      <c r="AJ162" s="178"/>
      <c r="AK162" s="179"/>
      <c r="AL162" s="177"/>
      <c r="AM162" s="178"/>
      <c r="AN162" s="178"/>
      <c r="AO162" s="178"/>
      <c r="AP162" s="179"/>
      <c r="AQ162" s="177"/>
      <c r="AR162" s="178"/>
      <c r="AS162" s="178"/>
      <c r="AT162" s="178"/>
      <c r="AU162" s="179"/>
      <c r="AV162" s="177">
        <v>1863</v>
      </c>
      <c r="AW162" s="178">
        <v>1104</v>
      </c>
      <c r="AX162" s="178">
        <v>690</v>
      </c>
      <c r="AY162" s="178">
        <v>621</v>
      </c>
      <c r="AZ162" s="179">
        <v>4278</v>
      </c>
      <c r="BA162" s="177">
        <v>35466</v>
      </c>
      <c r="BB162" s="178">
        <v>28014</v>
      </c>
      <c r="BC162" s="178">
        <v>27255</v>
      </c>
      <c r="BD162" s="178">
        <v>35673</v>
      </c>
      <c r="BE162" s="179">
        <v>126408</v>
      </c>
      <c r="BF162" s="177">
        <f t="shared" si="44"/>
        <v>2760</v>
      </c>
      <c r="BG162" s="178">
        <f t="shared" si="38"/>
        <v>2553</v>
      </c>
      <c r="BH162" s="178">
        <f t="shared" si="39"/>
        <v>483</v>
      </c>
      <c r="BI162" s="178">
        <f t="shared" si="40"/>
        <v>1242</v>
      </c>
      <c r="BJ162" s="179">
        <f t="shared" si="41"/>
        <v>7038</v>
      </c>
      <c r="BK162" s="177"/>
      <c r="BL162" s="178"/>
      <c r="BM162" s="178"/>
      <c r="BN162" s="178"/>
      <c r="BO162" s="179"/>
      <c r="BP162" s="177"/>
      <c r="BQ162" s="178"/>
      <c r="BR162" s="178"/>
      <c r="BS162" s="178"/>
      <c r="BT162" s="179"/>
      <c r="BU162" s="177">
        <v>2760</v>
      </c>
      <c r="BV162" s="178">
        <v>2553</v>
      </c>
      <c r="BW162" s="178">
        <v>483</v>
      </c>
      <c r="BX162" s="178">
        <v>1242</v>
      </c>
      <c r="BY162" s="179">
        <v>7038</v>
      </c>
      <c r="BZ162" s="177"/>
      <c r="CA162" s="178"/>
      <c r="CB162" s="178"/>
      <c r="CC162" s="178"/>
      <c r="CD162" s="179"/>
      <c r="CE162" s="177"/>
      <c r="CF162" s="178"/>
      <c r="CG162" s="178"/>
      <c r="CH162" s="178"/>
      <c r="CI162" s="179"/>
    </row>
    <row r="163" spans="1:87">
      <c r="A163" s="170" t="s">
        <v>147</v>
      </c>
      <c r="B163" s="171" t="s">
        <v>26</v>
      </c>
      <c r="C163" s="172">
        <f t="shared" si="42"/>
        <v>61065</v>
      </c>
      <c r="D163" s="173">
        <f t="shared" si="30"/>
        <v>56994</v>
      </c>
      <c r="E163" s="173">
        <f t="shared" si="31"/>
        <v>43746</v>
      </c>
      <c r="F163" s="173">
        <f t="shared" si="32"/>
        <v>18216</v>
      </c>
      <c r="G163" s="174">
        <f t="shared" si="33"/>
        <v>180021</v>
      </c>
      <c r="H163" s="172">
        <f t="shared" si="43"/>
        <v>61065</v>
      </c>
      <c r="I163" s="173">
        <f t="shared" si="34"/>
        <v>56994</v>
      </c>
      <c r="J163" s="173">
        <f t="shared" si="35"/>
        <v>43746</v>
      </c>
      <c r="K163" s="173">
        <f t="shared" si="36"/>
        <v>18216</v>
      </c>
      <c r="L163" s="174">
        <f t="shared" si="37"/>
        <v>180021</v>
      </c>
      <c r="M163" s="172"/>
      <c r="N163" s="173"/>
      <c r="O163" s="173"/>
      <c r="P163" s="173"/>
      <c r="Q163" s="174"/>
      <c r="R163" s="172">
        <v>34776</v>
      </c>
      <c r="S163" s="173">
        <v>44988</v>
      </c>
      <c r="T163" s="173">
        <v>27462</v>
      </c>
      <c r="U163" s="173">
        <v>9936</v>
      </c>
      <c r="V163" s="174">
        <v>117162</v>
      </c>
      <c r="W163" s="172"/>
      <c r="X163" s="173"/>
      <c r="Y163" s="173"/>
      <c r="Z163" s="173"/>
      <c r="AA163" s="174"/>
      <c r="AB163" s="172"/>
      <c r="AC163" s="173"/>
      <c r="AD163" s="173"/>
      <c r="AE163" s="173"/>
      <c r="AF163" s="174"/>
      <c r="AG163" s="172">
        <v>26289</v>
      </c>
      <c r="AH163" s="173">
        <v>12006</v>
      </c>
      <c r="AI163" s="173">
        <v>16284</v>
      </c>
      <c r="AJ163" s="173">
        <v>8280</v>
      </c>
      <c r="AK163" s="174">
        <v>62859</v>
      </c>
      <c r="AL163" s="172"/>
      <c r="AM163" s="173"/>
      <c r="AN163" s="173"/>
      <c r="AO163" s="173"/>
      <c r="AP163" s="174"/>
      <c r="AQ163" s="172"/>
      <c r="AR163" s="173"/>
      <c r="AS163" s="173"/>
      <c r="AT163" s="173"/>
      <c r="AU163" s="174"/>
      <c r="AV163" s="172"/>
      <c r="AW163" s="173"/>
      <c r="AX163" s="173"/>
      <c r="AY163" s="173"/>
      <c r="AZ163" s="174"/>
      <c r="BA163" s="172"/>
      <c r="BB163" s="173"/>
      <c r="BC163" s="173"/>
      <c r="BD163" s="173"/>
      <c r="BE163" s="174"/>
      <c r="BF163" s="172">
        <f t="shared" si="44"/>
        <v>0</v>
      </c>
      <c r="BG163" s="173">
        <f t="shared" si="38"/>
        <v>0</v>
      </c>
      <c r="BH163" s="173">
        <f t="shared" si="39"/>
        <v>0</v>
      </c>
      <c r="BI163" s="173">
        <f t="shared" si="40"/>
        <v>0</v>
      </c>
      <c r="BJ163" s="174">
        <f t="shared" si="41"/>
        <v>0</v>
      </c>
      <c r="BK163" s="172"/>
      <c r="BL163" s="173"/>
      <c r="BM163" s="173"/>
      <c r="BN163" s="173"/>
      <c r="BO163" s="174"/>
      <c r="BP163" s="172"/>
      <c r="BQ163" s="173"/>
      <c r="BR163" s="173"/>
      <c r="BS163" s="173"/>
      <c r="BT163" s="174"/>
      <c r="BU163" s="172"/>
      <c r="BV163" s="173"/>
      <c r="BW163" s="173"/>
      <c r="BX163" s="173"/>
      <c r="BY163" s="174"/>
      <c r="BZ163" s="172"/>
      <c r="CA163" s="173"/>
      <c r="CB163" s="173"/>
      <c r="CC163" s="173"/>
      <c r="CD163" s="174"/>
      <c r="CE163" s="172"/>
      <c r="CF163" s="173"/>
      <c r="CG163" s="173"/>
      <c r="CH163" s="173"/>
      <c r="CI163" s="174"/>
    </row>
    <row r="164" s="147" customFormat="1" ht="14.6" spans="1:87">
      <c r="A164" s="175" t="s">
        <v>148</v>
      </c>
      <c r="B164" s="176"/>
      <c r="C164" s="177">
        <f t="shared" si="42"/>
        <v>61065</v>
      </c>
      <c r="D164" s="178">
        <f t="shared" si="30"/>
        <v>56994</v>
      </c>
      <c r="E164" s="178">
        <f t="shared" si="31"/>
        <v>43746</v>
      </c>
      <c r="F164" s="178">
        <f t="shared" si="32"/>
        <v>18216</v>
      </c>
      <c r="G164" s="179">
        <f t="shared" si="33"/>
        <v>180021</v>
      </c>
      <c r="H164" s="177">
        <f t="shared" si="43"/>
        <v>61065</v>
      </c>
      <c r="I164" s="178">
        <f t="shared" si="34"/>
        <v>56994</v>
      </c>
      <c r="J164" s="178">
        <f t="shared" si="35"/>
        <v>43746</v>
      </c>
      <c r="K164" s="178">
        <f t="shared" si="36"/>
        <v>18216</v>
      </c>
      <c r="L164" s="179">
        <f t="shared" si="37"/>
        <v>180021</v>
      </c>
      <c r="M164" s="177"/>
      <c r="N164" s="178"/>
      <c r="O164" s="178"/>
      <c r="P164" s="178"/>
      <c r="Q164" s="179"/>
      <c r="R164" s="177">
        <v>34776</v>
      </c>
      <c r="S164" s="178">
        <v>44988</v>
      </c>
      <c r="T164" s="178">
        <v>27462</v>
      </c>
      <c r="U164" s="178">
        <v>9936</v>
      </c>
      <c r="V164" s="179">
        <v>117162</v>
      </c>
      <c r="W164" s="177"/>
      <c r="X164" s="178"/>
      <c r="Y164" s="178"/>
      <c r="Z164" s="178"/>
      <c r="AA164" s="179"/>
      <c r="AB164" s="177"/>
      <c r="AC164" s="178"/>
      <c r="AD164" s="178"/>
      <c r="AE164" s="178"/>
      <c r="AF164" s="179"/>
      <c r="AG164" s="177">
        <v>26289</v>
      </c>
      <c r="AH164" s="178">
        <v>12006</v>
      </c>
      <c r="AI164" s="178">
        <v>16284</v>
      </c>
      <c r="AJ164" s="178">
        <v>8280</v>
      </c>
      <c r="AK164" s="179">
        <v>62859</v>
      </c>
      <c r="AL164" s="177"/>
      <c r="AM164" s="178"/>
      <c r="AN164" s="178"/>
      <c r="AO164" s="178"/>
      <c r="AP164" s="179"/>
      <c r="AQ164" s="177"/>
      <c r="AR164" s="178"/>
      <c r="AS164" s="178"/>
      <c r="AT164" s="178"/>
      <c r="AU164" s="179"/>
      <c r="AV164" s="177"/>
      <c r="AW164" s="178"/>
      <c r="AX164" s="178"/>
      <c r="AY164" s="178"/>
      <c r="AZ164" s="179"/>
      <c r="BA164" s="177"/>
      <c r="BB164" s="178"/>
      <c r="BC164" s="178"/>
      <c r="BD164" s="178"/>
      <c r="BE164" s="179"/>
      <c r="BF164" s="177">
        <f t="shared" si="44"/>
        <v>0</v>
      </c>
      <c r="BG164" s="178">
        <f t="shared" si="38"/>
        <v>0</v>
      </c>
      <c r="BH164" s="178">
        <f t="shared" si="39"/>
        <v>0</v>
      </c>
      <c r="BI164" s="178">
        <f t="shared" si="40"/>
        <v>0</v>
      </c>
      <c r="BJ164" s="179">
        <f t="shared" si="41"/>
        <v>0</v>
      </c>
      <c r="BK164" s="177"/>
      <c r="BL164" s="178"/>
      <c r="BM164" s="178"/>
      <c r="BN164" s="178"/>
      <c r="BO164" s="179"/>
      <c r="BP164" s="177"/>
      <c r="BQ164" s="178"/>
      <c r="BR164" s="178"/>
      <c r="BS164" s="178"/>
      <c r="BT164" s="179"/>
      <c r="BU164" s="177"/>
      <c r="BV164" s="178"/>
      <c r="BW164" s="178"/>
      <c r="BX164" s="178"/>
      <c r="BY164" s="179"/>
      <c r="BZ164" s="177"/>
      <c r="CA164" s="178"/>
      <c r="CB164" s="178"/>
      <c r="CC164" s="178"/>
      <c r="CD164" s="179"/>
      <c r="CE164" s="177"/>
      <c r="CF164" s="178"/>
      <c r="CG164" s="178"/>
      <c r="CH164" s="178"/>
      <c r="CI164" s="179"/>
    </row>
    <row r="165" spans="1:87">
      <c r="A165" s="170" t="s">
        <v>149</v>
      </c>
      <c r="B165" s="171" t="s">
        <v>28</v>
      </c>
      <c r="C165" s="172">
        <f t="shared" si="42"/>
        <v>67909</v>
      </c>
      <c r="D165" s="173">
        <f t="shared" si="30"/>
        <v>41890</v>
      </c>
      <c r="E165" s="173">
        <f t="shared" si="31"/>
        <v>28320</v>
      </c>
      <c r="F165" s="173">
        <f t="shared" si="32"/>
        <v>34987</v>
      </c>
      <c r="G165" s="174">
        <f t="shared" si="33"/>
        <v>173106</v>
      </c>
      <c r="H165" s="172">
        <f t="shared" si="43"/>
        <v>66906</v>
      </c>
      <c r="I165" s="173">
        <f t="shared" si="34"/>
        <v>41831</v>
      </c>
      <c r="J165" s="173">
        <f t="shared" si="35"/>
        <v>28025</v>
      </c>
      <c r="K165" s="173">
        <f t="shared" si="36"/>
        <v>27081</v>
      </c>
      <c r="L165" s="174">
        <f t="shared" si="37"/>
        <v>163843</v>
      </c>
      <c r="M165" s="172">
        <v>5723</v>
      </c>
      <c r="N165" s="173">
        <v>1003</v>
      </c>
      <c r="O165" s="173">
        <v>236</v>
      </c>
      <c r="P165" s="173"/>
      <c r="Q165" s="174">
        <v>6962</v>
      </c>
      <c r="R165" s="172">
        <v>32804</v>
      </c>
      <c r="S165" s="173">
        <v>16520</v>
      </c>
      <c r="T165" s="173">
        <v>8260</v>
      </c>
      <c r="U165" s="173">
        <v>7434</v>
      </c>
      <c r="V165" s="174">
        <v>65018</v>
      </c>
      <c r="W165" s="172">
        <v>26078</v>
      </c>
      <c r="X165" s="173">
        <v>22361</v>
      </c>
      <c r="Y165" s="173">
        <v>17582</v>
      </c>
      <c r="Z165" s="173">
        <v>18054</v>
      </c>
      <c r="AA165" s="174">
        <v>84075</v>
      </c>
      <c r="AB165" s="172"/>
      <c r="AC165" s="173"/>
      <c r="AD165" s="173"/>
      <c r="AE165" s="173"/>
      <c r="AF165" s="174"/>
      <c r="AG165" s="172"/>
      <c r="AH165" s="173"/>
      <c r="AI165" s="173"/>
      <c r="AJ165" s="173"/>
      <c r="AK165" s="174"/>
      <c r="AL165" s="172">
        <v>2301</v>
      </c>
      <c r="AM165" s="173">
        <v>1947</v>
      </c>
      <c r="AN165" s="173">
        <v>1947</v>
      </c>
      <c r="AO165" s="173">
        <v>1593</v>
      </c>
      <c r="AP165" s="174">
        <v>7788</v>
      </c>
      <c r="AQ165" s="172"/>
      <c r="AR165" s="173"/>
      <c r="AS165" s="173"/>
      <c r="AT165" s="173"/>
      <c r="AU165" s="174"/>
      <c r="AV165" s="172"/>
      <c r="AW165" s="173"/>
      <c r="AX165" s="173"/>
      <c r="AY165" s="173"/>
      <c r="AZ165" s="174"/>
      <c r="BA165" s="172"/>
      <c r="BB165" s="173"/>
      <c r="BC165" s="173"/>
      <c r="BD165" s="173"/>
      <c r="BE165" s="174"/>
      <c r="BF165" s="172">
        <f t="shared" si="44"/>
        <v>1003</v>
      </c>
      <c r="BG165" s="173">
        <f t="shared" si="38"/>
        <v>59</v>
      </c>
      <c r="BH165" s="173">
        <f t="shared" si="39"/>
        <v>295</v>
      </c>
      <c r="BI165" s="173">
        <f t="shared" si="40"/>
        <v>7906</v>
      </c>
      <c r="BJ165" s="174">
        <f t="shared" si="41"/>
        <v>9263</v>
      </c>
      <c r="BK165" s="172"/>
      <c r="BL165" s="173"/>
      <c r="BM165" s="173"/>
      <c r="BN165" s="173"/>
      <c r="BO165" s="174"/>
      <c r="BP165" s="172"/>
      <c r="BQ165" s="173"/>
      <c r="BR165" s="173"/>
      <c r="BS165" s="173"/>
      <c r="BT165" s="174"/>
      <c r="BU165" s="172">
        <v>1003</v>
      </c>
      <c r="BV165" s="173">
        <v>59</v>
      </c>
      <c r="BW165" s="173">
        <v>295</v>
      </c>
      <c r="BX165" s="173">
        <v>7906</v>
      </c>
      <c r="BY165" s="174">
        <v>9263</v>
      </c>
      <c r="BZ165" s="172"/>
      <c r="CA165" s="173"/>
      <c r="CB165" s="173"/>
      <c r="CC165" s="173"/>
      <c r="CD165" s="174"/>
      <c r="CE165" s="172"/>
      <c r="CF165" s="173"/>
      <c r="CG165" s="173"/>
      <c r="CH165" s="173"/>
      <c r="CI165" s="174"/>
    </row>
    <row r="166" s="147" customFormat="1" ht="14.6" spans="1:87">
      <c r="A166" s="175" t="s">
        <v>150</v>
      </c>
      <c r="B166" s="176"/>
      <c r="C166" s="177">
        <f t="shared" si="42"/>
        <v>67909</v>
      </c>
      <c r="D166" s="178">
        <f t="shared" si="30"/>
        <v>41890</v>
      </c>
      <c r="E166" s="178">
        <f t="shared" si="31"/>
        <v>28320</v>
      </c>
      <c r="F166" s="178">
        <f t="shared" si="32"/>
        <v>34987</v>
      </c>
      <c r="G166" s="179">
        <f t="shared" si="33"/>
        <v>173106</v>
      </c>
      <c r="H166" s="177">
        <f t="shared" si="43"/>
        <v>66906</v>
      </c>
      <c r="I166" s="178">
        <f t="shared" si="34"/>
        <v>41831</v>
      </c>
      <c r="J166" s="178">
        <f t="shared" si="35"/>
        <v>28025</v>
      </c>
      <c r="K166" s="178">
        <f t="shared" si="36"/>
        <v>27081</v>
      </c>
      <c r="L166" s="179">
        <f t="shared" si="37"/>
        <v>163843</v>
      </c>
      <c r="M166" s="177">
        <v>5723</v>
      </c>
      <c r="N166" s="178">
        <v>1003</v>
      </c>
      <c r="O166" s="178">
        <v>236</v>
      </c>
      <c r="P166" s="178"/>
      <c r="Q166" s="179">
        <v>6962</v>
      </c>
      <c r="R166" s="177">
        <v>32804</v>
      </c>
      <c r="S166" s="178">
        <v>16520</v>
      </c>
      <c r="T166" s="178">
        <v>8260</v>
      </c>
      <c r="U166" s="178">
        <v>7434</v>
      </c>
      <c r="V166" s="179">
        <v>65018</v>
      </c>
      <c r="W166" s="177">
        <v>26078</v>
      </c>
      <c r="X166" s="178">
        <v>22361</v>
      </c>
      <c r="Y166" s="178">
        <v>17582</v>
      </c>
      <c r="Z166" s="178">
        <v>18054</v>
      </c>
      <c r="AA166" s="179">
        <v>84075</v>
      </c>
      <c r="AB166" s="177"/>
      <c r="AC166" s="178"/>
      <c r="AD166" s="178"/>
      <c r="AE166" s="178"/>
      <c r="AF166" s="179"/>
      <c r="AG166" s="177"/>
      <c r="AH166" s="178"/>
      <c r="AI166" s="178"/>
      <c r="AJ166" s="178"/>
      <c r="AK166" s="179"/>
      <c r="AL166" s="177">
        <v>2301</v>
      </c>
      <c r="AM166" s="178">
        <v>1947</v>
      </c>
      <c r="AN166" s="178">
        <v>1947</v>
      </c>
      <c r="AO166" s="178">
        <v>1593</v>
      </c>
      <c r="AP166" s="179">
        <v>7788</v>
      </c>
      <c r="AQ166" s="177"/>
      <c r="AR166" s="178"/>
      <c r="AS166" s="178"/>
      <c r="AT166" s="178"/>
      <c r="AU166" s="179"/>
      <c r="AV166" s="177"/>
      <c r="AW166" s="178"/>
      <c r="AX166" s="178"/>
      <c r="AY166" s="178"/>
      <c r="AZ166" s="179"/>
      <c r="BA166" s="177"/>
      <c r="BB166" s="178"/>
      <c r="BC166" s="178"/>
      <c r="BD166" s="178"/>
      <c r="BE166" s="179"/>
      <c r="BF166" s="177">
        <f t="shared" si="44"/>
        <v>1003</v>
      </c>
      <c r="BG166" s="178">
        <f t="shared" si="38"/>
        <v>59</v>
      </c>
      <c r="BH166" s="178">
        <f t="shared" si="39"/>
        <v>295</v>
      </c>
      <c r="BI166" s="178">
        <f t="shared" si="40"/>
        <v>7906</v>
      </c>
      <c r="BJ166" s="179">
        <f t="shared" si="41"/>
        <v>9263</v>
      </c>
      <c r="BK166" s="177"/>
      <c r="BL166" s="178"/>
      <c r="BM166" s="178"/>
      <c r="BN166" s="178"/>
      <c r="BO166" s="179"/>
      <c r="BP166" s="177"/>
      <c r="BQ166" s="178"/>
      <c r="BR166" s="178"/>
      <c r="BS166" s="178"/>
      <c r="BT166" s="179"/>
      <c r="BU166" s="177">
        <v>1003</v>
      </c>
      <c r="BV166" s="178">
        <v>59</v>
      </c>
      <c r="BW166" s="178">
        <v>295</v>
      </c>
      <c r="BX166" s="178">
        <v>7906</v>
      </c>
      <c r="BY166" s="179">
        <v>9263</v>
      </c>
      <c r="BZ166" s="177"/>
      <c r="CA166" s="178"/>
      <c r="CB166" s="178"/>
      <c r="CC166" s="178"/>
      <c r="CD166" s="179"/>
      <c r="CE166" s="177"/>
      <c r="CF166" s="178"/>
      <c r="CG166" s="178"/>
      <c r="CH166" s="178"/>
      <c r="CI166" s="179"/>
    </row>
    <row r="167" spans="1:87">
      <c r="A167" s="170" t="s">
        <v>151</v>
      </c>
      <c r="B167" s="171" t="s">
        <v>26</v>
      </c>
      <c r="C167" s="172">
        <f t="shared" si="42"/>
        <v>62629</v>
      </c>
      <c r="D167" s="173">
        <f t="shared" si="30"/>
        <v>44827</v>
      </c>
      <c r="E167" s="173">
        <f t="shared" si="31"/>
        <v>27600</v>
      </c>
      <c r="F167" s="173">
        <f t="shared" si="32"/>
        <v>9936</v>
      </c>
      <c r="G167" s="174">
        <f t="shared" si="33"/>
        <v>144992</v>
      </c>
      <c r="H167" s="172">
        <f t="shared" si="43"/>
        <v>59938</v>
      </c>
      <c r="I167" s="173">
        <f t="shared" si="34"/>
        <v>44827</v>
      </c>
      <c r="J167" s="173">
        <f t="shared" si="35"/>
        <v>27600</v>
      </c>
      <c r="K167" s="173">
        <f t="shared" si="36"/>
        <v>9936</v>
      </c>
      <c r="L167" s="174">
        <f t="shared" si="37"/>
        <v>142301</v>
      </c>
      <c r="M167" s="172">
        <v>31694</v>
      </c>
      <c r="N167" s="173">
        <v>19734</v>
      </c>
      <c r="O167" s="173">
        <v>7176</v>
      </c>
      <c r="P167" s="173">
        <v>2691</v>
      </c>
      <c r="Q167" s="174">
        <v>61295</v>
      </c>
      <c r="R167" s="172">
        <v>13754</v>
      </c>
      <c r="S167" s="173">
        <v>16744</v>
      </c>
      <c r="T167" s="173">
        <v>16146</v>
      </c>
      <c r="U167" s="173">
        <v>3588</v>
      </c>
      <c r="V167" s="174">
        <v>50232</v>
      </c>
      <c r="W167" s="172">
        <v>9568</v>
      </c>
      <c r="X167" s="173">
        <v>4784</v>
      </c>
      <c r="Y167" s="173"/>
      <c r="Z167" s="173"/>
      <c r="AA167" s="174">
        <v>14352</v>
      </c>
      <c r="AB167" s="172">
        <v>1242</v>
      </c>
      <c r="AC167" s="173">
        <v>690</v>
      </c>
      <c r="AD167" s="173">
        <v>966</v>
      </c>
      <c r="AE167" s="173"/>
      <c r="AF167" s="174">
        <v>2898</v>
      </c>
      <c r="AG167" s="172"/>
      <c r="AH167" s="173"/>
      <c r="AI167" s="173"/>
      <c r="AJ167" s="173"/>
      <c r="AK167" s="174"/>
      <c r="AL167" s="172">
        <v>1196</v>
      </c>
      <c r="AM167" s="173">
        <v>1196</v>
      </c>
      <c r="AN167" s="173">
        <v>1196</v>
      </c>
      <c r="AO167" s="173">
        <v>1495</v>
      </c>
      <c r="AP167" s="174">
        <v>5083</v>
      </c>
      <c r="AQ167" s="172">
        <v>1794</v>
      </c>
      <c r="AR167" s="173">
        <v>1196</v>
      </c>
      <c r="AS167" s="173">
        <v>1495</v>
      </c>
      <c r="AT167" s="173">
        <v>2093</v>
      </c>
      <c r="AU167" s="174">
        <v>6578</v>
      </c>
      <c r="AV167" s="172">
        <v>690</v>
      </c>
      <c r="AW167" s="173">
        <v>483</v>
      </c>
      <c r="AX167" s="173">
        <v>621</v>
      </c>
      <c r="AY167" s="173">
        <v>69</v>
      </c>
      <c r="AZ167" s="174">
        <v>1863</v>
      </c>
      <c r="BA167" s="172"/>
      <c r="BB167" s="173"/>
      <c r="BC167" s="173"/>
      <c r="BD167" s="173"/>
      <c r="BE167" s="174"/>
      <c r="BF167" s="172">
        <f t="shared" si="44"/>
        <v>2691</v>
      </c>
      <c r="BG167" s="173">
        <f t="shared" si="38"/>
        <v>0</v>
      </c>
      <c r="BH167" s="173">
        <f t="shared" si="39"/>
        <v>0</v>
      </c>
      <c r="BI167" s="173">
        <f t="shared" si="40"/>
        <v>0</v>
      </c>
      <c r="BJ167" s="174">
        <f t="shared" si="41"/>
        <v>2691</v>
      </c>
      <c r="BK167" s="172"/>
      <c r="BL167" s="173"/>
      <c r="BM167" s="173"/>
      <c r="BN167" s="173"/>
      <c r="BO167" s="174"/>
      <c r="BP167" s="172">
        <v>2691</v>
      </c>
      <c r="BQ167" s="173"/>
      <c r="BR167" s="173"/>
      <c r="BS167" s="173"/>
      <c r="BT167" s="174">
        <v>2691</v>
      </c>
      <c r="BU167" s="172"/>
      <c r="BV167" s="173"/>
      <c r="BW167" s="173"/>
      <c r="BX167" s="173"/>
      <c r="BY167" s="174"/>
      <c r="BZ167" s="172"/>
      <c r="CA167" s="173"/>
      <c r="CB167" s="173"/>
      <c r="CC167" s="173"/>
      <c r="CD167" s="174"/>
      <c r="CE167" s="172"/>
      <c r="CF167" s="173"/>
      <c r="CG167" s="173"/>
      <c r="CH167" s="173"/>
      <c r="CI167" s="174"/>
    </row>
    <row r="168" s="147" customFormat="1" ht="14.6" spans="1:87">
      <c r="A168" s="175" t="s">
        <v>152</v>
      </c>
      <c r="B168" s="176"/>
      <c r="C168" s="177">
        <f t="shared" si="42"/>
        <v>62629</v>
      </c>
      <c r="D168" s="178">
        <f t="shared" si="30"/>
        <v>44827</v>
      </c>
      <c r="E168" s="178">
        <f t="shared" si="31"/>
        <v>27600</v>
      </c>
      <c r="F168" s="178">
        <f t="shared" si="32"/>
        <v>9936</v>
      </c>
      <c r="G168" s="179">
        <f t="shared" si="33"/>
        <v>144992</v>
      </c>
      <c r="H168" s="177">
        <f t="shared" si="43"/>
        <v>59938</v>
      </c>
      <c r="I168" s="178">
        <f t="shared" si="34"/>
        <v>44827</v>
      </c>
      <c r="J168" s="178">
        <f t="shared" si="35"/>
        <v>27600</v>
      </c>
      <c r="K168" s="178">
        <f t="shared" si="36"/>
        <v>9936</v>
      </c>
      <c r="L168" s="179">
        <f t="shared" si="37"/>
        <v>142301</v>
      </c>
      <c r="M168" s="177">
        <v>31694</v>
      </c>
      <c r="N168" s="178">
        <v>19734</v>
      </c>
      <c r="O168" s="178">
        <v>7176</v>
      </c>
      <c r="P168" s="178">
        <v>2691</v>
      </c>
      <c r="Q168" s="179">
        <v>61295</v>
      </c>
      <c r="R168" s="177">
        <v>13754</v>
      </c>
      <c r="S168" s="178">
        <v>16744</v>
      </c>
      <c r="T168" s="178">
        <v>16146</v>
      </c>
      <c r="U168" s="178">
        <v>3588</v>
      </c>
      <c r="V168" s="179">
        <v>50232</v>
      </c>
      <c r="W168" s="177">
        <v>9568</v>
      </c>
      <c r="X168" s="178">
        <v>4784</v>
      </c>
      <c r="Y168" s="178"/>
      <c r="Z168" s="178"/>
      <c r="AA168" s="179">
        <v>14352</v>
      </c>
      <c r="AB168" s="177">
        <v>1242</v>
      </c>
      <c r="AC168" s="178">
        <v>690</v>
      </c>
      <c r="AD168" s="178">
        <v>966</v>
      </c>
      <c r="AE168" s="178"/>
      <c r="AF168" s="179">
        <v>2898</v>
      </c>
      <c r="AG168" s="177"/>
      <c r="AH168" s="178"/>
      <c r="AI168" s="178"/>
      <c r="AJ168" s="178"/>
      <c r="AK168" s="179"/>
      <c r="AL168" s="177">
        <v>1196</v>
      </c>
      <c r="AM168" s="178">
        <v>1196</v>
      </c>
      <c r="AN168" s="178">
        <v>1196</v>
      </c>
      <c r="AO168" s="178">
        <v>1495</v>
      </c>
      <c r="AP168" s="179">
        <v>5083</v>
      </c>
      <c r="AQ168" s="177">
        <v>1794</v>
      </c>
      <c r="AR168" s="178">
        <v>1196</v>
      </c>
      <c r="AS168" s="178">
        <v>1495</v>
      </c>
      <c r="AT168" s="178">
        <v>2093</v>
      </c>
      <c r="AU168" s="179">
        <v>6578</v>
      </c>
      <c r="AV168" s="177">
        <v>690</v>
      </c>
      <c r="AW168" s="178">
        <v>483</v>
      </c>
      <c r="AX168" s="178">
        <v>621</v>
      </c>
      <c r="AY168" s="178">
        <v>69</v>
      </c>
      <c r="AZ168" s="179">
        <v>1863</v>
      </c>
      <c r="BA168" s="177"/>
      <c r="BB168" s="178"/>
      <c r="BC168" s="178"/>
      <c r="BD168" s="178"/>
      <c r="BE168" s="179"/>
      <c r="BF168" s="177">
        <f t="shared" si="44"/>
        <v>2691</v>
      </c>
      <c r="BG168" s="178">
        <f t="shared" si="38"/>
        <v>0</v>
      </c>
      <c r="BH168" s="178">
        <f t="shared" si="39"/>
        <v>0</v>
      </c>
      <c r="BI168" s="178">
        <f t="shared" si="40"/>
        <v>0</v>
      </c>
      <c r="BJ168" s="179">
        <f t="shared" si="41"/>
        <v>2691</v>
      </c>
      <c r="BK168" s="177"/>
      <c r="BL168" s="178"/>
      <c r="BM168" s="178"/>
      <c r="BN168" s="178"/>
      <c r="BO168" s="179"/>
      <c r="BP168" s="177">
        <v>2691</v>
      </c>
      <c r="BQ168" s="178"/>
      <c r="BR168" s="178"/>
      <c r="BS168" s="178"/>
      <c r="BT168" s="179">
        <v>2691</v>
      </c>
      <c r="BU168" s="177"/>
      <c r="BV168" s="178"/>
      <c r="BW168" s="178"/>
      <c r="BX168" s="178"/>
      <c r="BY168" s="179"/>
      <c r="BZ168" s="177"/>
      <c r="CA168" s="178"/>
      <c r="CB168" s="178"/>
      <c r="CC168" s="178"/>
      <c r="CD168" s="179"/>
      <c r="CE168" s="177"/>
      <c r="CF168" s="178"/>
      <c r="CG168" s="178"/>
      <c r="CH168" s="178"/>
      <c r="CI168" s="179"/>
    </row>
    <row r="169" spans="1:87">
      <c r="A169" s="170" t="s">
        <v>153</v>
      </c>
      <c r="B169" s="171" t="s">
        <v>26</v>
      </c>
      <c r="C169" s="172">
        <f t="shared" si="42"/>
        <v>41745</v>
      </c>
      <c r="D169" s="173">
        <f t="shared" si="30"/>
        <v>37605</v>
      </c>
      <c r="E169" s="173">
        <f t="shared" si="31"/>
        <v>39339</v>
      </c>
      <c r="F169" s="173">
        <f t="shared" si="32"/>
        <v>25056</v>
      </c>
      <c r="G169" s="174">
        <f t="shared" si="33"/>
        <v>143745</v>
      </c>
      <c r="H169" s="172">
        <f t="shared" si="43"/>
        <v>38778</v>
      </c>
      <c r="I169" s="173">
        <f t="shared" si="34"/>
        <v>34914</v>
      </c>
      <c r="J169" s="173">
        <f t="shared" si="35"/>
        <v>36234</v>
      </c>
      <c r="K169" s="173">
        <f t="shared" si="36"/>
        <v>22158</v>
      </c>
      <c r="L169" s="174">
        <f t="shared" si="37"/>
        <v>132084</v>
      </c>
      <c r="M169" s="172">
        <v>10488</v>
      </c>
      <c r="N169" s="173">
        <v>11178</v>
      </c>
      <c r="O169" s="173">
        <v>9522</v>
      </c>
      <c r="P169" s="173">
        <v>7797</v>
      </c>
      <c r="Q169" s="174">
        <v>38985</v>
      </c>
      <c r="R169" s="172">
        <v>690</v>
      </c>
      <c r="S169" s="173">
        <v>138</v>
      </c>
      <c r="T169" s="173"/>
      <c r="U169" s="173"/>
      <c r="V169" s="174">
        <v>828</v>
      </c>
      <c r="W169" s="172">
        <v>1380</v>
      </c>
      <c r="X169" s="173">
        <v>1311</v>
      </c>
      <c r="Y169" s="173">
        <v>1311</v>
      </c>
      <c r="Z169" s="173">
        <v>414</v>
      </c>
      <c r="AA169" s="174">
        <v>4416</v>
      </c>
      <c r="AB169" s="172">
        <v>15042</v>
      </c>
      <c r="AC169" s="173">
        <v>14352</v>
      </c>
      <c r="AD169" s="173">
        <v>11868</v>
      </c>
      <c r="AE169" s="173">
        <v>5934</v>
      </c>
      <c r="AF169" s="174">
        <v>47196</v>
      </c>
      <c r="AG169" s="172">
        <v>2829</v>
      </c>
      <c r="AH169" s="173">
        <v>2001</v>
      </c>
      <c r="AI169" s="173">
        <v>1518</v>
      </c>
      <c r="AJ169" s="173"/>
      <c r="AK169" s="174">
        <v>6348</v>
      </c>
      <c r="AL169" s="172">
        <v>207</v>
      </c>
      <c r="AM169" s="173">
        <v>414</v>
      </c>
      <c r="AN169" s="173">
        <v>966</v>
      </c>
      <c r="AO169" s="173">
        <v>1380</v>
      </c>
      <c r="AP169" s="174">
        <v>2967</v>
      </c>
      <c r="AQ169" s="172">
        <v>4347</v>
      </c>
      <c r="AR169" s="173">
        <v>3036</v>
      </c>
      <c r="AS169" s="173">
        <v>4761</v>
      </c>
      <c r="AT169" s="173">
        <v>3864</v>
      </c>
      <c r="AU169" s="174">
        <v>16008</v>
      </c>
      <c r="AV169" s="172">
        <v>1242</v>
      </c>
      <c r="AW169" s="173">
        <v>483</v>
      </c>
      <c r="AX169" s="173">
        <v>759</v>
      </c>
      <c r="AY169" s="173">
        <v>621</v>
      </c>
      <c r="AZ169" s="174">
        <v>3105</v>
      </c>
      <c r="BA169" s="172">
        <v>2553</v>
      </c>
      <c r="BB169" s="173">
        <v>2001</v>
      </c>
      <c r="BC169" s="173">
        <v>5529</v>
      </c>
      <c r="BD169" s="173">
        <v>2148</v>
      </c>
      <c r="BE169" s="174">
        <v>12231</v>
      </c>
      <c r="BF169" s="172">
        <f t="shared" si="44"/>
        <v>2967</v>
      </c>
      <c r="BG169" s="173">
        <f t="shared" si="38"/>
        <v>2691</v>
      </c>
      <c r="BH169" s="173">
        <f t="shared" si="39"/>
        <v>3105</v>
      </c>
      <c r="BI169" s="173">
        <f t="shared" si="40"/>
        <v>2898</v>
      </c>
      <c r="BJ169" s="174">
        <f t="shared" si="41"/>
        <v>11661</v>
      </c>
      <c r="BK169" s="172"/>
      <c r="BL169" s="173"/>
      <c r="BM169" s="173"/>
      <c r="BN169" s="173"/>
      <c r="BO169" s="174"/>
      <c r="BP169" s="172">
        <v>690</v>
      </c>
      <c r="BQ169" s="173">
        <v>1380</v>
      </c>
      <c r="BR169" s="173">
        <v>1311</v>
      </c>
      <c r="BS169" s="173">
        <v>414</v>
      </c>
      <c r="BT169" s="174">
        <v>3795</v>
      </c>
      <c r="BU169" s="172">
        <v>2277</v>
      </c>
      <c r="BV169" s="173">
        <v>1311</v>
      </c>
      <c r="BW169" s="173">
        <v>1587</v>
      </c>
      <c r="BX169" s="173">
        <v>2415</v>
      </c>
      <c r="BY169" s="174">
        <v>7590</v>
      </c>
      <c r="BZ169" s="172"/>
      <c r="CA169" s="173"/>
      <c r="CB169" s="173">
        <v>207</v>
      </c>
      <c r="CC169" s="173">
        <v>69</v>
      </c>
      <c r="CD169" s="174">
        <v>276</v>
      </c>
      <c r="CE169" s="172"/>
      <c r="CF169" s="173"/>
      <c r="CG169" s="173"/>
      <c r="CH169" s="173"/>
      <c r="CI169" s="174"/>
    </row>
    <row r="170" s="147" customFormat="1" ht="14.6" spans="1:87">
      <c r="A170" s="175" t="s">
        <v>154</v>
      </c>
      <c r="B170" s="176"/>
      <c r="C170" s="177">
        <f t="shared" si="42"/>
        <v>41745</v>
      </c>
      <c r="D170" s="178">
        <f t="shared" si="30"/>
        <v>37605</v>
      </c>
      <c r="E170" s="178">
        <f t="shared" si="31"/>
        <v>39339</v>
      </c>
      <c r="F170" s="178">
        <f t="shared" si="32"/>
        <v>25056</v>
      </c>
      <c r="G170" s="179">
        <f t="shared" si="33"/>
        <v>143745</v>
      </c>
      <c r="H170" s="177">
        <f t="shared" si="43"/>
        <v>38778</v>
      </c>
      <c r="I170" s="178">
        <f t="shared" si="34"/>
        <v>34914</v>
      </c>
      <c r="J170" s="178">
        <f t="shared" si="35"/>
        <v>36234</v>
      </c>
      <c r="K170" s="178">
        <f t="shared" si="36"/>
        <v>22158</v>
      </c>
      <c r="L170" s="179">
        <f t="shared" si="37"/>
        <v>132084</v>
      </c>
      <c r="M170" s="177">
        <v>10488</v>
      </c>
      <c r="N170" s="178">
        <v>11178</v>
      </c>
      <c r="O170" s="178">
        <v>9522</v>
      </c>
      <c r="P170" s="178">
        <v>7797</v>
      </c>
      <c r="Q170" s="179">
        <v>38985</v>
      </c>
      <c r="R170" s="177">
        <v>690</v>
      </c>
      <c r="S170" s="178">
        <v>138</v>
      </c>
      <c r="T170" s="178"/>
      <c r="U170" s="178"/>
      <c r="V170" s="179">
        <v>828</v>
      </c>
      <c r="W170" s="177">
        <v>1380</v>
      </c>
      <c r="X170" s="178">
        <v>1311</v>
      </c>
      <c r="Y170" s="178">
        <v>1311</v>
      </c>
      <c r="Z170" s="178">
        <v>414</v>
      </c>
      <c r="AA170" s="179">
        <v>4416</v>
      </c>
      <c r="AB170" s="177">
        <v>15042</v>
      </c>
      <c r="AC170" s="178">
        <v>14352</v>
      </c>
      <c r="AD170" s="178">
        <v>11868</v>
      </c>
      <c r="AE170" s="178">
        <v>5934</v>
      </c>
      <c r="AF170" s="179">
        <v>47196</v>
      </c>
      <c r="AG170" s="177">
        <v>2829</v>
      </c>
      <c r="AH170" s="178">
        <v>2001</v>
      </c>
      <c r="AI170" s="178">
        <v>1518</v>
      </c>
      <c r="AJ170" s="178"/>
      <c r="AK170" s="179">
        <v>6348</v>
      </c>
      <c r="AL170" s="177">
        <v>207</v>
      </c>
      <c r="AM170" s="178">
        <v>414</v>
      </c>
      <c r="AN170" s="178">
        <v>966</v>
      </c>
      <c r="AO170" s="178">
        <v>1380</v>
      </c>
      <c r="AP170" s="179">
        <v>2967</v>
      </c>
      <c r="AQ170" s="177">
        <v>4347</v>
      </c>
      <c r="AR170" s="178">
        <v>3036</v>
      </c>
      <c r="AS170" s="178">
        <v>4761</v>
      </c>
      <c r="AT170" s="178">
        <v>3864</v>
      </c>
      <c r="AU170" s="179">
        <v>16008</v>
      </c>
      <c r="AV170" s="177">
        <v>1242</v>
      </c>
      <c r="AW170" s="178">
        <v>483</v>
      </c>
      <c r="AX170" s="178">
        <v>759</v>
      </c>
      <c r="AY170" s="178">
        <v>621</v>
      </c>
      <c r="AZ170" s="179">
        <v>3105</v>
      </c>
      <c r="BA170" s="177">
        <v>2553</v>
      </c>
      <c r="BB170" s="178">
        <v>2001</v>
      </c>
      <c r="BC170" s="178">
        <v>5529</v>
      </c>
      <c r="BD170" s="178">
        <v>2148</v>
      </c>
      <c r="BE170" s="179">
        <v>12231</v>
      </c>
      <c r="BF170" s="177">
        <f t="shared" si="44"/>
        <v>2967</v>
      </c>
      <c r="BG170" s="178">
        <f t="shared" si="38"/>
        <v>2691</v>
      </c>
      <c r="BH170" s="178">
        <f t="shared" si="39"/>
        <v>3105</v>
      </c>
      <c r="BI170" s="178">
        <f t="shared" si="40"/>
        <v>2898</v>
      </c>
      <c r="BJ170" s="179">
        <f t="shared" si="41"/>
        <v>11661</v>
      </c>
      <c r="BK170" s="177"/>
      <c r="BL170" s="178"/>
      <c r="BM170" s="178"/>
      <c r="BN170" s="178"/>
      <c r="BO170" s="179"/>
      <c r="BP170" s="177">
        <v>690</v>
      </c>
      <c r="BQ170" s="178">
        <v>1380</v>
      </c>
      <c r="BR170" s="178">
        <v>1311</v>
      </c>
      <c r="BS170" s="178">
        <v>414</v>
      </c>
      <c r="BT170" s="179">
        <v>3795</v>
      </c>
      <c r="BU170" s="177">
        <v>2277</v>
      </c>
      <c r="BV170" s="178">
        <v>1311</v>
      </c>
      <c r="BW170" s="178">
        <v>1587</v>
      </c>
      <c r="BX170" s="178">
        <v>2415</v>
      </c>
      <c r="BY170" s="179">
        <v>7590</v>
      </c>
      <c r="BZ170" s="177"/>
      <c r="CA170" s="178"/>
      <c r="CB170" s="178">
        <v>207</v>
      </c>
      <c r="CC170" s="178">
        <v>69</v>
      </c>
      <c r="CD170" s="179">
        <v>276</v>
      </c>
      <c r="CE170" s="177"/>
      <c r="CF170" s="178"/>
      <c r="CG170" s="178"/>
      <c r="CH170" s="178"/>
      <c r="CI170" s="179"/>
    </row>
    <row r="171" spans="1:87">
      <c r="A171" s="170" t="s">
        <v>155</v>
      </c>
      <c r="B171" s="171" t="s">
        <v>26</v>
      </c>
      <c r="C171" s="172">
        <f t="shared" si="42"/>
        <v>45609</v>
      </c>
      <c r="D171" s="173">
        <f t="shared" si="30"/>
        <v>29118</v>
      </c>
      <c r="E171" s="173">
        <f t="shared" si="31"/>
        <v>36639</v>
      </c>
      <c r="F171" s="173">
        <f t="shared" si="32"/>
        <v>29187</v>
      </c>
      <c r="G171" s="174">
        <f t="shared" si="33"/>
        <v>140553</v>
      </c>
      <c r="H171" s="172">
        <f t="shared" si="43"/>
        <v>45609</v>
      </c>
      <c r="I171" s="173">
        <f t="shared" si="34"/>
        <v>29118</v>
      </c>
      <c r="J171" s="173">
        <f t="shared" si="35"/>
        <v>36639</v>
      </c>
      <c r="K171" s="173">
        <f t="shared" si="36"/>
        <v>29187</v>
      </c>
      <c r="L171" s="174">
        <f t="shared" si="37"/>
        <v>140553</v>
      </c>
      <c r="M171" s="172"/>
      <c r="N171" s="173"/>
      <c r="O171" s="173"/>
      <c r="P171" s="173"/>
      <c r="Q171" s="174"/>
      <c r="R171" s="172"/>
      <c r="S171" s="173"/>
      <c r="T171" s="173"/>
      <c r="U171" s="173"/>
      <c r="V171" s="174"/>
      <c r="W171" s="172"/>
      <c r="X171" s="173"/>
      <c r="Y171" s="173"/>
      <c r="Z171" s="173"/>
      <c r="AA171" s="174"/>
      <c r="AB171" s="172">
        <v>10971</v>
      </c>
      <c r="AC171" s="173">
        <v>2139</v>
      </c>
      <c r="AD171" s="173">
        <v>8556</v>
      </c>
      <c r="AE171" s="173">
        <v>8487</v>
      </c>
      <c r="AF171" s="174">
        <v>30153</v>
      </c>
      <c r="AG171" s="172">
        <v>32361</v>
      </c>
      <c r="AH171" s="173">
        <v>25737</v>
      </c>
      <c r="AI171" s="173">
        <v>26082</v>
      </c>
      <c r="AJ171" s="173">
        <v>19734</v>
      </c>
      <c r="AK171" s="174">
        <v>103914</v>
      </c>
      <c r="AL171" s="172"/>
      <c r="AM171" s="173"/>
      <c r="AN171" s="173"/>
      <c r="AO171" s="173"/>
      <c r="AP171" s="174"/>
      <c r="AQ171" s="172">
        <v>2277</v>
      </c>
      <c r="AR171" s="173">
        <v>1242</v>
      </c>
      <c r="AS171" s="173">
        <v>2001</v>
      </c>
      <c r="AT171" s="173">
        <v>966</v>
      </c>
      <c r="AU171" s="174">
        <v>6486</v>
      </c>
      <c r="AV171" s="172"/>
      <c r="AW171" s="173"/>
      <c r="AX171" s="173"/>
      <c r="AY171" s="173"/>
      <c r="AZ171" s="174"/>
      <c r="BA171" s="172"/>
      <c r="BB171" s="173"/>
      <c r="BC171" s="173"/>
      <c r="BD171" s="173"/>
      <c r="BE171" s="174"/>
      <c r="BF171" s="172">
        <f t="shared" si="44"/>
        <v>0</v>
      </c>
      <c r="BG171" s="173">
        <f t="shared" si="38"/>
        <v>0</v>
      </c>
      <c r="BH171" s="173">
        <f t="shared" si="39"/>
        <v>0</v>
      </c>
      <c r="BI171" s="173">
        <f t="shared" si="40"/>
        <v>0</v>
      </c>
      <c r="BJ171" s="174">
        <f t="shared" si="41"/>
        <v>0</v>
      </c>
      <c r="BK171" s="172"/>
      <c r="BL171" s="173"/>
      <c r="BM171" s="173"/>
      <c r="BN171" s="173"/>
      <c r="BO171" s="174"/>
      <c r="BP171" s="172"/>
      <c r="BQ171" s="173"/>
      <c r="BR171" s="173"/>
      <c r="BS171" s="173"/>
      <c r="BT171" s="174"/>
      <c r="BU171" s="172"/>
      <c r="BV171" s="173"/>
      <c r="BW171" s="173"/>
      <c r="BX171" s="173"/>
      <c r="BY171" s="174"/>
      <c r="BZ171" s="172"/>
      <c r="CA171" s="173"/>
      <c r="CB171" s="173"/>
      <c r="CC171" s="173"/>
      <c r="CD171" s="174"/>
      <c r="CE171" s="172"/>
      <c r="CF171" s="173"/>
      <c r="CG171" s="173"/>
      <c r="CH171" s="173"/>
      <c r="CI171" s="174"/>
    </row>
    <row r="172" s="147" customFormat="1" ht="14.6" spans="1:87">
      <c r="A172" s="175" t="s">
        <v>156</v>
      </c>
      <c r="B172" s="176"/>
      <c r="C172" s="177">
        <f t="shared" si="42"/>
        <v>45609</v>
      </c>
      <c r="D172" s="178">
        <f t="shared" si="30"/>
        <v>29118</v>
      </c>
      <c r="E172" s="178">
        <f t="shared" si="31"/>
        <v>36639</v>
      </c>
      <c r="F172" s="178">
        <f t="shared" si="32"/>
        <v>29187</v>
      </c>
      <c r="G172" s="179">
        <f t="shared" si="33"/>
        <v>140553</v>
      </c>
      <c r="H172" s="177">
        <f t="shared" si="43"/>
        <v>45609</v>
      </c>
      <c r="I172" s="178">
        <f t="shared" si="34"/>
        <v>29118</v>
      </c>
      <c r="J172" s="178">
        <f t="shared" si="35"/>
        <v>36639</v>
      </c>
      <c r="K172" s="178">
        <f t="shared" si="36"/>
        <v>29187</v>
      </c>
      <c r="L172" s="179">
        <f t="shared" si="37"/>
        <v>140553</v>
      </c>
      <c r="M172" s="177"/>
      <c r="N172" s="178"/>
      <c r="O172" s="178"/>
      <c r="P172" s="178"/>
      <c r="Q172" s="179"/>
      <c r="R172" s="177"/>
      <c r="S172" s="178"/>
      <c r="T172" s="178"/>
      <c r="U172" s="178"/>
      <c r="V172" s="179"/>
      <c r="W172" s="177"/>
      <c r="X172" s="178"/>
      <c r="Y172" s="178"/>
      <c r="Z172" s="178"/>
      <c r="AA172" s="179"/>
      <c r="AB172" s="177">
        <v>10971</v>
      </c>
      <c r="AC172" s="178">
        <v>2139</v>
      </c>
      <c r="AD172" s="178">
        <v>8556</v>
      </c>
      <c r="AE172" s="178">
        <v>8487</v>
      </c>
      <c r="AF172" s="179">
        <v>30153</v>
      </c>
      <c r="AG172" s="177">
        <v>32361</v>
      </c>
      <c r="AH172" s="178">
        <v>25737</v>
      </c>
      <c r="AI172" s="178">
        <v>26082</v>
      </c>
      <c r="AJ172" s="178">
        <v>19734</v>
      </c>
      <c r="AK172" s="179">
        <v>103914</v>
      </c>
      <c r="AL172" s="177"/>
      <c r="AM172" s="178"/>
      <c r="AN172" s="178"/>
      <c r="AO172" s="178"/>
      <c r="AP172" s="179"/>
      <c r="AQ172" s="177">
        <v>2277</v>
      </c>
      <c r="AR172" s="178">
        <v>1242</v>
      </c>
      <c r="AS172" s="178">
        <v>2001</v>
      </c>
      <c r="AT172" s="178">
        <v>966</v>
      </c>
      <c r="AU172" s="179">
        <v>6486</v>
      </c>
      <c r="AV172" s="177"/>
      <c r="AW172" s="178"/>
      <c r="AX172" s="178"/>
      <c r="AY172" s="178"/>
      <c r="AZ172" s="179"/>
      <c r="BA172" s="177"/>
      <c r="BB172" s="178"/>
      <c r="BC172" s="178"/>
      <c r="BD172" s="178"/>
      <c r="BE172" s="179"/>
      <c r="BF172" s="177">
        <f t="shared" si="44"/>
        <v>0</v>
      </c>
      <c r="BG172" s="178">
        <f t="shared" si="38"/>
        <v>0</v>
      </c>
      <c r="BH172" s="178">
        <f t="shared" si="39"/>
        <v>0</v>
      </c>
      <c r="BI172" s="178">
        <f t="shared" si="40"/>
        <v>0</v>
      </c>
      <c r="BJ172" s="179">
        <f t="shared" si="41"/>
        <v>0</v>
      </c>
      <c r="BK172" s="177"/>
      <c r="BL172" s="178"/>
      <c r="BM172" s="178"/>
      <c r="BN172" s="178"/>
      <c r="BO172" s="179"/>
      <c r="BP172" s="177"/>
      <c r="BQ172" s="178"/>
      <c r="BR172" s="178"/>
      <c r="BS172" s="178"/>
      <c r="BT172" s="179"/>
      <c r="BU172" s="177"/>
      <c r="BV172" s="178"/>
      <c r="BW172" s="178"/>
      <c r="BX172" s="178"/>
      <c r="BY172" s="179"/>
      <c r="BZ172" s="177"/>
      <c r="CA172" s="178"/>
      <c r="CB172" s="178"/>
      <c r="CC172" s="178"/>
      <c r="CD172" s="179"/>
      <c r="CE172" s="177"/>
      <c r="CF172" s="178"/>
      <c r="CG172" s="178"/>
      <c r="CH172" s="178"/>
      <c r="CI172" s="179"/>
    </row>
    <row r="173" spans="1:87">
      <c r="A173" s="170" t="s">
        <v>157</v>
      </c>
      <c r="B173" s="171" t="s">
        <v>26</v>
      </c>
      <c r="C173" s="172">
        <f t="shared" si="42"/>
        <v>50784</v>
      </c>
      <c r="D173" s="173">
        <f t="shared" si="30"/>
        <v>35880</v>
      </c>
      <c r="E173" s="173">
        <f t="shared" si="31"/>
        <v>27807</v>
      </c>
      <c r="F173" s="173">
        <f t="shared" si="32"/>
        <v>20838</v>
      </c>
      <c r="G173" s="174">
        <f t="shared" si="33"/>
        <v>135309</v>
      </c>
      <c r="H173" s="172">
        <f t="shared" si="43"/>
        <v>47817</v>
      </c>
      <c r="I173" s="173">
        <f t="shared" si="34"/>
        <v>31119</v>
      </c>
      <c r="J173" s="173">
        <f t="shared" si="35"/>
        <v>23322</v>
      </c>
      <c r="K173" s="173">
        <f t="shared" si="36"/>
        <v>16629</v>
      </c>
      <c r="L173" s="174">
        <f t="shared" si="37"/>
        <v>118887</v>
      </c>
      <c r="M173" s="172">
        <v>9867</v>
      </c>
      <c r="N173" s="173">
        <v>6900</v>
      </c>
      <c r="O173" s="173">
        <v>4968</v>
      </c>
      <c r="P173" s="173">
        <v>1242</v>
      </c>
      <c r="Q173" s="174">
        <v>22977</v>
      </c>
      <c r="R173" s="172"/>
      <c r="S173" s="173"/>
      <c r="T173" s="173"/>
      <c r="U173" s="173"/>
      <c r="V173" s="174"/>
      <c r="W173" s="172"/>
      <c r="X173" s="173"/>
      <c r="Y173" s="173"/>
      <c r="Z173" s="173"/>
      <c r="AA173" s="174"/>
      <c r="AB173" s="172">
        <v>23460</v>
      </c>
      <c r="AC173" s="173">
        <v>17595</v>
      </c>
      <c r="AD173" s="173">
        <v>9315</v>
      </c>
      <c r="AE173" s="173">
        <v>7314</v>
      </c>
      <c r="AF173" s="174">
        <v>57684</v>
      </c>
      <c r="AG173" s="172"/>
      <c r="AH173" s="173"/>
      <c r="AI173" s="173"/>
      <c r="AJ173" s="173"/>
      <c r="AK173" s="174"/>
      <c r="AL173" s="172"/>
      <c r="AM173" s="173"/>
      <c r="AN173" s="173"/>
      <c r="AO173" s="173"/>
      <c r="AP173" s="174"/>
      <c r="AQ173" s="172">
        <v>1104</v>
      </c>
      <c r="AR173" s="173">
        <v>1104</v>
      </c>
      <c r="AS173" s="173">
        <v>552</v>
      </c>
      <c r="AT173" s="173"/>
      <c r="AU173" s="174">
        <v>2760</v>
      </c>
      <c r="AV173" s="172">
        <v>5106</v>
      </c>
      <c r="AW173" s="173">
        <v>2760</v>
      </c>
      <c r="AX173" s="173">
        <v>3519</v>
      </c>
      <c r="AY173" s="173">
        <v>2346</v>
      </c>
      <c r="AZ173" s="174">
        <v>13731</v>
      </c>
      <c r="BA173" s="172">
        <v>8280</v>
      </c>
      <c r="BB173" s="173">
        <v>2760</v>
      </c>
      <c r="BC173" s="173">
        <v>4968</v>
      </c>
      <c r="BD173" s="173">
        <v>5727</v>
      </c>
      <c r="BE173" s="174">
        <v>21735</v>
      </c>
      <c r="BF173" s="172">
        <f t="shared" si="44"/>
        <v>2967</v>
      </c>
      <c r="BG173" s="173">
        <f t="shared" si="38"/>
        <v>4761</v>
      </c>
      <c r="BH173" s="173">
        <f t="shared" si="39"/>
        <v>4485</v>
      </c>
      <c r="BI173" s="173">
        <f t="shared" si="40"/>
        <v>4209</v>
      </c>
      <c r="BJ173" s="174">
        <f t="shared" si="41"/>
        <v>16422</v>
      </c>
      <c r="BK173" s="172"/>
      <c r="BL173" s="173"/>
      <c r="BM173" s="173"/>
      <c r="BN173" s="173"/>
      <c r="BO173" s="174"/>
      <c r="BP173" s="172">
        <v>1311</v>
      </c>
      <c r="BQ173" s="173">
        <v>4002</v>
      </c>
      <c r="BR173" s="173">
        <v>4209</v>
      </c>
      <c r="BS173" s="173">
        <v>3105</v>
      </c>
      <c r="BT173" s="174">
        <v>12627</v>
      </c>
      <c r="BU173" s="172">
        <v>1656</v>
      </c>
      <c r="BV173" s="173">
        <v>759</v>
      </c>
      <c r="BW173" s="173">
        <v>276</v>
      </c>
      <c r="BX173" s="173">
        <v>1104</v>
      </c>
      <c r="BY173" s="174">
        <v>3795</v>
      </c>
      <c r="BZ173" s="172"/>
      <c r="CA173" s="173"/>
      <c r="CB173" s="173"/>
      <c r="CC173" s="173"/>
      <c r="CD173" s="174"/>
      <c r="CE173" s="172"/>
      <c r="CF173" s="173"/>
      <c r="CG173" s="173"/>
      <c r="CH173" s="173"/>
      <c r="CI173" s="174"/>
    </row>
    <row r="174" spans="1:87">
      <c r="A174" s="170"/>
      <c r="B174" s="171" t="s">
        <v>27</v>
      </c>
      <c r="C174" s="172">
        <f t="shared" si="42"/>
        <v>1125</v>
      </c>
      <c r="D174" s="173">
        <f t="shared" si="30"/>
        <v>1288</v>
      </c>
      <c r="E174" s="173">
        <f t="shared" si="31"/>
        <v>1549</v>
      </c>
      <c r="F174" s="173">
        <f t="shared" si="32"/>
        <v>575</v>
      </c>
      <c r="G174" s="174">
        <f t="shared" si="33"/>
        <v>4537</v>
      </c>
      <c r="H174" s="172">
        <f t="shared" si="43"/>
        <v>1125</v>
      </c>
      <c r="I174" s="173">
        <f t="shared" si="34"/>
        <v>1288</v>
      </c>
      <c r="J174" s="173">
        <f t="shared" si="35"/>
        <v>1549</v>
      </c>
      <c r="K174" s="173">
        <f t="shared" si="36"/>
        <v>575</v>
      </c>
      <c r="L174" s="174">
        <f t="shared" si="37"/>
        <v>4537</v>
      </c>
      <c r="M174" s="172"/>
      <c r="N174" s="173"/>
      <c r="O174" s="173"/>
      <c r="P174" s="173"/>
      <c r="Q174" s="174"/>
      <c r="R174" s="172"/>
      <c r="S174" s="173"/>
      <c r="T174" s="173"/>
      <c r="U174" s="173"/>
      <c r="V174" s="174"/>
      <c r="W174" s="172"/>
      <c r="X174" s="173"/>
      <c r="Y174" s="173"/>
      <c r="Z174" s="173"/>
      <c r="AA174" s="174"/>
      <c r="AB174" s="172"/>
      <c r="AC174" s="173"/>
      <c r="AD174" s="173"/>
      <c r="AE174" s="173"/>
      <c r="AF174" s="174"/>
      <c r="AG174" s="172"/>
      <c r="AH174" s="173"/>
      <c r="AI174" s="173"/>
      <c r="AJ174" s="173"/>
      <c r="AK174" s="174"/>
      <c r="AL174" s="172"/>
      <c r="AM174" s="173"/>
      <c r="AN174" s="173"/>
      <c r="AO174" s="173"/>
      <c r="AP174" s="174"/>
      <c r="AQ174" s="172"/>
      <c r="AR174" s="173"/>
      <c r="AS174" s="173"/>
      <c r="AT174" s="173"/>
      <c r="AU174" s="174"/>
      <c r="AV174" s="172">
        <v>318</v>
      </c>
      <c r="AW174" s="173">
        <v>795</v>
      </c>
      <c r="AX174" s="173">
        <v>1113</v>
      </c>
      <c r="AY174" s="173">
        <v>159</v>
      </c>
      <c r="AZ174" s="174">
        <v>2385</v>
      </c>
      <c r="BA174" s="172">
        <v>807</v>
      </c>
      <c r="BB174" s="173">
        <v>493</v>
      </c>
      <c r="BC174" s="173">
        <v>436</v>
      </c>
      <c r="BD174" s="173">
        <v>416</v>
      </c>
      <c r="BE174" s="174">
        <v>2152</v>
      </c>
      <c r="BF174" s="172">
        <f t="shared" si="44"/>
        <v>0</v>
      </c>
      <c r="BG174" s="173">
        <f t="shared" si="38"/>
        <v>0</v>
      </c>
      <c r="BH174" s="173">
        <f t="shared" si="39"/>
        <v>0</v>
      </c>
      <c r="BI174" s="173">
        <f t="shared" si="40"/>
        <v>0</v>
      </c>
      <c r="BJ174" s="174">
        <f t="shared" si="41"/>
        <v>0</v>
      </c>
      <c r="BK174" s="172"/>
      <c r="BL174" s="173"/>
      <c r="BM174" s="173"/>
      <c r="BN174" s="173"/>
      <c r="BO174" s="174"/>
      <c r="BP174" s="172"/>
      <c r="BQ174" s="173"/>
      <c r="BR174" s="173"/>
      <c r="BS174" s="173"/>
      <c r="BT174" s="174"/>
      <c r="BU174" s="172"/>
      <c r="BV174" s="173"/>
      <c r="BW174" s="173"/>
      <c r="BX174" s="173"/>
      <c r="BY174" s="174"/>
      <c r="BZ174" s="172"/>
      <c r="CA174" s="173"/>
      <c r="CB174" s="173"/>
      <c r="CC174" s="173"/>
      <c r="CD174" s="174"/>
      <c r="CE174" s="172"/>
      <c r="CF174" s="173"/>
      <c r="CG174" s="173"/>
      <c r="CH174" s="173"/>
      <c r="CI174" s="174"/>
    </row>
    <row r="175" s="147" customFormat="1" ht="14.6" spans="1:87">
      <c r="A175" s="175" t="s">
        <v>158</v>
      </c>
      <c r="B175" s="176"/>
      <c r="C175" s="177">
        <f t="shared" si="42"/>
        <v>51909</v>
      </c>
      <c r="D175" s="178">
        <f t="shared" si="30"/>
        <v>37168</v>
      </c>
      <c r="E175" s="178">
        <f t="shared" si="31"/>
        <v>29356</v>
      </c>
      <c r="F175" s="178">
        <f t="shared" si="32"/>
        <v>21413</v>
      </c>
      <c r="G175" s="179">
        <f t="shared" si="33"/>
        <v>139846</v>
      </c>
      <c r="H175" s="177">
        <f t="shared" si="43"/>
        <v>48942</v>
      </c>
      <c r="I175" s="178">
        <f t="shared" si="34"/>
        <v>32407</v>
      </c>
      <c r="J175" s="178">
        <f t="shared" si="35"/>
        <v>24871</v>
      </c>
      <c r="K175" s="178">
        <f t="shared" si="36"/>
        <v>17204</v>
      </c>
      <c r="L175" s="179">
        <f t="shared" si="37"/>
        <v>123424</v>
      </c>
      <c r="M175" s="177">
        <v>9867</v>
      </c>
      <c r="N175" s="178">
        <v>6900</v>
      </c>
      <c r="O175" s="178">
        <v>4968</v>
      </c>
      <c r="P175" s="178">
        <v>1242</v>
      </c>
      <c r="Q175" s="179">
        <v>22977</v>
      </c>
      <c r="R175" s="177"/>
      <c r="S175" s="178"/>
      <c r="T175" s="178"/>
      <c r="U175" s="178"/>
      <c r="V175" s="179"/>
      <c r="W175" s="177"/>
      <c r="X175" s="178"/>
      <c r="Y175" s="178"/>
      <c r="Z175" s="178"/>
      <c r="AA175" s="179"/>
      <c r="AB175" s="177">
        <v>23460</v>
      </c>
      <c r="AC175" s="178">
        <v>17595</v>
      </c>
      <c r="AD175" s="178">
        <v>9315</v>
      </c>
      <c r="AE175" s="178">
        <v>7314</v>
      </c>
      <c r="AF175" s="179">
        <v>57684</v>
      </c>
      <c r="AG175" s="177"/>
      <c r="AH175" s="178"/>
      <c r="AI175" s="178"/>
      <c r="AJ175" s="178"/>
      <c r="AK175" s="179"/>
      <c r="AL175" s="177"/>
      <c r="AM175" s="178"/>
      <c r="AN175" s="178"/>
      <c r="AO175" s="178"/>
      <c r="AP175" s="179"/>
      <c r="AQ175" s="177">
        <v>1104</v>
      </c>
      <c r="AR175" s="178">
        <v>1104</v>
      </c>
      <c r="AS175" s="178">
        <v>552</v>
      </c>
      <c r="AT175" s="178"/>
      <c r="AU175" s="179">
        <v>2760</v>
      </c>
      <c r="AV175" s="177">
        <v>5424</v>
      </c>
      <c r="AW175" s="178">
        <v>3555</v>
      </c>
      <c r="AX175" s="178">
        <v>4632</v>
      </c>
      <c r="AY175" s="178">
        <v>2505</v>
      </c>
      <c r="AZ175" s="179">
        <v>16116</v>
      </c>
      <c r="BA175" s="177">
        <v>9087</v>
      </c>
      <c r="BB175" s="178">
        <v>3253</v>
      </c>
      <c r="BC175" s="178">
        <v>5404</v>
      </c>
      <c r="BD175" s="178">
        <v>6143</v>
      </c>
      <c r="BE175" s="179">
        <v>23887</v>
      </c>
      <c r="BF175" s="177">
        <f t="shared" si="44"/>
        <v>2967</v>
      </c>
      <c r="BG175" s="178">
        <f t="shared" si="38"/>
        <v>4761</v>
      </c>
      <c r="BH175" s="178">
        <f t="shared" si="39"/>
        <v>4485</v>
      </c>
      <c r="BI175" s="178">
        <f t="shared" si="40"/>
        <v>4209</v>
      </c>
      <c r="BJ175" s="179">
        <f t="shared" si="41"/>
        <v>16422</v>
      </c>
      <c r="BK175" s="177"/>
      <c r="BL175" s="178"/>
      <c r="BM175" s="178"/>
      <c r="BN175" s="178"/>
      <c r="BO175" s="179"/>
      <c r="BP175" s="177">
        <v>1311</v>
      </c>
      <c r="BQ175" s="178">
        <v>4002</v>
      </c>
      <c r="BR175" s="178">
        <v>4209</v>
      </c>
      <c r="BS175" s="178">
        <v>3105</v>
      </c>
      <c r="BT175" s="179">
        <v>12627</v>
      </c>
      <c r="BU175" s="177">
        <v>1656</v>
      </c>
      <c r="BV175" s="178">
        <v>759</v>
      </c>
      <c r="BW175" s="178">
        <v>276</v>
      </c>
      <c r="BX175" s="178">
        <v>1104</v>
      </c>
      <c r="BY175" s="179">
        <v>3795</v>
      </c>
      <c r="BZ175" s="177"/>
      <c r="CA175" s="178"/>
      <c r="CB175" s="178"/>
      <c r="CC175" s="178"/>
      <c r="CD175" s="179"/>
      <c r="CE175" s="177"/>
      <c r="CF175" s="178"/>
      <c r="CG175" s="178"/>
      <c r="CH175" s="178"/>
      <c r="CI175" s="179"/>
    </row>
    <row r="176" spans="1:87">
      <c r="A176" s="170" t="s">
        <v>159</v>
      </c>
      <c r="B176" s="171" t="s">
        <v>26</v>
      </c>
      <c r="C176" s="172">
        <f t="shared" si="42"/>
        <v>42383</v>
      </c>
      <c r="D176" s="173">
        <f t="shared" si="30"/>
        <v>28990</v>
      </c>
      <c r="E176" s="173">
        <f t="shared" si="31"/>
        <v>23149</v>
      </c>
      <c r="F176" s="173">
        <f t="shared" si="32"/>
        <v>20040</v>
      </c>
      <c r="G176" s="174">
        <f t="shared" si="33"/>
        <v>114562</v>
      </c>
      <c r="H176" s="172">
        <f t="shared" si="43"/>
        <v>29934</v>
      </c>
      <c r="I176" s="173">
        <f t="shared" si="34"/>
        <v>28518</v>
      </c>
      <c r="J176" s="173">
        <f t="shared" si="35"/>
        <v>22736</v>
      </c>
      <c r="K176" s="173">
        <f t="shared" si="36"/>
        <v>16972</v>
      </c>
      <c r="L176" s="174">
        <f t="shared" si="37"/>
        <v>98160</v>
      </c>
      <c r="M176" s="172">
        <v>5428</v>
      </c>
      <c r="N176" s="173">
        <v>3068</v>
      </c>
      <c r="O176" s="173">
        <v>3245</v>
      </c>
      <c r="P176" s="173">
        <v>4897</v>
      </c>
      <c r="Q176" s="174">
        <v>16638</v>
      </c>
      <c r="R176" s="172">
        <v>3865</v>
      </c>
      <c r="S176" s="173">
        <v>2411</v>
      </c>
      <c r="T176" s="173">
        <v>2274</v>
      </c>
      <c r="U176" s="173">
        <v>2463</v>
      </c>
      <c r="V176" s="174">
        <v>11013</v>
      </c>
      <c r="W176" s="172"/>
      <c r="X176" s="173"/>
      <c r="Y176" s="173"/>
      <c r="Z176" s="173"/>
      <c r="AA176" s="174"/>
      <c r="AB176" s="172">
        <v>16025</v>
      </c>
      <c r="AC176" s="173">
        <v>11379</v>
      </c>
      <c r="AD176" s="173">
        <v>11126</v>
      </c>
      <c r="AE176" s="173">
        <v>5749</v>
      </c>
      <c r="AF176" s="174">
        <v>44279</v>
      </c>
      <c r="AG176" s="172"/>
      <c r="AH176" s="173"/>
      <c r="AI176" s="173"/>
      <c r="AJ176" s="173"/>
      <c r="AK176" s="174"/>
      <c r="AL176" s="172"/>
      <c r="AM176" s="173"/>
      <c r="AN176" s="173"/>
      <c r="AO176" s="173"/>
      <c r="AP176" s="174"/>
      <c r="AQ176" s="172">
        <v>2020</v>
      </c>
      <c r="AR176" s="173">
        <v>5402</v>
      </c>
      <c r="AS176" s="173">
        <v>1672</v>
      </c>
      <c r="AT176" s="173">
        <v>1789</v>
      </c>
      <c r="AU176" s="174">
        <v>10883</v>
      </c>
      <c r="AV176" s="172">
        <v>1003</v>
      </c>
      <c r="AW176" s="173">
        <v>3417</v>
      </c>
      <c r="AX176" s="173">
        <v>1742</v>
      </c>
      <c r="AY176" s="173">
        <v>649</v>
      </c>
      <c r="AZ176" s="174">
        <v>6811</v>
      </c>
      <c r="BA176" s="172">
        <v>1593</v>
      </c>
      <c r="BB176" s="173">
        <v>2841</v>
      </c>
      <c r="BC176" s="173">
        <v>2677</v>
      </c>
      <c r="BD176" s="173">
        <v>1425</v>
      </c>
      <c r="BE176" s="174">
        <v>8536</v>
      </c>
      <c r="BF176" s="172">
        <f t="shared" si="44"/>
        <v>12449</v>
      </c>
      <c r="BG176" s="173">
        <f t="shared" si="38"/>
        <v>472</v>
      </c>
      <c r="BH176" s="173">
        <f t="shared" si="39"/>
        <v>413</v>
      </c>
      <c r="BI176" s="173">
        <f t="shared" si="40"/>
        <v>3068</v>
      </c>
      <c r="BJ176" s="174">
        <f t="shared" si="41"/>
        <v>16402</v>
      </c>
      <c r="BK176" s="172"/>
      <c r="BL176" s="173"/>
      <c r="BM176" s="173"/>
      <c r="BN176" s="173"/>
      <c r="BO176" s="174"/>
      <c r="BP176" s="172">
        <v>11859</v>
      </c>
      <c r="BQ176" s="173">
        <v>236</v>
      </c>
      <c r="BR176" s="173">
        <v>118</v>
      </c>
      <c r="BS176" s="173">
        <v>177</v>
      </c>
      <c r="BT176" s="174">
        <v>12390</v>
      </c>
      <c r="BU176" s="172">
        <v>590</v>
      </c>
      <c r="BV176" s="173">
        <v>236</v>
      </c>
      <c r="BW176" s="173">
        <v>295</v>
      </c>
      <c r="BX176" s="173">
        <v>2891</v>
      </c>
      <c r="BY176" s="174">
        <v>4012</v>
      </c>
      <c r="BZ176" s="172"/>
      <c r="CA176" s="173"/>
      <c r="CB176" s="173"/>
      <c r="CC176" s="173"/>
      <c r="CD176" s="174"/>
      <c r="CE176" s="172"/>
      <c r="CF176" s="173"/>
      <c r="CG176" s="173"/>
      <c r="CH176" s="173"/>
      <c r="CI176" s="174"/>
    </row>
    <row r="177" spans="1:87">
      <c r="A177" s="170"/>
      <c r="B177" s="171" t="s">
        <v>27</v>
      </c>
      <c r="C177" s="172">
        <f t="shared" si="42"/>
        <v>499</v>
      </c>
      <c r="D177" s="173">
        <f t="shared" si="30"/>
        <v>499</v>
      </c>
      <c r="E177" s="173">
        <f t="shared" si="31"/>
        <v>0</v>
      </c>
      <c r="F177" s="173">
        <f t="shared" si="32"/>
        <v>0</v>
      </c>
      <c r="G177" s="174">
        <f t="shared" si="33"/>
        <v>998</v>
      </c>
      <c r="H177" s="172">
        <f t="shared" si="43"/>
        <v>0</v>
      </c>
      <c r="I177" s="173">
        <f t="shared" si="34"/>
        <v>0</v>
      </c>
      <c r="J177" s="173">
        <f t="shared" si="35"/>
        <v>0</v>
      </c>
      <c r="K177" s="173">
        <f t="shared" si="36"/>
        <v>0</v>
      </c>
      <c r="L177" s="174">
        <f t="shared" si="37"/>
        <v>0</v>
      </c>
      <c r="M177" s="172"/>
      <c r="N177" s="173"/>
      <c r="O177" s="173"/>
      <c r="P177" s="173"/>
      <c r="Q177" s="174"/>
      <c r="R177" s="172"/>
      <c r="S177" s="173"/>
      <c r="T177" s="173"/>
      <c r="U177" s="173"/>
      <c r="V177" s="174"/>
      <c r="W177" s="172"/>
      <c r="X177" s="173"/>
      <c r="Y177" s="173"/>
      <c r="Z177" s="173"/>
      <c r="AA177" s="174"/>
      <c r="AB177" s="172"/>
      <c r="AC177" s="173"/>
      <c r="AD177" s="173"/>
      <c r="AE177" s="173"/>
      <c r="AF177" s="174"/>
      <c r="AG177" s="172"/>
      <c r="AH177" s="173"/>
      <c r="AI177" s="173"/>
      <c r="AJ177" s="173"/>
      <c r="AK177" s="174"/>
      <c r="AL177" s="172"/>
      <c r="AM177" s="173"/>
      <c r="AN177" s="173"/>
      <c r="AO177" s="173"/>
      <c r="AP177" s="174"/>
      <c r="AQ177" s="172"/>
      <c r="AR177" s="173"/>
      <c r="AS177" s="173"/>
      <c r="AT177" s="173"/>
      <c r="AU177" s="174"/>
      <c r="AV177" s="172"/>
      <c r="AW177" s="173"/>
      <c r="AX177" s="173"/>
      <c r="AY177" s="173"/>
      <c r="AZ177" s="174"/>
      <c r="BA177" s="172"/>
      <c r="BB177" s="173"/>
      <c r="BC177" s="173"/>
      <c r="BD177" s="173"/>
      <c r="BE177" s="174"/>
      <c r="BF177" s="172">
        <f t="shared" si="44"/>
        <v>499</v>
      </c>
      <c r="BG177" s="173">
        <f t="shared" si="38"/>
        <v>499</v>
      </c>
      <c r="BH177" s="173">
        <f t="shared" si="39"/>
        <v>0</v>
      </c>
      <c r="BI177" s="173">
        <f t="shared" si="40"/>
        <v>0</v>
      </c>
      <c r="BJ177" s="174">
        <f t="shared" si="41"/>
        <v>998</v>
      </c>
      <c r="BK177" s="172"/>
      <c r="BL177" s="173"/>
      <c r="BM177" s="173"/>
      <c r="BN177" s="173"/>
      <c r="BO177" s="174"/>
      <c r="BP177" s="172"/>
      <c r="BQ177" s="173"/>
      <c r="BR177" s="173"/>
      <c r="BS177" s="173"/>
      <c r="BT177" s="174"/>
      <c r="BU177" s="172"/>
      <c r="BV177" s="173"/>
      <c r="BW177" s="173"/>
      <c r="BX177" s="173"/>
      <c r="BY177" s="174"/>
      <c r="BZ177" s="172">
        <v>499</v>
      </c>
      <c r="CA177" s="173">
        <v>499</v>
      </c>
      <c r="CB177" s="173"/>
      <c r="CC177" s="173"/>
      <c r="CD177" s="174">
        <v>998</v>
      </c>
      <c r="CE177" s="172"/>
      <c r="CF177" s="173"/>
      <c r="CG177" s="173"/>
      <c r="CH177" s="173"/>
      <c r="CI177" s="174"/>
    </row>
    <row r="178" s="147" customFormat="1" ht="14.6" spans="1:87">
      <c r="A178" s="175" t="s">
        <v>160</v>
      </c>
      <c r="B178" s="176"/>
      <c r="C178" s="177">
        <f t="shared" si="42"/>
        <v>42882</v>
      </c>
      <c r="D178" s="178">
        <f t="shared" si="30"/>
        <v>29489</v>
      </c>
      <c r="E178" s="178">
        <f t="shared" si="31"/>
        <v>23149</v>
      </c>
      <c r="F178" s="178">
        <f t="shared" si="32"/>
        <v>20040</v>
      </c>
      <c r="G178" s="179">
        <f t="shared" si="33"/>
        <v>115560</v>
      </c>
      <c r="H178" s="177">
        <f t="shared" si="43"/>
        <v>29934</v>
      </c>
      <c r="I178" s="178">
        <f t="shared" si="34"/>
        <v>28518</v>
      </c>
      <c r="J178" s="178">
        <f t="shared" si="35"/>
        <v>22736</v>
      </c>
      <c r="K178" s="178">
        <f t="shared" si="36"/>
        <v>16972</v>
      </c>
      <c r="L178" s="179">
        <f t="shared" si="37"/>
        <v>98160</v>
      </c>
      <c r="M178" s="177">
        <v>5428</v>
      </c>
      <c r="N178" s="178">
        <v>3068</v>
      </c>
      <c r="O178" s="178">
        <v>3245</v>
      </c>
      <c r="P178" s="178">
        <v>4897</v>
      </c>
      <c r="Q178" s="179">
        <v>16638</v>
      </c>
      <c r="R178" s="177">
        <v>3865</v>
      </c>
      <c r="S178" s="178">
        <v>2411</v>
      </c>
      <c r="T178" s="178">
        <v>2274</v>
      </c>
      <c r="U178" s="178">
        <v>2463</v>
      </c>
      <c r="V178" s="179">
        <v>11013</v>
      </c>
      <c r="W178" s="177"/>
      <c r="X178" s="178"/>
      <c r="Y178" s="178"/>
      <c r="Z178" s="178"/>
      <c r="AA178" s="179"/>
      <c r="AB178" s="177">
        <v>16025</v>
      </c>
      <c r="AC178" s="178">
        <v>11379</v>
      </c>
      <c r="AD178" s="178">
        <v>11126</v>
      </c>
      <c r="AE178" s="178">
        <v>5749</v>
      </c>
      <c r="AF178" s="179">
        <v>44279</v>
      </c>
      <c r="AG178" s="177"/>
      <c r="AH178" s="178"/>
      <c r="AI178" s="178"/>
      <c r="AJ178" s="178"/>
      <c r="AK178" s="179"/>
      <c r="AL178" s="177"/>
      <c r="AM178" s="178"/>
      <c r="AN178" s="178"/>
      <c r="AO178" s="178"/>
      <c r="AP178" s="179"/>
      <c r="AQ178" s="177">
        <v>2020</v>
      </c>
      <c r="AR178" s="178">
        <v>5402</v>
      </c>
      <c r="AS178" s="178">
        <v>1672</v>
      </c>
      <c r="AT178" s="178">
        <v>1789</v>
      </c>
      <c r="AU178" s="179">
        <v>10883</v>
      </c>
      <c r="AV178" s="177">
        <v>1003</v>
      </c>
      <c r="AW178" s="178">
        <v>3417</v>
      </c>
      <c r="AX178" s="178">
        <v>1742</v>
      </c>
      <c r="AY178" s="178">
        <v>649</v>
      </c>
      <c r="AZ178" s="179">
        <v>6811</v>
      </c>
      <c r="BA178" s="177">
        <v>1593</v>
      </c>
      <c r="BB178" s="178">
        <v>2841</v>
      </c>
      <c r="BC178" s="178">
        <v>2677</v>
      </c>
      <c r="BD178" s="178">
        <v>1425</v>
      </c>
      <c r="BE178" s="179">
        <v>8536</v>
      </c>
      <c r="BF178" s="177">
        <f t="shared" si="44"/>
        <v>12948</v>
      </c>
      <c r="BG178" s="178">
        <f t="shared" si="38"/>
        <v>971</v>
      </c>
      <c r="BH178" s="178">
        <f t="shared" si="39"/>
        <v>413</v>
      </c>
      <c r="BI178" s="178">
        <f t="shared" si="40"/>
        <v>3068</v>
      </c>
      <c r="BJ178" s="179">
        <f t="shared" si="41"/>
        <v>17400</v>
      </c>
      <c r="BK178" s="177"/>
      <c r="BL178" s="178"/>
      <c r="BM178" s="178"/>
      <c r="BN178" s="178"/>
      <c r="BO178" s="179"/>
      <c r="BP178" s="177">
        <v>11859</v>
      </c>
      <c r="BQ178" s="178">
        <v>236</v>
      </c>
      <c r="BR178" s="178">
        <v>118</v>
      </c>
      <c r="BS178" s="178">
        <v>177</v>
      </c>
      <c r="BT178" s="179">
        <v>12390</v>
      </c>
      <c r="BU178" s="177">
        <v>590</v>
      </c>
      <c r="BV178" s="178">
        <v>236</v>
      </c>
      <c r="BW178" s="178">
        <v>295</v>
      </c>
      <c r="BX178" s="178">
        <v>2891</v>
      </c>
      <c r="BY178" s="179">
        <v>4012</v>
      </c>
      <c r="BZ178" s="177">
        <v>499</v>
      </c>
      <c r="CA178" s="178">
        <v>499</v>
      </c>
      <c r="CB178" s="178"/>
      <c r="CC178" s="178"/>
      <c r="CD178" s="179">
        <v>998</v>
      </c>
      <c r="CE178" s="177"/>
      <c r="CF178" s="178"/>
      <c r="CG178" s="178"/>
      <c r="CH178" s="178"/>
      <c r="CI178" s="179"/>
    </row>
    <row r="179" spans="1:87">
      <c r="A179" s="170" t="s">
        <v>161</v>
      </c>
      <c r="B179" s="171" t="s">
        <v>26</v>
      </c>
      <c r="C179" s="172">
        <f t="shared" si="42"/>
        <v>31236</v>
      </c>
      <c r="D179" s="173">
        <f t="shared" si="30"/>
        <v>25771</v>
      </c>
      <c r="E179" s="173">
        <f t="shared" si="31"/>
        <v>20895</v>
      </c>
      <c r="F179" s="173">
        <f t="shared" si="32"/>
        <v>18154</v>
      </c>
      <c r="G179" s="174">
        <f t="shared" si="33"/>
        <v>96056</v>
      </c>
      <c r="H179" s="172">
        <f t="shared" si="43"/>
        <v>23301</v>
      </c>
      <c r="I179" s="173">
        <f t="shared" si="34"/>
        <v>25771</v>
      </c>
      <c r="J179" s="173">
        <f t="shared" si="35"/>
        <v>20895</v>
      </c>
      <c r="K179" s="173">
        <f t="shared" si="36"/>
        <v>17947</v>
      </c>
      <c r="L179" s="174">
        <f t="shared" si="37"/>
        <v>87914</v>
      </c>
      <c r="M179" s="172">
        <v>414</v>
      </c>
      <c r="N179" s="173">
        <v>621</v>
      </c>
      <c r="O179" s="173">
        <v>345</v>
      </c>
      <c r="P179" s="173">
        <v>759</v>
      </c>
      <c r="Q179" s="174">
        <v>2139</v>
      </c>
      <c r="R179" s="172">
        <v>2164</v>
      </c>
      <c r="S179" s="173">
        <v>1121</v>
      </c>
      <c r="T179" s="173">
        <v>2743</v>
      </c>
      <c r="U179" s="173">
        <v>1224</v>
      </c>
      <c r="V179" s="174">
        <v>7252</v>
      </c>
      <c r="W179" s="172"/>
      <c r="X179" s="173"/>
      <c r="Y179" s="173"/>
      <c r="Z179" s="173"/>
      <c r="AA179" s="174"/>
      <c r="AB179" s="172">
        <v>13471</v>
      </c>
      <c r="AC179" s="173">
        <v>15318</v>
      </c>
      <c r="AD179" s="173">
        <v>10257</v>
      </c>
      <c r="AE179" s="173">
        <v>8227</v>
      </c>
      <c r="AF179" s="174">
        <v>47273</v>
      </c>
      <c r="AG179" s="172"/>
      <c r="AH179" s="173"/>
      <c r="AI179" s="173"/>
      <c r="AJ179" s="173"/>
      <c r="AK179" s="174"/>
      <c r="AL179" s="172">
        <v>2001</v>
      </c>
      <c r="AM179" s="173">
        <v>1311</v>
      </c>
      <c r="AN179" s="173">
        <v>1311</v>
      </c>
      <c r="AO179" s="173">
        <v>1656</v>
      </c>
      <c r="AP179" s="174">
        <v>6279</v>
      </c>
      <c r="AQ179" s="172">
        <v>3871</v>
      </c>
      <c r="AR179" s="173">
        <v>4433</v>
      </c>
      <c r="AS179" s="173">
        <v>2168</v>
      </c>
      <c r="AT179" s="173">
        <v>3045</v>
      </c>
      <c r="AU179" s="174">
        <v>13517</v>
      </c>
      <c r="AV179" s="172">
        <v>345</v>
      </c>
      <c r="AW179" s="173">
        <v>2277</v>
      </c>
      <c r="AX179" s="173">
        <v>3105</v>
      </c>
      <c r="AY179" s="173">
        <v>2484</v>
      </c>
      <c r="AZ179" s="174">
        <v>8211</v>
      </c>
      <c r="BA179" s="172">
        <v>1035</v>
      </c>
      <c r="BB179" s="173">
        <v>690</v>
      </c>
      <c r="BC179" s="173">
        <v>966</v>
      </c>
      <c r="BD179" s="173">
        <v>552</v>
      </c>
      <c r="BE179" s="174">
        <v>3243</v>
      </c>
      <c r="BF179" s="172">
        <f t="shared" si="44"/>
        <v>7935</v>
      </c>
      <c r="BG179" s="173">
        <f t="shared" si="38"/>
        <v>0</v>
      </c>
      <c r="BH179" s="173">
        <f t="shared" si="39"/>
        <v>0</v>
      </c>
      <c r="BI179" s="173">
        <f t="shared" si="40"/>
        <v>207</v>
      </c>
      <c r="BJ179" s="174">
        <f t="shared" si="41"/>
        <v>8142</v>
      </c>
      <c r="BK179" s="172">
        <v>4968</v>
      </c>
      <c r="BL179" s="173"/>
      <c r="BM179" s="173"/>
      <c r="BN179" s="173"/>
      <c r="BO179" s="174">
        <v>4968</v>
      </c>
      <c r="BP179" s="172">
        <v>2967</v>
      </c>
      <c r="BQ179" s="173"/>
      <c r="BR179" s="173"/>
      <c r="BS179" s="173"/>
      <c r="BT179" s="174">
        <v>2967</v>
      </c>
      <c r="BU179" s="172"/>
      <c r="BV179" s="173"/>
      <c r="BW179" s="173"/>
      <c r="BX179" s="173">
        <v>207</v>
      </c>
      <c r="BY179" s="174">
        <v>207</v>
      </c>
      <c r="BZ179" s="172"/>
      <c r="CA179" s="173"/>
      <c r="CB179" s="173"/>
      <c r="CC179" s="173"/>
      <c r="CD179" s="174"/>
      <c r="CE179" s="172"/>
      <c r="CF179" s="173"/>
      <c r="CG179" s="173"/>
      <c r="CH179" s="173"/>
      <c r="CI179" s="174"/>
    </row>
    <row r="180" spans="1:87">
      <c r="A180" s="170"/>
      <c r="B180" s="171" t="s">
        <v>27</v>
      </c>
      <c r="C180" s="172">
        <f t="shared" si="42"/>
        <v>79</v>
      </c>
      <c r="D180" s="173">
        <f t="shared" si="30"/>
        <v>0</v>
      </c>
      <c r="E180" s="173">
        <f t="shared" si="31"/>
        <v>158</v>
      </c>
      <c r="F180" s="173">
        <f t="shared" si="32"/>
        <v>0</v>
      </c>
      <c r="G180" s="174">
        <f t="shared" si="33"/>
        <v>237</v>
      </c>
      <c r="H180" s="172">
        <f t="shared" si="43"/>
        <v>79</v>
      </c>
      <c r="I180" s="173">
        <f t="shared" si="34"/>
        <v>0</v>
      </c>
      <c r="J180" s="173">
        <f t="shared" si="35"/>
        <v>158</v>
      </c>
      <c r="K180" s="173">
        <f t="shared" si="36"/>
        <v>0</v>
      </c>
      <c r="L180" s="174">
        <f t="shared" si="37"/>
        <v>237</v>
      </c>
      <c r="M180" s="172"/>
      <c r="N180" s="173"/>
      <c r="O180" s="173"/>
      <c r="P180" s="173"/>
      <c r="Q180" s="174"/>
      <c r="R180" s="172"/>
      <c r="S180" s="173"/>
      <c r="T180" s="173"/>
      <c r="U180" s="173"/>
      <c r="V180" s="174"/>
      <c r="W180" s="172"/>
      <c r="X180" s="173"/>
      <c r="Y180" s="173"/>
      <c r="Z180" s="173"/>
      <c r="AA180" s="174"/>
      <c r="AB180" s="172">
        <v>79</v>
      </c>
      <c r="AC180" s="173"/>
      <c r="AD180" s="173">
        <v>158</v>
      </c>
      <c r="AE180" s="173"/>
      <c r="AF180" s="174">
        <v>237</v>
      </c>
      <c r="AG180" s="172"/>
      <c r="AH180" s="173"/>
      <c r="AI180" s="173"/>
      <c r="AJ180" s="173"/>
      <c r="AK180" s="174"/>
      <c r="AL180" s="172"/>
      <c r="AM180" s="173"/>
      <c r="AN180" s="173"/>
      <c r="AO180" s="173"/>
      <c r="AP180" s="174"/>
      <c r="AQ180" s="172"/>
      <c r="AR180" s="173"/>
      <c r="AS180" s="173"/>
      <c r="AT180" s="173"/>
      <c r="AU180" s="174"/>
      <c r="AV180" s="172"/>
      <c r="AW180" s="173"/>
      <c r="AX180" s="173"/>
      <c r="AY180" s="173"/>
      <c r="AZ180" s="174"/>
      <c r="BA180" s="172"/>
      <c r="BB180" s="173"/>
      <c r="BC180" s="173"/>
      <c r="BD180" s="173"/>
      <c r="BE180" s="174"/>
      <c r="BF180" s="172">
        <f t="shared" si="44"/>
        <v>0</v>
      </c>
      <c r="BG180" s="173">
        <f t="shared" si="38"/>
        <v>0</v>
      </c>
      <c r="BH180" s="173">
        <f t="shared" si="39"/>
        <v>0</v>
      </c>
      <c r="BI180" s="173">
        <f t="shared" si="40"/>
        <v>0</v>
      </c>
      <c r="BJ180" s="174">
        <f t="shared" si="41"/>
        <v>0</v>
      </c>
      <c r="BK180" s="172"/>
      <c r="BL180" s="173"/>
      <c r="BM180" s="173"/>
      <c r="BN180" s="173"/>
      <c r="BO180" s="174"/>
      <c r="BP180" s="172"/>
      <c r="BQ180" s="173"/>
      <c r="BR180" s="173"/>
      <c r="BS180" s="173"/>
      <c r="BT180" s="174"/>
      <c r="BU180" s="172"/>
      <c r="BV180" s="173"/>
      <c r="BW180" s="173"/>
      <c r="BX180" s="173"/>
      <c r="BY180" s="174"/>
      <c r="BZ180" s="172"/>
      <c r="CA180" s="173"/>
      <c r="CB180" s="173"/>
      <c r="CC180" s="173"/>
      <c r="CD180" s="174"/>
      <c r="CE180" s="172"/>
      <c r="CF180" s="173"/>
      <c r="CG180" s="173"/>
      <c r="CH180" s="173"/>
      <c r="CI180" s="174"/>
    </row>
    <row r="181" spans="1:87">
      <c r="A181" s="170"/>
      <c r="B181" s="171" t="s">
        <v>28</v>
      </c>
      <c r="C181" s="172">
        <f t="shared" si="42"/>
        <v>2181</v>
      </c>
      <c r="D181" s="173">
        <f t="shared" si="30"/>
        <v>1447</v>
      </c>
      <c r="E181" s="173">
        <f t="shared" si="31"/>
        <v>654</v>
      </c>
      <c r="F181" s="173">
        <f t="shared" si="32"/>
        <v>790</v>
      </c>
      <c r="G181" s="174">
        <f t="shared" si="33"/>
        <v>5072</v>
      </c>
      <c r="H181" s="172">
        <f t="shared" si="43"/>
        <v>2181</v>
      </c>
      <c r="I181" s="173">
        <f t="shared" si="34"/>
        <v>1447</v>
      </c>
      <c r="J181" s="173">
        <f t="shared" si="35"/>
        <v>654</v>
      </c>
      <c r="K181" s="173">
        <f t="shared" si="36"/>
        <v>631</v>
      </c>
      <c r="L181" s="174">
        <f t="shared" si="37"/>
        <v>4913</v>
      </c>
      <c r="M181" s="172"/>
      <c r="N181" s="173">
        <v>199</v>
      </c>
      <c r="O181" s="173"/>
      <c r="P181" s="173"/>
      <c r="Q181" s="174">
        <v>199</v>
      </c>
      <c r="R181" s="172"/>
      <c r="S181" s="173"/>
      <c r="T181" s="173"/>
      <c r="U181" s="173"/>
      <c r="V181" s="174"/>
      <c r="W181" s="172"/>
      <c r="X181" s="173"/>
      <c r="Y181" s="173"/>
      <c r="Z181" s="173"/>
      <c r="AA181" s="174"/>
      <c r="AB181" s="172">
        <v>935</v>
      </c>
      <c r="AC181" s="173">
        <v>835</v>
      </c>
      <c r="AD181" s="173">
        <v>477</v>
      </c>
      <c r="AE181" s="173">
        <v>159</v>
      </c>
      <c r="AF181" s="174">
        <v>2406</v>
      </c>
      <c r="AG181" s="172"/>
      <c r="AH181" s="173"/>
      <c r="AI181" s="173"/>
      <c r="AJ181" s="173"/>
      <c r="AK181" s="174"/>
      <c r="AL181" s="172"/>
      <c r="AM181" s="173"/>
      <c r="AN181" s="173"/>
      <c r="AO181" s="173"/>
      <c r="AP181" s="174"/>
      <c r="AQ181" s="172">
        <v>299</v>
      </c>
      <c r="AR181" s="173"/>
      <c r="AS181" s="173"/>
      <c r="AT181" s="173"/>
      <c r="AU181" s="174">
        <v>299</v>
      </c>
      <c r="AV181" s="172">
        <v>947</v>
      </c>
      <c r="AW181" s="173">
        <v>413</v>
      </c>
      <c r="AX181" s="173">
        <v>177</v>
      </c>
      <c r="AY181" s="173">
        <v>472</v>
      </c>
      <c r="AZ181" s="174">
        <v>2009</v>
      </c>
      <c r="BA181" s="172"/>
      <c r="BB181" s="173"/>
      <c r="BC181" s="173"/>
      <c r="BD181" s="173"/>
      <c r="BE181" s="174"/>
      <c r="BF181" s="172">
        <f t="shared" si="44"/>
        <v>0</v>
      </c>
      <c r="BG181" s="173">
        <f t="shared" si="38"/>
        <v>0</v>
      </c>
      <c r="BH181" s="173">
        <f t="shared" si="39"/>
        <v>0</v>
      </c>
      <c r="BI181" s="173">
        <f t="shared" si="40"/>
        <v>159</v>
      </c>
      <c r="BJ181" s="174">
        <f t="shared" si="41"/>
        <v>159</v>
      </c>
      <c r="BK181" s="172"/>
      <c r="BL181" s="173"/>
      <c r="BM181" s="173"/>
      <c r="BN181" s="173"/>
      <c r="BO181" s="174"/>
      <c r="BP181" s="172"/>
      <c r="BQ181" s="173"/>
      <c r="BR181" s="173"/>
      <c r="BS181" s="173"/>
      <c r="BT181" s="174"/>
      <c r="BU181" s="172"/>
      <c r="BV181" s="173"/>
      <c r="BW181" s="173"/>
      <c r="BX181" s="173">
        <v>159</v>
      </c>
      <c r="BY181" s="174">
        <v>159</v>
      </c>
      <c r="BZ181" s="172"/>
      <c r="CA181" s="173"/>
      <c r="CB181" s="173"/>
      <c r="CC181" s="173"/>
      <c r="CD181" s="174"/>
      <c r="CE181" s="172"/>
      <c r="CF181" s="173"/>
      <c r="CG181" s="173"/>
      <c r="CH181" s="173"/>
      <c r="CI181" s="174"/>
    </row>
    <row r="182" s="147" customFormat="1" ht="14.6" spans="1:87">
      <c r="A182" s="175" t="s">
        <v>162</v>
      </c>
      <c r="B182" s="176"/>
      <c r="C182" s="177">
        <f t="shared" si="42"/>
        <v>33496</v>
      </c>
      <c r="D182" s="178">
        <f t="shared" si="30"/>
        <v>27218</v>
      </c>
      <c r="E182" s="178">
        <f t="shared" si="31"/>
        <v>21707</v>
      </c>
      <c r="F182" s="178">
        <f t="shared" si="32"/>
        <v>18944</v>
      </c>
      <c r="G182" s="179">
        <f t="shared" si="33"/>
        <v>101365</v>
      </c>
      <c r="H182" s="177">
        <f t="shared" si="43"/>
        <v>25561</v>
      </c>
      <c r="I182" s="178">
        <f t="shared" si="34"/>
        <v>27218</v>
      </c>
      <c r="J182" s="178">
        <f t="shared" si="35"/>
        <v>21707</v>
      </c>
      <c r="K182" s="178">
        <f t="shared" si="36"/>
        <v>18578</v>
      </c>
      <c r="L182" s="179">
        <f t="shared" si="37"/>
        <v>93064</v>
      </c>
      <c r="M182" s="177">
        <v>414</v>
      </c>
      <c r="N182" s="178">
        <v>820</v>
      </c>
      <c r="O182" s="178">
        <v>345</v>
      </c>
      <c r="P182" s="178">
        <v>759</v>
      </c>
      <c r="Q182" s="179">
        <v>2338</v>
      </c>
      <c r="R182" s="177">
        <v>2164</v>
      </c>
      <c r="S182" s="178">
        <v>1121</v>
      </c>
      <c r="T182" s="178">
        <v>2743</v>
      </c>
      <c r="U182" s="178">
        <v>1224</v>
      </c>
      <c r="V182" s="179">
        <v>7252</v>
      </c>
      <c r="W182" s="177"/>
      <c r="X182" s="178"/>
      <c r="Y182" s="178"/>
      <c r="Z182" s="178"/>
      <c r="AA182" s="179"/>
      <c r="AB182" s="177">
        <v>14485</v>
      </c>
      <c r="AC182" s="178">
        <v>16153</v>
      </c>
      <c r="AD182" s="178">
        <v>10892</v>
      </c>
      <c r="AE182" s="178">
        <v>8386</v>
      </c>
      <c r="AF182" s="179">
        <v>49916</v>
      </c>
      <c r="AG182" s="177"/>
      <c r="AH182" s="178"/>
      <c r="AI182" s="178"/>
      <c r="AJ182" s="178"/>
      <c r="AK182" s="179"/>
      <c r="AL182" s="177">
        <v>2001</v>
      </c>
      <c r="AM182" s="178">
        <v>1311</v>
      </c>
      <c r="AN182" s="178">
        <v>1311</v>
      </c>
      <c r="AO182" s="178">
        <v>1656</v>
      </c>
      <c r="AP182" s="179">
        <v>6279</v>
      </c>
      <c r="AQ182" s="177">
        <v>4170</v>
      </c>
      <c r="AR182" s="178">
        <v>4433</v>
      </c>
      <c r="AS182" s="178">
        <v>2168</v>
      </c>
      <c r="AT182" s="178">
        <v>3045</v>
      </c>
      <c r="AU182" s="179">
        <v>13816</v>
      </c>
      <c r="AV182" s="177">
        <v>1292</v>
      </c>
      <c r="AW182" s="178">
        <v>2690</v>
      </c>
      <c r="AX182" s="178">
        <v>3282</v>
      </c>
      <c r="AY182" s="178">
        <v>2956</v>
      </c>
      <c r="AZ182" s="179">
        <v>10220</v>
      </c>
      <c r="BA182" s="177">
        <v>1035</v>
      </c>
      <c r="BB182" s="178">
        <v>690</v>
      </c>
      <c r="BC182" s="178">
        <v>966</v>
      </c>
      <c r="BD182" s="178">
        <v>552</v>
      </c>
      <c r="BE182" s="179">
        <v>3243</v>
      </c>
      <c r="BF182" s="177">
        <f t="shared" si="44"/>
        <v>7935</v>
      </c>
      <c r="BG182" s="178">
        <f t="shared" si="38"/>
        <v>0</v>
      </c>
      <c r="BH182" s="178">
        <f t="shared" si="39"/>
        <v>0</v>
      </c>
      <c r="BI182" s="178">
        <f t="shared" si="40"/>
        <v>366</v>
      </c>
      <c r="BJ182" s="179">
        <f t="shared" si="41"/>
        <v>8301</v>
      </c>
      <c r="BK182" s="177">
        <v>4968</v>
      </c>
      <c r="BL182" s="178"/>
      <c r="BM182" s="178"/>
      <c r="BN182" s="178"/>
      <c r="BO182" s="179">
        <v>4968</v>
      </c>
      <c r="BP182" s="177">
        <v>2967</v>
      </c>
      <c r="BQ182" s="178"/>
      <c r="BR182" s="178"/>
      <c r="BS182" s="178"/>
      <c r="BT182" s="179">
        <v>2967</v>
      </c>
      <c r="BU182" s="177"/>
      <c r="BV182" s="178"/>
      <c r="BW182" s="178"/>
      <c r="BX182" s="178">
        <v>366</v>
      </c>
      <c r="BY182" s="179">
        <v>366</v>
      </c>
      <c r="BZ182" s="177"/>
      <c r="CA182" s="178"/>
      <c r="CB182" s="178"/>
      <c r="CC182" s="178"/>
      <c r="CD182" s="179"/>
      <c r="CE182" s="177"/>
      <c r="CF182" s="178"/>
      <c r="CG182" s="178"/>
      <c r="CH182" s="178"/>
      <c r="CI182" s="179"/>
    </row>
    <row r="183" spans="1:87">
      <c r="A183" s="170" t="s">
        <v>163</v>
      </c>
      <c r="B183" s="171" t="s">
        <v>26</v>
      </c>
      <c r="C183" s="172">
        <f t="shared" si="42"/>
        <v>39399</v>
      </c>
      <c r="D183" s="173">
        <f t="shared" si="30"/>
        <v>18699</v>
      </c>
      <c r="E183" s="173">
        <f t="shared" si="31"/>
        <v>21114</v>
      </c>
      <c r="F183" s="173">
        <f t="shared" si="32"/>
        <v>20838</v>
      </c>
      <c r="G183" s="174">
        <f t="shared" si="33"/>
        <v>100050</v>
      </c>
      <c r="H183" s="172">
        <f t="shared" si="43"/>
        <v>34638</v>
      </c>
      <c r="I183" s="173">
        <f t="shared" si="34"/>
        <v>18354</v>
      </c>
      <c r="J183" s="173">
        <f t="shared" si="35"/>
        <v>19734</v>
      </c>
      <c r="K183" s="173">
        <f t="shared" si="36"/>
        <v>19044</v>
      </c>
      <c r="L183" s="174">
        <f t="shared" si="37"/>
        <v>91770</v>
      </c>
      <c r="M183" s="172">
        <v>4347</v>
      </c>
      <c r="N183" s="173">
        <v>1380</v>
      </c>
      <c r="O183" s="173">
        <v>414</v>
      </c>
      <c r="P183" s="173">
        <v>69</v>
      </c>
      <c r="Q183" s="174">
        <v>6210</v>
      </c>
      <c r="R183" s="172">
        <v>11316</v>
      </c>
      <c r="S183" s="173">
        <v>9039</v>
      </c>
      <c r="T183" s="173">
        <v>13593</v>
      </c>
      <c r="U183" s="173">
        <v>12144</v>
      </c>
      <c r="V183" s="174">
        <v>46092</v>
      </c>
      <c r="W183" s="172"/>
      <c r="X183" s="173"/>
      <c r="Y183" s="173"/>
      <c r="Z183" s="173"/>
      <c r="AA183" s="174"/>
      <c r="AB183" s="172">
        <v>5865</v>
      </c>
      <c r="AC183" s="173">
        <v>4485</v>
      </c>
      <c r="AD183" s="173">
        <v>414</v>
      </c>
      <c r="AE183" s="173">
        <v>138</v>
      </c>
      <c r="AF183" s="174">
        <v>10902</v>
      </c>
      <c r="AG183" s="172"/>
      <c r="AH183" s="173"/>
      <c r="AI183" s="173"/>
      <c r="AJ183" s="173"/>
      <c r="AK183" s="174"/>
      <c r="AL183" s="172">
        <v>1656</v>
      </c>
      <c r="AM183" s="173">
        <v>1311</v>
      </c>
      <c r="AN183" s="173">
        <v>2553</v>
      </c>
      <c r="AO183" s="173">
        <v>1449</v>
      </c>
      <c r="AP183" s="174">
        <v>6969</v>
      </c>
      <c r="AQ183" s="172"/>
      <c r="AR183" s="173"/>
      <c r="AS183" s="173">
        <v>621</v>
      </c>
      <c r="AT183" s="173">
        <v>207</v>
      </c>
      <c r="AU183" s="174">
        <v>828</v>
      </c>
      <c r="AV183" s="172">
        <v>1035</v>
      </c>
      <c r="AW183" s="173">
        <v>1173</v>
      </c>
      <c r="AX183" s="173"/>
      <c r="AY183" s="173"/>
      <c r="AZ183" s="174">
        <v>2208</v>
      </c>
      <c r="BA183" s="172">
        <v>10419</v>
      </c>
      <c r="BB183" s="173">
        <v>966</v>
      </c>
      <c r="BC183" s="173">
        <v>2139</v>
      </c>
      <c r="BD183" s="173">
        <v>5037</v>
      </c>
      <c r="BE183" s="174">
        <v>18561</v>
      </c>
      <c r="BF183" s="172">
        <f t="shared" si="44"/>
        <v>4761</v>
      </c>
      <c r="BG183" s="173">
        <f t="shared" si="38"/>
        <v>345</v>
      </c>
      <c r="BH183" s="173">
        <f t="shared" si="39"/>
        <v>1380</v>
      </c>
      <c r="BI183" s="173">
        <f t="shared" si="40"/>
        <v>1794</v>
      </c>
      <c r="BJ183" s="174">
        <f t="shared" si="41"/>
        <v>8280</v>
      </c>
      <c r="BK183" s="172">
        <v>828</v>
      </c>
      <c r="BL183" s="173"/>
      <c r="BM183" s="173"/>
      <c r="BN183" s="173"/>
      <c r="BO183" s="174">
        <v>828</v>
      </c>
      <c r="BP183" s="172">
        <v>3864</v>
      </c>
      <c r="BQ183" s="173">
        <v>138</v>
      </c>
      <c r="BR183" s="173">
        <v>1242</v>
      </c>
      <c r="BS183" s="173">
        <v>1104</v>
      </c>
      <c r="BT183" s="174">
        <v>6348</v>
      </c>
      <c r="BU183" s="172">
        <v>69</v>
      </c>
      <c r="BV183" s="173">
        <v>207</v>
      </c>
      <c r="BW183" s="173">
        <v>138</v>
      </c>
      <c r="BX183" s="173">
        <v>690</v>
      </c>
      <c r="BY183" s="174">
        <v>1104</v>
      </c>
      <c r="BZ183" s="172"/>
      <c r="CA183" s="173"/>
      <c r="CB183" s="173"/>
      <c r="CC183" s="173"/>
      <c r="CD183" s="174"/>
      <c r="CE183" s="172"/>
      <c r="CF183" s="173"/>
      <c r="CG183" s="173"/>
      <c r="CH183" s="173"/>
      <c r="CI183" s="174"/>
    </row>
    <row r="184" s="147" customFormat="1" ht="14.6" spans="1:87">
      <c r="A184" s="175" t="s">
        <v>164</v>
      </c>
      <c r="B184" s="176"/>
      <c r="C184" s="177">
        <f t="shared" si="42"/>
        <v>39399</v>
      </c>
      <c r="D184" s="178">
        <f t="shared" si="30"/>
        <v>18699</v>
      </c>
      <c r="E184" s="178">
        <f t="shared" si="31"/>
        <v>21114</v>
      </c>
      <c r="F184" s="178">
        <f t="shared" si="32"/>
        <v>20838</v>
      </c>
      <c r="G184" s="179">
        <f t="shared" si="33"/>
        <v>100050</v>
      </c>
      <c r="H184" s="177">
        <f t="shared" si="43"/>
        <v>34638</v>
      </c>
      <c r="I184" s="178">
        <f t="shared" si="34"/>
        <v>18354</v>
      </c>
      <c r="J184" s="178">
        <f t="shared" si="35"/>
        <v>19734</v>
      </c>
      <c r="K184" s="178">
        <f t="shared" si="36"/>
        <v>19044</v>
      </c>
      <c r="L184" s="179">
        <f t="shared" si="37"/>
        <v>91770</v>
      </c>
      <c r="M184" s="177">
        <v>4347</v>
      </c>
      <c r="N184" s="178">
        <v>1380</v>
      </c>
      <c r="O184" s="178">
        <v>414</v>
      </c>
      <c r="P184" s="178">
        <v>69</v>
      </c>
      <c r="Q184" s="179">
        <v>6210</v>
      </c>
      <c r="R184" s="177">
        <v>11316</v>
      </c>
      <c r="S184" s="178">
        <v>9039</v>
      </c>
      <c r="T184" s="178">
        <v>13593</v>
      </c>
      <c r="U184" s="178">
        <v>12144</v>
      </c>
      <c r="V184" s="179">
        <v>46092</v>
      </c>
      <c r="W184" s="177"/>
      <c r="X184" s="178"/>
      <c r="Y184" s="178"/>
      <c r="Z184" s="178"/>
      <c r="AA184" s="179"/>
      <c r="AB184" s="177">
        <v>5865</v>
      </c>
      <c r="AC184" s="178">
        <v>4485</v>
      </c>
      <c r="AD184" s="178">
        <v>414</v>
      </c>
      <c r="AE184" s="178">
        <v>138</v>
      </c>
      <c r="AF184" s="179">
        <v>10902</v>
      </c>
      <c r="AG184" s="177"/>
      <c r="AH184" s="178"/>
      <c r="AI184" s="178"/>
      <c r="AJ184" s="178"/>
      <c r="AK184" s="179"/>
      <c r="AL184" s="177">
        <v>1656</v>
      </c>
      <c r="AM184" s="178">
        <v>1311</v>
      </c>
      <c r="AN184" s="178">
        <v>2553</v>
      </c>
      <c r="AO184" s="178">
        <v>1449</v>
      </c>
      <c r="AP184" s="179">
        <v>6969</v>
      </c>
      <c r="AQ184" s="177"/>
      <c r="AR184" s="178"/>
      <c r="AS184" s="178">
        <v>621</v>
      </c>
      <c r="AT184" s="178">
        <v>207</v>
      </c>
      <c r="AU184" s="179">
        <v>828</v>
      </c>
      <c r="AV184" s="177">
        <v>1035</v>
      </c>
      <c r="AW184" s="178">
        <v>1173</v>
      </c>
      <c r="AX184" s="178"/>
      <c r="AY184" s="178"/>
      <c r="AZ184" s="179">
        <v>2208</v>
      </c>
      <c r="BA184" s="177">
        <v>10419</v>
      </c>
      <c r="BB184" s="178">
        <v>966</v>
      </c>
      <c r="BC184" s="178">
        <v>2139</v>
      </c>
      <c r="BD184" s="178">
        <v>5037</v>
      </c>
      <c r="BE184" s="179">
        <v>18561</v>
      </c>
      <c r="BF184" s="177">
        <f t="shared" si="44"/>
        <v>4761</v>
      </c>
      <c r="BG184" s="178">
        <f t="shared" si="38"/>
        <v>345</v>
      </c>
      <c r="BH184" s="178">
        <f t="shared" si="39"/>
        <v>1380</v>
      </c>
      <c r="BI184" s="178">
        <f t="shared" si="40"/>
        <v>1794</v>
      </c>
      <c r="BJ184" s="179">
        <f t="shared" si="41"/>
        <v>8280</v>
      </c>
      <c r="BK184" s="177">
        <v>828</v>
      </c>
      <c r="BL184" s="178"/>
      <c r="BM184" s="178"/>
      <c r="BN184" s="178"/>
      <c r="BO184" s="179">
        <v>828</v>
      </c>
      <c r="BP184" s="177">
        <v>3864</v>
      </c>
      <c r="BQ184" s="178">
        <v>138</v>
      </c>
      <c r="BR184" s="178">
        <v>1242</v>
      </c>
      <c r="BS184" s="178">
        <v>1104</v>
      </c>
      <c r="BT184" s="179">
        <v>6348</v>
      </c>
      <c r="BU184" s="177">
        <v>69</v>
      </c>
      <c r="BV184" s="178">
        <v>207</v>
      </c>
      <c r="BW184" s="178">
        <v>138</v>
      </c>
      <c r="BX184" s="178">
        <v>690</v>
      </c>
      <c r="BY184" s="179">
        <v>1104</v>
      </c>
      <c r="BZ184" s="177"/>
      <c r="CA184" s="178"/>
      <c r="CB184" s="178"/>
      <c r="CC184" s="178"/>
      <c r="CD184" s="179"/>
      <c r="CE184" s="177"/>
      <c r="CF184" s="178"/>
      <c r="CG184" s="178"/>
      <c r="CH184" s="178"/>
      <c r="CI184" s="179"/>
    </row>
    <row r="185" spans="1:87">
      <c r="A185" s="170" t="s">
        <v>165</v>
      </c>
      <c r="B185" s="171" t="s">
        <v>26</v>
      </c>
      <c r="C185" s="172">
        <f t="shared" si="42"/>
        <v>68379</v>
      </c>
      <c r="D185" s="173">
        <f t="shared" si="30"/>
        <v>25599</v>
      </c>
      <c r="E185" s="173">
        <f t="shared" si="31"/>
        <v>3795</v>
      </c>
      <c r="F185" s="173">
        <f t="shared" si="32"/>
        <v>0</v>
      </c>
      <c r="G185" s="174">
        <f t="shared" si="33"/>
        <v>97773</v>
      </c>
      <c r="H185" s="172">
        <f t="shared" si="43"/>
        <v>68379</v>
      </c>
      <c r="I185" s="173">
        <f t="shared" si="34"/>
        <v>25599</v>
      </c>
      <c r="J185" s="173">
        <f t="shared" si="35"/>
        <v>3795</v>
      </c>
      <c r="K185" s="173">
        <f t="shared" si="36"/>
        <v>0</v>
      </c>
      <c r="L185" s="174">
        <f t="shared" si="37"/>
        <v>97773</v>
      </c>
      <c r="M185" s="172"/>
      <c r="N185" s="173"/>
      <c r="O185" s="173"/>
      <c r="P185" s="173"/>
      <c r="Q185" s="174"/>
      <c r="R185" s="172">
        <v>52509</v>
      </c>
      <c r="S185" s="173">
        <v>12972</v>
      </c>
      <c r="T185" s="173">
        <v>966</v>
      </c>
      <c r="U185" s="173"/>
      <c r="V185" s="174">
        <v>66447</v>
      </c>
      <c r="W185" s="172"/>
      <c r="X185" s="173"/>
      <c r="Y185" s="173"/>
      <c r="Z185" s="173"/>
      <c r="AA185" s="174"/>
      <c r="AB185" s="172"/>
      <c r="AC185" s="173"/>
      <c r="AD185" s="173"/>
      <c r="AE185" s="173"/>
      <c r="AF185" s="174"/>
      <c r="AG185" s="172"/>
      <c r="AH185" s="173"/>
      <c r="AI185" s="173"/>
      <c r="AJ185" s="173"/>
      <c r="AK185" s="174"/>
      <c r="AL185" s="172">
        <v>6279</v>
      </c>
      <c r="AM185" s="173">
        <v>5313</v>
      </c>
      <c r="AN185" s="173">
        <v>2415</v>
      </c>
      <c r="AO185" s="173"/>
      <c r="AP185" s="174">
        <v>14007</v>
      </c>
      <c r="AQ185" s="172">
        <v>9591</v>
      </c>
      <c r="AR185" s="173">
        <v>7314</v>
      </c>
      <c r="AS185" s="173">
        <v>414</v>
      </c>
      <c r="AT185" s="173"/>
      <c r="AU185" s="174">
        <v>17319</v>
      </c>
      <c r="AV185" s="172"/>
      <c r="AW185" s="173"/>
      <c r="AX185" s="173"/>
      <c r="AY185" s="173"/>
      <c r="AZ185" s="174"/>
      <c r="BA185" s="172"/>
      <c r="BB185" s="173"/>
      <c r="BC185" s="173"/>
      <c r="BD185" s="173"/>
      <c r="BE185" s="174"/>
      <c r="BF185" s="172">
        <f t="shared" si="44"/>
        <v>0</v>
      </c>
      <c r="BG185" s="173">
        <f t="shared" si="38"/>
        <v>0</v>
      </c>
      <c r="BH185" s="173">
        <f t="shared" si="39"/>
        <v>0</v>
      </c>
      <c r="BI185" s="173">
        <f t="shared" si="40"/>
        <v>0</v>
      </c>
      <c r="BJ185" s="174">
        <f t="shared" si="41"/>
        <v>0</v>
      </c>
      <c r="BK185" s="172"/>
      <c r="BL185" s="173"/>
      <c r="BM185" s="173"/>
      <c r="BN185" s="173"/>
      <c r="BO185" s="174"/>
      <c r="BP185" s="172"/>
      <c r="BQ185" s="173"/>
      <c r="BR185" s="173"/>
      <c r="BS185" s="173"/>
      <c r="BT185" s="174"/>
      <c r="BU185" s="172"/>
      <c r="BV185" s="173"/>
      <c r="BW185" s="173"/>
      <c r="BX185" s="173"/>
      <c r="BY185" s="174"/>
      <c r="BZ185" s="172"/>
      <c r="CA185" s="173"/>
      <c r="CB185" s="173"/>
      <c r="CC185" s="173"/>
      <c r="CD185" s="174"/>
      <c r="CE185" s="172"/>
      <c r="CF185" s="173"/>
      <c r="CG185" s="173"/>
      <c r="CH185" s="173"/>
      <c r="CI185" s="174"/>
    </row>
    <row r="186" s="147" customFormat="1" ht="14.6" spans="1:87">
      <c r="A186" s="175" t="s">
        <v>166</v>
      </c>
      <c r="B186" s="176"/>
      <c r="C186" s="177">
        <f t="shared" si="42"/>
        <v>68379</v>
      </c>
      <c r="D186" s="178">
        <f t="shared" si="30"/>
        <v>25599</v>
      </c>
      <c r="E186" s="178">
        <f t="shared" si="31"/>
        <v>3795</v>
      </c>
      <c r="F186" s="178">
        <f t="shared" si="32"/>
        <v>0</v>
      </c>
      <c r="G186" s="179">
        <f t="shared" si="33"/>
        <v>97773</v>
      </c>
      <c r="H186" s="177">
        <f t="shared" si="43"/>
        <v>68379</v>
      </c>
      <c r="I186" s="178">
        <f t="shared" si="34"/>
        <v>25599</v>
      </c>
      <c r="J186" s="178">
        <f t="shared" si="35"/>
        <v>3795</v>
      </c>
      <c r="K186" s="178">
        <f t="shared" si="36"/>
        <v>0</v>
      </c>
      <c r="L186" s="179">
        <f t="shared" si="37"/>
        <v>97773</v>
      </c>
      <c r="M186" s="177"/>
      <c r="N186" s="178"/>
      <c r="O186" s="178"/>
      <c r="P186" s="178"/>
      <c r="Q186" s="179"/>
      <c r="R186" s="177">
        <v>52509</v>
      </c>
      <c r="S186" s="178">
        <v>12972</v>
      </c>
      <c r="T186" s="178">
        <v>966</v>
      </c>
      <c r="U186" s="178"/>
      <c r="V186" s="179">
        <v>66447</v>
      </c>
      <c r="W186" s="177"/>
      <c r="X186" s="178"/>
      <c r="Y186" s="178"/>
      <c r="Z186" s="178"/>
      <c r="AA186" s="179"/>
      <c r="AB186" s="177"/>
      <c r="AC186" s="178"/>
      <c r="AD186" s="178"/>
      <c r="AE186" s="178"/>
      <c r="AF186" s="179"/>
      <c r="AG186" s="177"/>
      <c r="AH186" s="178"/>
      <c r="AI186" s="178"/>
      <c r="AJ186" s="178"/>
      <c r="AK186" s="179"/>
      <c r="AL186" s="177">
        <v>6279</v>
      </c>
      <c r="AM186" s="178">
        <v>5313</v>
      </c>
      <c r="AN186" s="178">
        <v>2415</v>
      </c>
      <c r="AO186" s="178"/>
      <c r="AP186" s="179">
        <v>14007</v>
      </c>
      <c r="AQ186" s="177">
        <v>9591</v>
      </c>
      <c r="AR186" s="178">
        <v>7314</v>
      </c>
      <c r="AS186" s="178">
        <v>414</v>
      </c>
      <c r="AT186" s="178"/>
      <c r="AU186" s="179">
        <v>17319</v>
      </c>
      <c r="AV186" s="177"/>
      <c r="AW186" s="178"/>
      <c r="AX186" s="178"/>
      <c r="AY186" s="178"/>
      <c r="AZ186" s="179"/>
      <c r="BA186" s="177"/>
      <c r="BB186" s="178"/>
      <c r="BC186" s="178"/>
      <c r="BD186" s="178"/>
      <c r="BE186" s="179"/>
      <c r="BF186" s="177">
        <f t="shared" si="44"/>
        <v>0</v>
      </c>
      <c r="BG186" s="178">
        <f t="shared" si="38"/>
        <v>0</v>
      </c>
      <c r="BH186" s="178">
        <f t="shared" si="39"/>
        <v>0</v>
      </c>
      <c r="BI186" s="178">
        <f t="shared" si="40"/>
        <v>0</v>
      </c>
      <c r="BJ186" s="179">
        <f t="shared" si="41"/>
        <v>0</v>
      </c>
      <c r="BK186" s="177"/>
      <c r="BL186" s="178"/>
      <c r="BM186" s="178"/>
      <c r="BN186" s="178"/>
      <c r="BO186" s="179"/>
      <c r="BP186" s="177"/>
      <c r="BQ186" s="178"/>
      <c r="BR186" s="178"/>
      <c r="BS186" s="178"/>
      <c r="BT186" s="179"/>
      <c r="BU186" s="177"/>
      <c r="BV186" s="178"/>
      <c r="BW186" s="178"/>
      <c r="BX186" s="178"/>
      <c r="BY186" s="179"/>
      <c r="BZ186" s="177"/>
      <c r="CA186" s="178"/>
      <c r="CB186" s="178"/>
      <c r="CC186" s="178"/>
      <c r="CD186" s="179"/>
      <c r="CE186" s="177"/>
      <c r="CF186" s="178"/>
      <c r="CG186" s="178"/>
      <c r="CH186" s="178"/>
      <c r="CI186" s="179"/>
    </row>
    <row r="187" spans="1:87">
      <c r="A187" s="170" t="s">
        <v>167</v>
      </c>
      <c r="B187" s="171" t="s">
        <v>26</v>
      </c>
      <c r="C187" s="172">
        <f t="shared" si="42"/>
        <v>29537</v>
      </c>
      <c r="D187" s="173">
        <f t="shared" si="30"/>
        <v>27170</v>
      </c>
      <c r="E187" s="173">
        <f t="shared" si="31"/>
        <v>22734</v>
      </c>
      <c r="F187" s="173">
        <f t="shared" si="32"/>
        <v>17351</v>
      </c>
      <c r="G187" s="174">
        <f t="shared" si="33"/>
        <v>96792</v>
      </c>
      <c r="H187" s="172">
        <f t="shared" si="43"/>
        <v>28000</v>
      </c>
      <c r="I187" s="173">
        <f t="shared" si="34"/>
        <v>25465</v>
      </c>
      <c r="J187" s="173">
        <f t="shared" si="35"/>
        <v>21787</v>
      </c>
      <c r="K187" s="173">
        <f t="shared" si="36"/>
        <v>16738</v>
      </c>
      <c r="L187" s="174">
        <f t="shared" si="37"/>
        <v>91990</v>
      </c>
      <c r="M187" s="172"/>
      <c r="N187" s="173"/>
      <c r="O187" s="173"/>
      <c r="P187" s="173"/>
      <c r="Q187" s="174"/>
      <c r="R187" s="172">
        <v>354</v>
      </c>
      <c r="S187" s="173"/>
      <c r="T187" s="173">
        <v>398</v>
      </c>
      <c r="U187" s="173">
        <v>1592</v>
      </c>
      <c r="V187" s="174">
        <v>2344</v>
      </c>
      <c r="W187" s="172"/>
      <c r="X187" s="173"/>
      <c r="Y187" s="173"/>
      <c r="Z187" s="173"/>
      <c r="AA187" s="174"/>
      <c r="AB187" s="172">
        <v>21584</v>
      </c>
      <c r="AC187" s="173">
        <v>22207</v>
      </c>
      <c r="AD187" s="173">
        <v>18314</v>
      </c>
      <c r="AE187" s="173">
        <v>11631</v>
      </c>
      <c r="AF187" s="174">
        <v>73736</v>
      </c>
      <c r="AG187" s="172"/>
      <c r="AH187" s="173"/>
      <c r="AI187" s="173"/>
      <c r="AJ187" s="173"/>
      <c r="AK187" s="174"/>
      <c r="AL187" s="172"/>
      <c r="AM187" s="173"/>
      <c r="AN187" s="173"/>
      <c r="AO187" s="173"/>
      <c r="AP187" s="174"/>
      <c r="AQ187" s="172">
        <v>413</v>
      </c>
      <c r="AR187" s="173"/>
      <c r="AS187" s="173">
        <v>499</v>
      </c>
      <c r="AT187" s="173"/>
      <c r="AU187" s="174">
        <v>912</v>
      </c>
      <c r="AV187" s="172">
        <v>1329</v>
      </c>
      <c r="AW187" s="173">
        <v>1574</v>
      </c>
      <c r="AX187" s="173">
        <v>1404</v>
      </c>
      <c r="AY187" s="173">
        <v>1791</v>
      </c>
      <c r="AZ187" s="174">
        <v>6098</v>
      </c>
      <c r="BA187" s="172">
        <v>4320</v>
      </c>
      <c r="BB187" s="173">
        <v>1684</v>
      </c>
      <c r="BC187" s="173">
        <v>1172</v>
      </c>
      <c r="BD187" s="173">
        <v>1724</v>
      </c>
      <c r="BE187" s="174">
        <v>8900</v>
      </c>
      <c r="BF187" s="172">
        <f t="shared" si="44"/>
        <v>1537</v>
      </c>
      <c r="BG187" s="173">
        <f t="shared" si="38"/>
        <v>1705</v>
      </c>
      <c r="BH187" s="173">
        <f t="shared" si="39"/>
        <v>947</v>
      </c>
      <c r="BI187" s="173">
        <f t="shared" si="40"/>
        <v>613</v>
      </c>
      <c r="BJ187" s="174">
        <f t="shared" si="41"/>
        <v>4802</v>
      </c>
      <c r="BK187" s="172"/>
      <c r="BL187" s="173"/>
      <c r="BM187" s="173"/>
      <c r="BN187" s="173"/>
      <c r="BO187" s="174"/>
      <c r="BP187" s="172">
        <v>1537</v>
      </c>
      <c r="BQ187" s="173">
        <v>1240</v>
      </c>
      <c r="BR187" s="173">
        <v>947</v>
      </c>
      <c r="BS187" s="173">
        <v>544</v>
      </c>
      <c r="BT187" s="174">
        <v>4268</v>
      </c>
      <c r="BU187" s="172"/>
      <c r="BV187" s="173">
        <v>199</v>
      </c>
      <c r="BW187" s="173"/>
      <c r="BX187" s="173">
        <v>69</v>
      </c>
      <c r="BY187" s="174">
        <v>268</v>
      </c>
      <c r="BZ187" s="172"/>
      <c r="CA187" s="173">
        <v>266</v>
      </c>
      <c r="CB187" s="173"/>
      <c r="CC187" s="173"/>
      <c r="CD187" s="174">
        <v>266</v>
      </c>
      <c r="CE187" s="172"/>
      <c r="CF187" s="173"/>
      <c r="CG187" s="173"/>
      <c r="CH187" s="173"/>
      <c r="CI187" s="174"/>
    </row>
    <row r="188" s="147" customFormat="1" ht="14.6" spans="1:87">
      <c r="A188" s="175" t="s">
        <v>168</v>
      </c>
      <c r="B188" s="176"/>
      <c r="C188" s="177">
        <f t="shared" si="42"/>
        <v>29537</v>
      </c>
      <c r="D188" s="178">
        <f t="shared" si="30"/>
        <v>27170</v>
      </c>
      <c r="E188" s="178">
        <f t="shared" si="31"/>
        <v>22734</v>
      </c>
      <c r="F188" s="178">
        <f t="shared" si="32"/>
        <v>17351</v>
      </c>
      <c r="G188" s="179">
        <f t="shared" si="33"/>
        <v>96792</v>
      </c>
      <c r="H188" s="177">
        <f t="shared" si="43"/>
        <v>28000</v>
      </c>
      <c r="I188" s="178">
        <f t="shared" si="34"/>
        <v>25465</v>
      </c>
      <c r="J188" s="178">
        <f t="shared" si="35"/>
        <v>21787</v>
      </c>
      <c r="K188" s="178">
        <f t="shared" si="36"/>
        <v>16738</v>
      </c>
      <c r="L188" s="179">
        <f t="shared" si="37"/>
        <v>91990</v>
      </c>
      <c r="M188" s="177"/>
      <c r="N188" s="178"/>
      <c r="O188" s="178"/>
      <c r="P188" s="178"/>
      <c r="Q188" s="179"/>
      <c r="R188" s="177">
        <v>354</v>
      </c>
      <c r="S188" s="178"/>
      <c r="T188" s="178">
        <v>398</v>
      </c>
      <c r="U188" s="178">
        <v>1592</v>
      </c>
      <c r="V188" s="179">
        <v>2344</v>
      </c>
      <c r="W188" s="177"/>
      <c r="X188" s="178"/>
      <c r="Y188" s="178"/>
      <c r="Z188" s="178"/>
      <c r="AA188" s="179"/>
      <c r="AB188" s="177">
        <v>21584</v>
      </c>
      <c r="AC188" s="178">
        <v>22207</v>
      </c>
      <c r="AD188" s="178">
        <v>18314</v>
      </c>
      <c r="AE188" s="178">
        <v>11631</v>
      </c>
      <c r="AF188" s="179">
        <v>73736</v>
      </c>
      <c r="AG188" s="177"/>
      <c r="AH188" s="178"/>
      <c r="AI188" s="178"/>
      <c r="AJ188" s="178"/>
      <c r="AK188" s="179"/>
      <c r="AL188" s="177"/>
      <c r="AM188" s="178"/>
      <c r="AN188" s="178"/>
      <c r="AO188" s="178"/>
      <c r="AP188" s="179"/>
      <c r="AQ188" s="177">
        <v>413</v>
      </c>
      <c r="AR188" s="178"/>
      <c r="AS188" s="178">
        <v>499</v>
      </c>
      <c r="AT188" s="178"/>
      <c r="AU188" s="179">
        <v>912</v>
      </c>
      <c r="AV188" s="177">
        <v>1329</v>
      </c>
      <c r="AW188" s="178">
        <v>1574</v>
      </c>
      <c r="AX188" s="178">
        <v>1404</v>
      </c>
      <c r="AY188" s="178">
        <v>1791</v>
      </c>
      <c r="AZ188" s="179">
        <v>6098</v>
      </c>
      <c r="BA188" s="177">
        <v>4320</v>
      </c>
      <c r="BB188" s="178">
        <v>1684</v>
      </c>
      <c r="BC188" s="178">
        <v>1172</v>
      </c>
      <c r="BD188" s="178">
        <v>1724</v>
      </c>
      <c r="BE188" s="179">
        <v>8900</v>
      </c>
      <c r="BF188" s="177">
        <f t="shared" si="44"/>
        <v>1537</v>
      </c>
      <c r="BG188" s="178">
        <f t="shared" si="38"/>
        <v>1705</v>
      </c>
      <c r="BH188" s="178">
        <f t="shared" si="39"/>
        <v>947</v>
      </c>
      <c r="BI188" s="178">
        <f t="shared" si="40"/>
        <v>613</v>
      </c>
      <c r="BJ188" s="179">
        <f t="shared" si="41"/>
        <v>4802</v>
      </c>
      <c r="BK188" s="177"/>
      <c r="BL188" s="178"/>
      <c r="BM188" s="178"/>
      <c r="BN188" s="178"/>
      <c r="BO188" s="179"/>
      <c r="BP188" s="177">
        <v>1537</v>
      </c>
      <c r="BQ188" s="178">
        <v>1240</v>
      </c>
      <c r="BR188" s="178">
        <v>947</v>
      </c>
      <c r="BS188" s="178">
        <v>544</v>
      </c>
      <c r="BT188" s="179">
        <v>4268</v>
      </c>
      <c r="BU188" s="177"/>
      <c r="BV188" s="178">
        <v>199</v>
      </c>
      <c r="BW188" s="178"/>
      <c r="BX188" s="178">
        <v>69</v>
      </c>
      <c r="BY188" s="179">
        <v>268</v>
      </c>
      <c r="BZ188" s="177"/>
      <c r="CA188" s="178">
        <v>266</v>
      </c>
      <c r="CB188" s="178"/>
      <c r="CC188" s="178"/>
      <c r="CD188" s="179">
        <v>266</v>
      </c>
      <c r="CE188" s="177"/>
      <c r="CF188" s="178"/>
      <c r="CG188" s="178"/>
      <c r="CH188" s="178"/>
      <c r="CI188" s="179"/>
    </row>
    <row r="189" spans="1:87">
      <c r="A189" s="170" t="s">
        <v>169</v>
      </c>
      <c r="B189" s="171" t="s">
        <v>26</v>
      </c>
      <c r="C189" s="172">
        <f t="shared" si="42"/>
        <v>25488</v>
      </c>
      <c r="D189" s="173">
        <f t="shared" si="30"/>
        <v>22361</v>
      </c>
      <c r="E189" s="173">
        <f t="shared" si="31"/>
        <v>25016</v>
      </c>
      <c r="F189" s="173">
        <f t="shared" si="32"/>
        <v>19411</v>
      </c>
      <c r="G189" s="174">
        <f t="shared" si="33"/>
        <v>92276</v>
      </c>
      <c r="H189" s="172">
        <f t="shared" si="43"/>
        <v>25488</v>
      </c>
      <c r="I189" s="173">
        <f t="shared" si="34"/>
        <v>22361</v>
      </c>
      <c r="J189" s="173">
        <f t="shared" si="35"/>
        <v>25016</v>
      </c>
      <c r="K189" s="173">
        <f t="shared" si="36"/>
        <v>19411</v>
      </c>
      <c r="L189" s="174">
        <f t="shared" si="37"/>
        <v>92276</v>
      </c>
      <c r="M189" s="172"/>
      <c r="N189" s="173"/>
      <c r="O189" s="173"/>
      <c r="P189" s="173"/>
      <c r="Q189" s="174"/>
      <c r="R189" s="172"/>
      <c r="S189" s="173"/>
      <c r="T189" s="173"/>
      <c r="U189" s="173"/>
      <c r="V189" s="174"/>
      <c r="W189" s="172"/>
      <c r="X189" s="173"/>
      <c r="Y189" s="173"/>
      <c r="Z189" s="173"/>
      <c r="AA189" s="174"/>
      <c r="AB189" s="172">
        <v>25488</v>
      </c>
      <c r="AC189" s="173">
        <v>22361</v>
      </c>
      <c r="AD189" s="173">
        <v>25016</v>
      </c>
      <c r="AE189" s="173">
        <v>19411</v>
      </c>
      <c r="AF189" s="174">
        <v>92276</v>
      </c>
      <c r="AG189" s="172"/>
      <c r="AH189" s="173"/>
      <c r="AI189" s="173"/>
      <c r="AJ189" s="173"/>
      <c r="AK189" s="174"/>
      <c r="AL189" s="172"/>
      <c r="AM189" s="173"/>
      <c r="AN189" s="173"/>
      <c r="AO189" s="173"/>
      <c r="AP189" s="174"/>
      <c r="AQ189" s="172"/>
      <c r="AR189" s="173"/>
      <c r="AS189" s="173"/>
      <c r="AT189" s="173"/>
      <c r="AU189" s="174"/>
      <c r="AV189" s="172"/>
      <c r="AW189" s="173"/>
      <c r="AX189" s="173"/>
      <c r="AY189" s="173"/>
      <c r="AZ189" s="174"/>
      <c r="BA189" s="172"/>
      <c r="BB189" s="173"/>
      <c r="BC189" s="173"/>
      <c r="BD189" s="173"/>
      <c r="BE189" s="174"/>
      <c r="BF189" s="172">
        <f t="shared" si="44"/>
        <v>0</v>
      </c>
      <c r="BG189" s="173">
        <f t="shared" si="38"/>
        <v>0</v>
      </c>
      <c r="BH189" s="173">
        <f t="shared" si="39"/>
        <v>0</v>
      </c>
      <c r="BI189" s="173">
        <f t="shared" si="40"/>
        <v>0</v>
      </c>
      <c r="BJ189" s="174">
        <f t="shared" si="41"/>
        <v>0</v>
      </c>
      <c r="BK189" s="172"/>
      <c r="BL189" s="173"/>
      <c r="BM189" s="173"/>
      <c r="BN189" s="173"/>
      <c r="BO189" s="174"/>
      <c r="BP189" s="172"/>
      <c r="BQ189" s="173"/>
      <c r="BR189" s="173"/>
      <c r="BS189" s="173"/>
      <c r="BT189" s="174"/>
      <c r="BU189" s="172"/>
      <c r="BV189" s="173"/>
      <c r="BW189" s="173"/>
      <c r="BX189" s="173"/>
      <c r="BY189" s="174"/>
      <c r="BZ189" s="172"/>
      <c r="CA189" s="173"/>
      <c r="CB189" s="173"/>
      <c r="CC189" s="173"/>
      <c r="CD189" s="174"/>
      <c r="CE189" s="172"/>
      <c r="CF189" s="173"/>
      <c r="CG189" s="173"/>
      <c r="CH189" s="173"/>
      <c r="CI189" s="174"/>
    </row>
    <row r="190" s="147" customFormat="1" ht="14.6" spans="1:87">
      <c r="A190" s="175" t="s">
        <v>170</v>
      </c>
      <c r="B190" s="176"/>
      <c r="C190" s="177">
        <f t="shared" si="42"/>
        <v>25488</v>
      </c>
      <c r="D190" s="178">
        <f t="shared" si="30"/>
        <v>22361</v>
      </c>
      <c r="E190" s="178">
        <f t="shared" si="31"/>
        <v>25016</v>
      </c>
      <c r="F190" s="178">
        <f t="shared" si="32"/>
        <v>19411</v>
      </c>
      <c r="G190" s="179">
        <f t="shared" si="33"/>
        <v>92276</v>
      </c>
      <c r="H190" s="177">
        <f t="shared" si="43"/>
        <v>25488</v>
      </c>
      <c r="I190" s="178">
        <f t="shared" si="34"/>
        <v>22361</v>
      </c>
      <c r="J190" s="178">
        <f t="shared" si="35"/>
        <v>25016</v>
      </c>
      <c r="K190" s="178">
        <f t="shared" si="36"/>
        <v>19411</v>
      </c>
      <c r="L190" s="179">
        <f t="shared" si="37"/>
        <v>92276</v>
      </c>
      <c r="M190" s="177"/>
      <c r="N190" s="178"/>
      <c r="O190" s="178"/>
      <c r="P190" s="178"/>
      <c r="Q190" s="179"/>
      <c r="R190" s="177"/>
      <c r="S190" s="178"/>
      <c r="T190" s="178"/>
      <c r="U190" s="178"/>
      <c r="V190" s="179"/>
      <c r="W190" s="177"/>
      <c r="X190" s="178"/>
      <c r="Y190" s="178"/>
      <c r="Z190" s="178"/>
      <c r="AA190" s="179"/>
      <c r="AB190" s="177">
        <v>25488</v>
      </c>
      <c r="AC190" s="178">
        <v>22361</v>
      </c>
      <c r="AD190" s="178">
        <v>25016</v>
      </c>
      <c r="AE190" s="178">
        <v>19411</v>
      </c>
      <c r="AF190" s="179">
        <v>92276</v>
      </c>
      <c r="AG190" s="177"/>
      <c r="AH190" s="178"/>
      <c r="AI190" s="178"/>
      <c r="AJ190" s="178"/>
      <c r="AK190" s="179"/>
      <c r="AL190" s="177"/>
      <c r="AM190" s="178"/>
      <c r="AN190" s="178"/>
      <c r="AO190" s="178"/>
      <c r="AP190" s="179"/>
      <c r="AQ190" s="177"/>
      <c r="AR190" s="178"/>
      <c r="AS190" s="178"/>
      <c r="AT190" s="178"/>
      <c r="AU190" s="179"/>
      <c r="AV190" s="177"/>
      <c r="AW190" s="178"/>
      <c r="AX190" s="178"/>
      <c r="AY190" s="178"/>
      <c r="AZ190" s="179"/>
      <c r="BA190" s="177"/>
      <c r="BB190" s="178"/>
      <c r="BC190" s="178"/>
      <c r="BD190" s="178"/>
      <c r="BE190" s="179"/>
      <c r="BF190" s="177">
        <f t="shared" si="44"/>
        <v>0</v>
      </c>
      <c r="BG190" s="178">
        <f t="shared" si="38"/>
        <v>0</v>
      </c>
      <c r="BH190" s="178">
        <f t="shared" si="39"/>
        <v>0</v>
      </c>
      <c r="BI190" s="178">
        <f t="shared" si="40"/>
        <v>0</v>
      </c>
      <c r="BJ190" s="179">
        <f t="shared" si="41"/>
        <v>0</v>
      </c>
      <c r="BK190" s="177"/>
      <c r="BL190" s="178"/>
      <c r="BM190" s="178"/>
      <c r="BN190" s="178"/>
      <c r="BO190" s="179"/>
      <c r="BP190" s="177"/>
      <c r="BQ190" s="178"/>
      <c r="BR190" s="178"/>
      <c r="BS190" s="178"/>
      <c r="BT190" s="179"/>
      <c r="BU190" s="177"/>
      <c r="BV190" s="178"/>
      <c r="BW190" s="178"/>
      <c r="BX190" s="178"/>
      <c r="BY190" s="179"/>
      <c r="BZ190" s="177"/>
      <c r="CA190" s="178"/>
      <c r="CB190" s="178"/>
      <c r="CC190" s="178"/>
      <c r="CD190" s="179"/>
      <c r="CE190" s="177"/>
      <c r="CF190" s="178"/>
      <c r="CG190" s="178"/>
      <c r="CH190" s="178"/>
      <c r="CI190" s="179"/>
    </row>
    <row r="191" spans="1:87">
      <c r="A191" s="170" t="s">
        <v>171</v>
      </c>
      <c r="B191" s="171" t="s">
        <v>26</v>
      </c>
      <c r="C191" s="172">
        <f t="shared" si="42"/>
        <v>21666</v>
      </c>
      <c r="D191" s="173">
        <f t="shared" si="30"/>
        <v>21666</v>
      </c>
      <c r="E191" s="173">
        <f t="shared" si="31"/>
        <v>19389</v>
      </c>
      <c r="F191" s="173">
        <f t="shared" si="32"/>
        <v>22908</v>
      </c>
      <c r="G191" s="174">
        <f t="shared" si="33"/>
        <v>85629</v>
      </c>
      <c r="H191" s="172">
        <f t="shared" si="43"/>
        <v>17940</v>
      </c>
      <c r="I191" s="173">
        <f t="shared" si="34"/>
        <v>16698</v>
      </c>
      <c r="J191" s="173">
        <f t="shared" si="35"/>
        <v>18630</v>
      </c>
      <c r="K191" s="173">
        <f t="shared" si="36"/>
        <v>22770</v>
      </c>
      <c r="L191" s="174">
        <f t="shared" si="37"/>
        <v>76038</v>
      </c>
      <c r="M191" s="172">
        <v>1173</v>
      </c>
      <c r="N191" s="173">
        <v>483</v>
      </c>
      <c r="O191" s="173">
        <v>276</v>
      </c>
      <c r="P191" s="173">
        <v>345</v>
      </c>
      <c r="Q191" s="174">
        <v>2277</v>
      </c>
      <c r="R191" s="172"/>
      <c r="S191" s="173"/>
      <c r="T191" s="173"/>
      <c r="U191" s="173"/>
      <c r="V191" s="174"/>
      <c r="W191" s="172"/>
      <c r="X191" s="173"/>
      <c r="Y191" s="173"/>
      <c r="Z191" s="173"/>
      <c r="AA191" s="174"/>
      <c r="AB191" s="172">
        <v>13041</v>
      </c>
      <c r="AC191" s="173">
        <v>8142</v>
      </c>
      <c r="AD191" s="173">
        <v>3243</v>
      </c>
      <c r="AE191" s="173">
        <v>828</v>
      </c>
      <c r="AF191" s="174">
        <v>25254</v>
      </c>
      <c r="AG191" s="172"/>
      <c r="AH191" s="173"/>
      <c r="AI191" s="173"/>
      <c r="AJ191" s="173"/>
      <c r="AK191" s="174"/>
      <c r="AL191" s="172">
        <v>621</v>
      </c>
      <c r="AM191" s="173">
        <v>207</v>
      </c>
      <c r="AN191" s="173">
        <v>552</v>
      </c>
      <c r="AO191" s="173">
        <v>759</v>
      </c>
      <c r="AP191" s="174">
        <v>2139</v>
      </c>
      <c r="AQ191" s="172"/>
      <c r="AR191" s="173"/>
      <c r="AS191" s="173"/>
      <c r="AT191" s="173"/>
      <c r="AU191" s="174"/>
      <c r="AV191" s="172">
        <v>828</v>
      </c>
      <c r="AW191" s="173">
        <v>759</v>
      </c>
      <c r="AX191" s="173">
        <v>897</v>
      </c>
      <c r="AY191" s="173">
        <v>69</v>
      </c>
      <c r="AZ191" s="174">
        <v>2553</v>
      </c>
      <c r="BA191" s="172">
        <v>2277</v>
      </c>
      <c r="BB191" s="173">
        <v>7107</v>
      </c>
      <c r="BC191" s="173">
        <v>13662</v>
      </c>
      <c r="BD191" s="173">
        <v>20769</v>
      </c>
      <c r="BE191" s="174">
        <v>43815</v>
      </c>
      <c r="BF191" s="172">
        <f t="shared" si="44"/>
        <v>3726</v>
      </c>
      <c r="BG191" s="173">
        <f t="shared" si="38"/>
        <v>4968</v>
      </c>
      <c r="BH191" s="173">
        <f t="shared" si="39"/>
        <v>759</v>
      </c>
      <c r="BI191" s="173">
        <f t="shared" si="40"/>
        <v>138</v>
      </c>
      <c r="BJ191" s="174">
        <f t="shared" si="41"/>
        <v>9591</v>
      </c>
      <c r="BK191" s="172"/>
      <c r="BL191" s="173"/>
      <c r="BM191" s="173"/>
      <c r="BN191" s="173"/>
      <c r="BO191" s="174"/>
      <c r="BP191" s="172"/>
      <c r="BQ191" s="173"/>
      <c r="BR191" s="173"/>
      <c r="BS191" s="173"/>
      <c r="BT191" s="174"/>
      <c r="BU191" s="172">
        <v>69</v>
      </c>
      <c r="BV191" s="173">
        <v>138</v>
      </c>
      <c r="BW191" s="173">
        <v>759</v>
      </c>
      <c r="BX191" s="173">
        <v>138</v>
      </c>
      <c r="BY191" s="174">
        <v>1104</v>
      </c>
      <c r="BZ191" s="172">
        <v>3657</v>
      </c>
      <c r="CA191" s="173">
        <v>4830</v>
      </c>
      <c r="CB191" s="173"/>
      <c r="CC191" s="173"/>
      <c r="CD191" s="174">
        <v>8487</v>
      </c>
      <c r="CE191" s="172"/>
      <c r="CF191" s="173"/>
      <c r="CG191" s="173"/>
      <c r="CH191" s="173"/>
      <c r="CI191" s="174"/>
    </row>
    <row r="192" s="147" customFormat="1" ht="14.6" spans="1:87">
      <c r="A192" s="175" t="s">
        <v>172</v>
      </c>
      <c r="B192" s="176"/>
      <c r="C192" s="177">
        <f t="shared" si="42"/>
        <v>21666</v>
      </c>
      <c r="D192" s="178">
        <f t="shared" si="30"/>
        <v>21666</v>
      </c>
      <c r="E192" s="178">
        <f t="shared" si="31"/>
        <v>19389</v>
      </c>
      <c r="F192" s="178">
        <f t="shared" si="32"/>
        <v>22908</v>
      </c>
      <c r="G192" s="179">
        <f t="shared" si="33"/>
        <v>85629</v>
      </c>
      <c r="H192" s="177">
        <f t="shared" si="43"/>
        <v>17940</v>
      </c>
      <c r="I192" s="178">
        <f t="shared" si="34"/>
        <v>16698</v>
      </c>
      <c r="J192" s="178">
        <f t="shared" si="35"/>
        <v>18630</v>
      </c>
      <c r="K192" s="178">
        <f t="shared" si="36"/>
        <v>22770</v>
      </c>
      <c r="L192" s="179">
        <f t="shared" si="37"/>
        <v>76038</v>
      </c>
      <c r="M192" s="177">
        <v>1173</v>
      </c>
      <c r="N192" s="178">
        <v>483</v>
      </c>
      <c r="O192" s="178">
        <v>276</v>
      </c>
      <c r="P192" s="178">
        <v>345</v>
      </c>
      <c r="Q192" s="179">
        <v>2277</v>
      </c>
      <c r="R192" s="177"/>
      <c r="S192" s="178"/>
      <c r="T192" s="178"/>
      <c r="U192" s="178"/>
      <c r="V192" s="179"/>
      <c r="W192" s="177"/>
      <c r="X192" s="178"/>
      <c r="Y192" s="178"/>
      <c r="Z192" s="178"/>
      <c r="AA192" s="179"/>
      <c r="AB192" s="177">
        <v>13041</v>
      </c>
      <c r="AC192" s="178">
        <v>8142</v>
      </c>
      <c r="AD192" s="178">
        <v>3243</v>
      </c>
      <c r="AE192" s="178">
        <v>828</v>
      </c>
      <c r="AF192" s="179">
        <v>25254</v>
      </c>
      <c r="AG192" s="177"/>
      <c r="AH192" s="178"/>
      <c r="AI192" s="178"/>
      <c r="AJ192" s="178"/>
      <c r="AK192" s="179"/>
      <c r="AL192" s="177">
        <v>621</v>
      </c>
      <c r="AM192" s="178">
        <v>207</v>
      </c>
      <c r="AN192" s="178">
        <v>552</v>
      </c>
      <c r="AO192" s="178">
        <v>759</v>
      </c>
      <c r="AP192" s="179">
        <v>2139</v>
      </c>
      <c r="AQ192" s="177"/>
      <c r="AR192" s="178"/>
      <c r="AS192" s="178"/>
      <c r="AT192" s="178"/>
      <c r="AU192" s="179"/>
      <c r="AV192" s="177">
        <v>828</v>
      </c>
      <c r="AW192" s="178">
        <v>759</v>
      </c>
      <c r="AX192" s="178">
        <v>897</v>
      </c>
      <c r="AY192" s="178">
        <v>69</v>
      </c>
      <c r="AZ192" s="179">
        <v>2553</v>
      </c>
      <c r="BA192" s="177">
        <v>2277</v>
      </c>
      <c r="BB192" s="178">
        <v>7107</v>
      </c>
      <c r="BC192" s="178">
        <v>13662</v>
      </c>
      <c r="BD192" s="178">
        <v>20769</v>
      </c>
      <c r="BE192" s="179">
        <v>43815</v>
      </c>
      <c r="BF192" s="177">
        <f t="shared" si="44"/>
        <v>3726</v>
      </c>
      <c r="BG192" s="178">
        <f t="shared" si="38"/>
        <v>4968</v>
      </c>
      <c r="BH192" s="178">
        <f t="shared" si="39"/>
        <v>759</v>
      </c>
      <c r="BI192" s="178">
        <f t="shared" si="40"/>
        <v>138</v>
      </c>
      <c r="BJ192" s="179">
        <f t="shared" si="41"/>
        <v>9591</v>
      </c>
      <c r="BK192" s="177"/>
      <c r="BL192" s="178"/>
      <c r="BM192" s="178"/>
      <c r="BN192" s="178"/>
      <c r="BO192" s="179"/>
      <c r="BP192" s="177"/>
      <c r="BQ192" s="178"/>
      <c r="BR192" s="178"/>
      <c r="BS192" s="178"/>
      <c r="BT192" s="179"/>
      <c r="BU192" s="177">
        <v>69</v>
      </c>
      <c r="BV192" s="178">
        <v>138</v>
      </c>
      <c r="BW192" s="178">
        <v>759</v>
      </c>
      <c r="BX192" s="178">
        <v>138</v>
      </c>
      <c r="BY192" s="179">
        <v>1104</v>
      </c>
      <c r="BZ192" s="177">
        <v>3657</v>
      </c>
      <c r="CA192" s="178">
        <v>4830</v>
      </c>
      <c r="CB192" s="178"/>
      <c r="CC192" s="178"/>
      <c r="CD192" s="179">
        <v>8487</v>
      </c>
      <c r="CE192" s="177"/>
      <c r="CF192" s="178"/>
      <c r="CG192" s="178"/>
      <c r="CH192" s="178"/>
      <c r="CI192" s="179"/>
    </row>
    <row r="193" spans="1:87">
      <c r="A193" s="170" t="s">
        <v>173</v>
      </c>
      <c r="B193" s="171" t="s">
        <v>26</v>
      </c>
      <c r="C193" s="172">
        <f t="shared" si="42"/>
        <v>28839</v>
      </c>
      <c r="D193" s="173">
        <f t="shared" si="30"/>
        <v>15592</v>
      </c>
      <c r="E193" s="173">
        <f t="shared" si="31"/>
        <v>19772</v>
      </c>
      <c r="F193" s="173">
        <f t="shared" si="32"/>
        <v>15850</v>
      </c>
      <c r="G193" s="174">
        <f t="shared" si="33"/>
        <v>80053</v>
      </c>
      <c r="H193" s="172">
        <f t="shared" si="43"/>
        <v>23181</v>
      </c>
      <c r="I193" s="173">
        <f t="shared" si="34"/>
        <v>13177</v>
      </c>
      <c r="J193" s="173">
        <f t="shared" si="35"/>
        <v>14252</v>
      </c>
      <c r="K193" s="173">
        <f t="shared" si="36"/>
        <v>10951</v>
      </c>
      <c r="L193" s="174">
        <f t="shared" si="37"/>
        <v>61561</v>
      </c>
      <c r="M193" s="172">
        <v>1368</v>
      </c>
      <c r="N193" s="173">
        <v>532</v>
      </c>
      <c r="O193" s="173">
        <v>719</v>
      </c>
      <c r="P193" s="173">
        <v>532</v>
      </c>
      <c r="Q193" s="174">
        <v>3151</v>
      </c>
      <c r="R193" s="172">
        <v>138</v>
      </c>
      <c r="S193" s="173">
        <v>1251</v>
      </c>
      <c r="T193" s="173">
        <v>276</v>
      </c>
      <c r="U193" s="173">
        <v>483</v>
      </c>
      <c r="V193" s="174">
        <v>2148</v>
      </c>
      <c r="W193" s="172"/>
      <c r="X193" s="173"/>
      <c r="Y193" s="173"/>
      <c r="Z193" s="173"/>
      <c r="AA193" s="174"/>
      <c r="AB193" s="172">
        <v>17595</v>
      </c>
      <c r="AC193" s="173">
        <v>9186</v>
      </c>
      <c r="AD193" s="173">
        <v>10419</v>
      </c>
      <c r="AE193" s="173">
        <v>7935</v>
      </c>
      <c r="AF193" s="174">
        <v>45135</v>
      </c>
      <c r="AG193" s="172"/>
      <c r="AH193" s="173"/>
      <c r="AI193" s="173"/>
      <c r="AJ193" s="173"/>
      <c r="AK193" s="174"/>
      <c r="AL193" s="172"/>
      <c r="AM193" s="173"/>
      <c r="AN193" s="173"/>
      <c r="AO193" s="173"/>
      <c r="AP193" s="174"/>
      <c r="AQ193" s="172">
        <v>1311</v>
      </c>
      <c r="AR193" s="173">
        <v>1311</v>
      </c>
      <c r="AS193" s="173">
        <v>1725</v>
      </c>
      <c r="AT193" s="173">
        <v>1173</v>
      </c>
      <c r="AU193" s="174">
        <v>5520</v>
      </c>
      <c r="AV193" s="172"/>
      <c r="AW193" s="173">
        <v>69</v>
      </c>
      <c r="AX193" s="173"/>
      <c r="AY193" s="173">
        <v>138</v>
      </c>
      <c r="AZ193" s="174">
        <v>207</v>
      </c>
      <c r="BA193" s="172">
        <v>2769</v>
      </c>
      <c r="BB193" s="173">
        <v>828</v>
      </c>
      <c r="BC193" s="173">
        <v>1113</v>
      </c>
      <c r="BD193" s="173">
        <v>690</v>
      </c>
      <c r="BE193" s="174">
        <v>5400</v>
      </c>
      <c r="BF193" s="172">
        <f t="shared" si="44"/>
        <v>5658</v>
      </c>
      <c r="BG193" s="173">
        <f t="shared" si="38"/>
        <v>2415</v>
      </c>
      <c r="BH193" s="173">
        <f t="shared" si="39"/>
        <v>5520</v>
      </c>
      <c r="BI193" s="173">
        <f t="shared" si="40"/>
        <v>4899</v>
      </c>
      <c r="BJ193" s="174">
        <f t="shared" si="41"/>
        <v>18492</v>
      </c>
      <c r="BK193" s="172"/>
      <c r="BL193" s="173"/>
      <c r="BM193" s="173"/>
      <c r="BN193" s="173"/>
      <c r="BO193" s="174"/>
      <c r="BP193" s="172">
        <v>4071</v>
      </c>
      <c r="BQ193" s="173">
        <v>345</v>
      </c>
      <c r="BR193" s="173">
        <v>207</v>
      </c>
      <c r="BS193" s="173">
        <v>276</v>
      </c>
      <c r="BT193" s="174">
        <v>4899</v>
      </c>
      <c r="BU193" s="172">
        <v>1587</v>
      </c>
      <c r="BV193" s="173">
        <v>2070</v>
      </c>
      <c r="BW193" s="173">
        <v>5313</v>
      </c>
      <c r="BX193" s="173">
        <v>4623</v>
      </c>
      <c r="BY193" s="174">
        <v>13593</v>
      </c>
      <c r="BZ193" s="172"/>
      <c r="CA193" s="173"/>
      <c r="CB193" s="173"/>
      <c r="CC193" s="173"/>
      <c r="CD193" s="174"/>
      <c r="CE193" s="172"/>
      <c r="CF193" s="173"/>
      <c r="CG193" s="173"/>
      <c r="CH193" s="173"/>
      <c r="CI193" s="174"/>
    </row>
    <row r="194" s="147" customFormat="1" ht="14.6" spans="1:87">
      <c r="A194" s="175" t="s">
        <v>174</v>
      </c>
      <c r="B194" s="176"/>
      <c r="C194" s="177">
        <f t="shared" si="42"/>
        <v>28839</v>
      </c>
      <c r="D194" s="178">
        <f t="shared" si="30"/>
        <v>15592</v>
      </c>
      <c r="E194" s="178">
        <f t="shared" si="31"/>
        <v>19772</v>
      </c>
      <c r="F194" s="178">
        <f t="shared" si="32"/>
        <v>15850</v>
      </c>
      <c r="G194" s="179">
        <f t="shared" si="33"/>
        <v>80053</v>
      </c>
      <c r="H194" s="177">
        <f t="shared" si="43"/>
        <v>23181</v>
      </c>
      <c r="I194" s="178">
        <f t="shared" si="34"/>
        <v>13177</v>
      </c>
      <c r="J194" s="178">
        <f t="shared" si="35"/>
        <v>14252</v>
      </c>
      <c r="K194" s="178">
        <f t="shared" si="36"/>
        <v>10951</v>
      </c>
      <c r="L194" s="179">
        <f t="shared" si="37"/>
        <v>61561</v>
      </c>
      <c r="M194" s="177">
        <v>1368</v>
      </c>
      <c r="N194" s="178">
        <v>532</v>
      </c>
      <c r="O194" s="178">
        <v>719</v>
      </c>
      <c r="P194" s="178">
        <v>532</v>
      </c>
      <c r="Q194" s="179">
        <v>3151</v>
      </c>
      <c r="R194" s="177">
        <v>138</v>
      </c>
      <c r="S194" s="178">
        <v>1251</v>
      </c>
      <c r="T194" s="178">
        <v>276</v>
      </c>
      <c r="U194" s="178">
        <v>483</v>
      </c>
      <c r="V194" s="179">
        <v>2148</v>
      </c>
      <c r="W194" s="177"/>
      <c r="X194" s="178"/>
      <c r="Y194" s="178"/>
      <c r="Z194" s="178"/>
      <c r="AA194" s="179"/>
      <c r="AB194" s="177">
        <v>17595</v>
      </c>
      <c r="AC194" s="178">
        <v>9186</v>
      </c>
      <c r="AD194" s="178">
        <v>10419</v>
      </c>
      <c r="AE194" s="178">
        <v>7935</v>
      </c>
      <c r="AF194" s="179">
        <v>45135</v>
      </c>
      <c r="AG194" s="177"/>
      <c r="AH194" s="178"/>
      <c r="AI194" s="178"/>
      <c r="AJ194" s="178"/>
      <c r="AK194" s="179"/>
      <c r="AL194" s="177"/>
      <c r="AM194" s="178"/>
      <c r="AN194" s="178"/>
      <c r="AO194" s="178"/>
      <c r="AP194" s="179"/>
      <c r="AQ194" s="177">
        <v>1311</v>
      </c>
      <c r="AR194" s="178">
        <v>1311</v>
      </c>
      <c r="AS194" s="178">
        <v>1725</v>
      </c>
      <c r="AT194" s="178">
        <v>1173</v>
      </c>
      <c r="AU194" s="179">
        <v>5520</v>
      </c>
      <c r="AV194" s="177"/>
      <c r="AW194" s="178">
        <v>69</v>
      </c>
      <c r="AX194" s="178"/>
      <c r="AY194" s="178">
        <v>138</v>
      </c>
      <c r="AZ194" s="179">
        <v>207</v>
      </c>
      <c r="BA194" s="177">
        <v>2769</v>
      </c>
      <c r="BB194" s="178">
        <v>828</v>
      </c>
      <c r="BC194" s="178">
        <v>1113</v>
      </c>
      <c r="BD194" s="178">
        <v>690</v>
      </c>
      <c r="BE194" s="179">
        <v>5400</v>
      </c>
      <c r="BF194" s="177">
        <f t="shared" si="44"/>
        <v>5658</v>
      </c>
      <c r="BG194" s="178">
        <f t="shared" si="38"/>
        <v>2415</v>
      </c>
      <c r="BH194" s="178">
        <f t="shared" si="39"/>
        <v>5520</v>
      </c>
      <c r="BI194" s="178">
        <f t="shared" si="40"/>
        <v>4899</v>
      </c>
      <c r="BJ194" s="179">
        <f t="shared" si="41"/>
        <v>18492</v>
      </c>
      <c r="BK194" s="177"/>
      <c r="BL194" s="178"/>
      <c r="BM194" s="178"/>
      <c r="BN194" s="178"/>
      <c r="BO194" s="179"/>
      <c r="BP194" s="177">
        <v>4071</v>
      </c>
      <c r="BQ194" s="178">
        <v>345</v>
      </c>
      <c r="BR194" s="178">
        <v>207</v>
      </c>
      <c r="BS194" s="178">
        <v>276</v>
      </c>
      <c r="BT194" s="179">
        <v>4899</v>
      </c>
      <c r="BU194" s="177">
        <v>1587</v>
      </c>
      <c r="BV194" s="178">
        <v>2070</v>
      </c>
      <c r="BW194" s="178">
        <v>5313</v>
      </c>
      <c r="BX194" s="178">
        <v>4623</v>
      </c>
      <c r="BY194" s="179">
        <v>13593</v>
      </c>
      <c r="BZ194" s="177"/>
      <c r="CA194" s="178"/>
      <c r="CB194" s="178"/>
      <c r="CC194" s="178"/>
      <c r="CD194" s="179"/>
      <c r="CE194" s="177"/>
      <c r="CF194" s="178"/>
      <c r="CG194" s="178"/>
      <c r="CH194" s="178"/>
      <c r="CI194" s="179"/>
    </row>
    <row r="195" spans="1:87">
      <c r="A195" s="170" t="s">
        <v>175</v>
      </c>
      <c r="B195" s="171" t="s">
        <v>26</v>
      </c>
      <c r="C195" s="172">
        <f t="shared" si="42"/>
        <v>22356</v>
      </c>
      <c r="D195" s="173">
        <f t="shared" ref="D195:D258" si="45">I195+BG195</f>
        <v>17388</v>
      </c>
      <c r="E195" s="173">
        <f t="shared" ref="E195:E258" si="46">J195+BH195</f>
        <v>23529</v>
      </c>
      <c r="F195" s="173">
        <f t="shared" ref="F195:F258" si="47">K195+BI195</f>
        <v>16284</v>
      </c>
      <c r="G195" s="174">
        <f t="shared" ref="G195:G258" si="48">L195+BJ195</f>
        <v>79557</v>
      </c>
      <c r="H195" s="172">
        <f t="shared" si="43"/>
        <v>17319</v>
      </c>
      <c r="I195" s="173">
        <f t="shared" ref="I195:I258" si="49">N195+S195+X195+AC195+AH195+AM195+AR195+AW195+BB195</f>
        <v>15456</v>
      </c>
      <c r="J195" s="173">
        <f t="shared" ref="J195:J258" si="50">O195+T195+Y195+AD195+AI195+AN195+AS195+AX195+BC195</f>
        <v>16629</v>
      </c>
      <c r="K195" s="173">
        <f t="shared" ref="K195:K258" si="51">P195+U195+Z195+AE195+AJ195+AO195+AT195+AY195+BD195</f>
        <v>12834</v>
      </c>
      <c r="L195" s="174">
        <f t="shared" ref="L195:L258" si="52">Q195+V195+AA195+AF195+AK195+AP195+AU195+AZ195+BE195</f>
        <v>62238</v>
      </c>
      <c r="M195" s="172">
        <v>69</v>
      </c>
      <c r="N195" s="173">
        <v>276</v>
      </c>
      <c r="O195" s="173"/>
      <c r="P195" s="173"/>
      <c r="Q195" s="174">
        <v>345</v>
      </c>
      <c r="R195" s="172">
        <v>3588</v>
      </c>
      <c r="S195" s="173">
        <v>4140</v>
      </c>
      <c r="T195" s="173">
        <v>6003</v>
      </c>
      <c r="U195" s="173">
        <v>5451</v>
      </c>
      <c r="V195" s="174">
        <v>19182</v>
      </c>
      <c r="W195" s="172"/>
      <c r="X195" s="173"/>
      <c r="Y195" s="173"/>
      <c r="Z195" s="173"/>
      <c r="AA195" s="174"/>
      <c r="AB195" s="172">
        <v>9315</v>
      </c>
      <c r="AC195" s="173">
        <v>6486</v>
      </c>
      <c r="AD195" s="173">
        <v>3726</v>
      </c>
      <c r="AE195" s="173">
        <v>4140</v>
      </c>
      <c r="AF195" s="174">
        <v>23667</v>
      </c>
      <c r="AG195" s="172"/>
      <c r="AH195" s="173">
        <v>1518</v>
      </c>
      <c r="AI195" s="173">
        <v>2277</v>
      </c>
      <c r="AJ195" s="173">
        <v>345</v>
      </c>
      <c r="AK195" s="174">
        <v>4140</v>
      </c>
      <c r="AL195" s="172">
        <v>621</v>
      </c>
      <c r="AM195" s="173">
        <v>552</v>
      </c>
      <c r="AN195" s="173">
        <v>1035</v>
      </c>
      <c r="AO195" s="173">
        <v>552</v>
      </c>
      <c r="AP195" s="174">
        <v>2760</v>
      </c>
      <c r="AQ195" s="172">
        <v>2760</v>
      </c>
      <c r="AR195" s="173">
        <v>1380</v>
      </c>
      <c r="AS195" s="173">
        <v>1725</v>
      </c>
      <c r="AT195" s="173">
        <v>2070</v>
      </c>
      <c r="AU195" s="174">
        <v>7935</v>
      </c>
      <c r="AV195" s="172">
        <v>276</v>
      </c>
      <c r="AW195" s="173">
        <v>207</v>
      </c>
      <c r="AX195" s="173">
        <v>69</v>
      </c>
      <c r="AY195" s="173">
        <v>138</v>
      </c>
      <c r="AZ195" s="174">
        <v>690</v>
      </c>
      <c r="BA195" s="172">
        <v>690</v>
      </c>
      <c r="BB195" s="173">
        <v>897</v>
      </c>
      <c r="BC195" s="173">
        <v>1794</v>
      </c>
      <c r="BD195" s="173">
        <v>138</v>
      </c>
      <c r="BE195" s="174">
        <v>3519</v>
      </c>
      <c r="BF195" s="172">
        <f t="shared" si="44"/>
        <v>5037</v>
      </c>
      <c r="BG195" s="173">
        <f t="shared" ref="BG195:BG258" si="53">BL195+BQ195+BV195+CA195+CF195</f>
        <v>1932</v>
      </c>
      <c r="BH195" s="173">
        <f t="shared" ref="BH195:BH258" si="54">BM195+BR195+BW195+CB195+CG195</f>
        <v>6900</v>
      </c>
      <c r="BI195" s="173">
        <f t="shared" ref="BI195:BI258" si="55">BN195+BS195+BX195+CC195+CH195</f>
        <v>3450</v>
      </c>
      <c r="BJ195" s="174">
        <f t="shared" ref="BJ195:BJ258" si="56">BO195+BT195+BY195+CD195+CI195</f>
        <v>17319</v>
      </c>
      <c r="BK195" s="172"/>
      <c r="BL195" s="173"/>
      <c r="BM195" s="173"/>
      <c r="BN195" s="173"/>
      <c r="BO195" s="174"/>
      <c r="BP195" s="172">
        <v>3312</v>
      </c>
      <c r="BQ195" s="173">
        <v>207</v>
      </c>
      <c r="BR195" s="173">
        <v>138</v>
      </c>
      <c r="BS195" s="173"/>
      <c r="BT195" s="174">
        <v>3657</v>
      </c>
      <c r="BU195" s="172">
        <v>1725</v>
      </c>
      <c r="BV195" s="173">
        <v>1725</v>
      </c>
      <c r="BW195" s="173">
        <v>6762</v>
      </c>
      <c r="BX195" s="173">
        <v>3450</v>
      </c>
      <c r="BY195" s="174">
        <v>13662</v>
      </c>
      <c r="BZ195" s="172"/>
      <c r="CA195" s="173"/>
      <c r="CB195" s="173"/>
      <c r="CC195" s="173"/>
      <c r="CD195" s="174"/>
      <c r="CE195" s="172"/>
      <c r="CF195" s="173"/>
      <c r="CG195" s="173"/>
      <c r="CH195" s="173"/>
      <c r="CI195" s="174"/>
    </row>
    <row r="196" s="147" customFormat="1" ht="14.6" spans="1:87">
      <c r="A196" s="175" t="s">
        <v>176</v>
      </c>
      <c r="B196" s="176"/>
      <c r="C196" s="177">
        <f t="shared" ref="C196:C259" si="57">H196+BF196</f>
        <v>22356</v>
      </c>
      <c r="D196" s="178">
        <f t="shared" si="45"/>
        <v>17388</v>
      </c>
      <c r="E196" s="178">
        <f t="shared" si="46"/>
        <v>23529</v>
      </c>
      <c r="F196" s="178">
        <f t="shared" si="47"/>
        <v>16284</v>
      </c>
      <c r="G196" s="179">
        <f t="shared" si="48"/>
        <v>79557</v>
      </c>
      <c r="H196" s="177">
        <f t="shared" ref="H196:H259" si="58">M196+R196+W196+AB196+AG196+AL196+AQ196+AV196+BA196</f>
        <v>17319</v>
      </c>
      <c r="I196" s="178">
        <f t="shared" si="49"/>
        <v>15456</v>
      </c>
      <c r="J196" s="178">
        <f t="shared" si="50"/>
        <v>16629</v>
      </c>
      <c r="K196" s="178">
        <f t="shared" si="51"/>
        <v>12834</v>
      </c>
      <c r="L196" s="179">
        <f t="shared" si="52"/>
        <v>62238</v>
      </c>
      <c r="M196" s="177">
        <v>69</v>
      </c>
      <c r="N196" s="178">
        <v>276</v>
      </c>
      <c r="O196" s="178"/>
      <c r="P196" s="178"/>
      <c r="Q196" s="179">
        <v>345</v>
      </c>
      <c r="R196" s="177">
        <v>3588</v>
      </c>
      <c r="S196" s="178">
        <v>4140</v>
      </c>
      <c r="T196" s="178">
        <v>6003</v>
      </c>
      <c r="U196" s="178">
        <v>5451</v>
      </c>
      <c r="V196" s="179">
        <v>19182</v>
      </c>
      <c r="W196" s="177"/>
      <c r="X196" s="178"/>
      <c r="Y196" s="178"/>
      <c r="Z196" s="178"/>
      <c r="AA196" s="179"/>
      <c r="AB196" s="177">
        <v>9315</v>
      </c>
      <c r="AC196" s="178">
        <v>6486</v>
      </c>
      <c r="AD196" s="178">
        <v>3726</v>
      </c>
      <c r="AE196" s="178">
        <v>4140</v>
      </c>
      <c r="AF196" s="179">
        <v>23667</v>
      </c>
      <c r="AG196" s="177"/>
      <c r="AH196" s="178">
        <v>1518</v>
      </c>
      <c r="AI196" s="178">
        <v>2277</v>
      </c>
      <c r="AJ196" s="178">
        <v>345</v>
      </c>
      <c r="AK196" s="179">
        <v>4140</v>
      </c>
      <c r="AL196" s="177">
        <v>621</v>
      </c>
      <c r="AM196" s="178">
        <v>552</v>
      </c>
      <c r="AN196" s="178">
        <v>1035</v>
      </c>
      <c r="AO196" s="178">
        <v>552</v>
      </c>
      <c r="AP196" s="179">
        <v>2760</v>
      </c>
      <c r="AQ196" s="177">
        <v>2760</v>
      </c>
      <c r="AR196" s="178">
        <v>1380</v>
      </c>
      <c r="AS196" s="178">
        <v>1725</v>
      </c>
      <c r="AT196" s="178">
        <v>2070</v>
      </c>
      <c r="AU196" s="179">
        <v>7935</v>
      </c>
      <c r="AV196" s="177">
        <v>276</v>
      </c>
      <c r="AW196" s="178">
        <v>207</v>
      </c>
      <c r="AX196" s="178">
        <v>69</v>
      </c>
      <c r="AY196" s="178">
        <v>138</v>
      </c>
      <c r="AZ196" s="179">
        <v>690</v>
      </c>
      <c r="BA196" s="177">
        <v>690</v>
      </c>
      <c r="BB196" s="178">
        <v>897</v>
      </c>
      <c r="BC196" s="178">
        <v>1794</v>
      </c>
      <c r="BD196" s="178">
        <v>138</v>
      </c>
      <c r="BE196" s="179">
        <v>3519</v>
      </c>
      <c r="BF196" s="177">
        <f t="shared" ref="BF196:BF259" si="59">BK196+BP196+BU196+BZ196+CE196</f>
        <v>5037</v>
      </c>
      <c r="BG196" s="178">
        <f t="shared" si="53"/>
        <v>1932</v>
      </c>
      <c r="BH196" s="178">
        <f t="shared" si="54"/>
        <v>6900</v>
      </c>
      <c r="BI196" s="178">
        <f t="shared" si="55"/>
        <v>3450</v>
      </c>
      <c r="BJ196" s="179">
        <f t="shared" si="56"/>
        <v>17319</v>
      </c>
      <c r="BK196" s="177"/>
      <c r="BL196" s="178"/>
      <c r="BM196" s="178"/>
      <c r="BN196" s="178"/>
      <c r="BO196" s="179"/>
      <c r="BP196" s="177">
        <v>3312</v>
      </c>
      <c r="BQ196" s="178">
        <v>207</v>
      </c>
      <c r="BR196" s="178">
        <v>138</v>
      </c>
      <c r="BS196" s="178"/>
      <c r="BT196" s="179">
        <v>3657</v>
      </c>
      <c r="BU196" s="177">
        <v>1725</v>
      </c>
      <c r="BV196" s="178">
        <v>1725</v>
      </c>
      <c r="BW196" s="178">
        <v>6762</v>
      </c>
      <c r="BX196" s="178">
        <v>3450</v>
      </c>
      <c r="BY196" s="179">
        <v>13662</v>
      </c>
      <c r="BZ196" s="177"/>
      <c r="CA196" s="178"/>
      <c r="CB196" s="178"/>
      <c r="CC196" s="178"/>
      <c r="CD196" s="179"/>
      <c r="CE196" s="177"/>
      <c r="CF196" s="178"/>
      <c r="CG196" s="178"/>
      <c r="CH196" s="178"/>
      <c r="CI196" s="179"/>
    </row>
    <row r="197" spans="1:87">
      <c r="A197" s="170" t="s">
        <v>177</v>
      </c>
      <c r="B197" s="171" t="s">
        <v>26</v>
      </c>
      <c r="C197" s="172">
        <f t="shared" si="57"/>
        <v>37674</v>
      </c>
      <c r="D197" s="173">
        <f t="shared" si="45"/>
        <v>13455</v>
      </c>
      <c r="E197" s="173">
        <f t="shared" si="46"/>
        <v>16629</v>
      </c>
      <c r="F197" s="173">
        <f t="shared" si="47"/>
        <v>8901</v>
      </c>
      <c r="G197" s="174">
        <f t="shared" si="48"/>
        <v>76659</v>
      </c>
      <c r="H197" s="172">
        <f t="shared" si="58"/>
        <v>35949</v>
      </c>
      <c r="I197" s="173">
        <f t="shared" si="49"/>
        <v>13455</v>
      </c>
      <c r="J197" s="173">
        <f t="shared" si="50"/>
        <v>16629</v>
      </c>
      <c r="K197" s="173">
        <f t="shared" si="51"/>
        <v>8901</v>
      </c>
      <c r="L197" s="174">
        <f t="shared" si="52"/>
        <v>74934</v>
      </c>
      <c r="M197" s="172">
        <v>3933</v>
      </c>
      <c r="N197" s="173">
        <v>1656</v>
      </c>
      <c r="O197" s="173">
        <v>345</v>
      </c>
      <c r="P197" s="173">
        <v>1242</v>
      </c>
      <c r="Q197" s="174">
        <v>7176</v>
      </c>
      <c r="R197" s="172">
        <v>1863</v>
      </c>
      <c r="S197" s="173">
        <v>207</v>
      </c>
      <c r="T197" s="173"/>
      <c r="U197" s="173"/>
      <c r="V197" s="174">
        <v>2070</v>
      </c>
      <c r="W197" s="172"/>
      <c r="X197" s="173"/>
      <c r="Y197" s="173"/>
      <c r="Z197" s="173"/>
      <c r="AA197" s="174"/>
      <c r="AB197" s="172">
        <v>5244</v>
      </c>
      <c r="AC197" s="173">
        <v>2070</v>
      </c>
      <c r="AD197" s="173">
        <v>1794</v>
      </c>
      <c r="AE197" s="173">
        <v>552</v>
      </c>
      <c r="AF197" s="174">
        <v>9660</v>
      </c>
      <c r="AG197" s="172"/>
      <c r="AH197" s="173"/>
      <c r="AI197" s="173"/>
      <c r="AJ197" s="173"/>
      <c r="AK197" s="174"/>
      <c r="AL197" s="172">
        <v>6693</v>
      </c>
      <c r="AM197" s="173">
        <v>4968</v>
      </c>
      <c r="AN197" s="173">
        <v>7038</v>
      </c>
      <c r="AO197" s="173">
        <v>5175</v>
      </c>
      <c r="AP197" s="174">
        <v>23874</v>
      </c>
      <c r="AQ197" s="172">
        <v>3588</v>
      </c>
      <c r="AR197" s="173">
        <v>1104</v>
      </c>
      <c r="AS197" s="173">
        <v>552</v>
      </c>
      <c r="AT197" s="173">
        <v>69</v>
      </c>
      <c r="AU197" s="174">
        <v>5313</v>
      </c>
      <c r="AV197" s="172">
        <v>3243</v>
      </c>
      <c r="AW197" s="173">
        <v>1449</v>
      </c>
      <c r="AX197" s="173">
        <v>276</v>
      </c>
      <c r="AY197" s="173">
        <v>828</v>
      </c>
      <c r="AZ197" s="174">
        <v>5796</v>
      </c>
      <c r="BA197" s="172">
        <v>11385</v>
      </c>
      <c r="BB197" s="173">
        <v>2001</v>
      </c>
      <c r="BC197" s="173">
        <v>6624</v>
      </c>
      <c r="BD197" s="173">
        <v>1035</v>
      </c>
      <c r="BE197" s="174">
        <v>21045</v>
      </c>
      <c r="BF197" s="172">
        <f t="shared" si="59"/>
        <v>1725</v>
      </c>
      <c r="BG197" s="173">
        <f t="shared" si="53"/>
        <v>0</v>
      </c>
      <c r="BH197" s="173">
        <f t="shared" si="54"/>
        <v>0</v>
      </c>
      <c r="BI197" s="173">
        <f t="shared" si="55"/>
        <v>0</v>
      </c>
      <c r="BJ197" s="174">
        <f t="shared" si="56"/>
        <v>1725</v>
      </c>
      <c r="BK197" s="172">
        <v>1656</v>
      </c>
      <c r="BL197" s="173"/>
      <c r="BM197" s="173"/>
      <c r="BN197" s="173"/>
      <c r="BO197" s="174">
        <v>1656</v>
      </c>
      <c r="BP197" s="172"/>
      <c r="BQ197" s="173"/>
      <c r="BR197" s="173"/>
      <c r="BS197" s="173"/>
      <c r="BT197" s="174"/>
      <c r="BU197" s="172">
        <v>69</v>
      </c>
      <c r="BV197" s="173"/>
      <c r="BW197" s="173"/>
      <c r="BX197" s="173"/>
      <c r="BY197" s="174">
        <v>69</v>
      </c>
      <c r="BZ197" s="172"/>
      <c r="CA197" s="173"/>
      <c r="CB197" s="173"/>
      <c r="CC197" s="173"/>
      <c r="CD197" s="174"/>
      <c r="CE197" s="172"/>
      <c r="CF197" s="173"/>
      <c r="CG197" s="173"/>
      <c r="CH197" s="173"/>
      <c r="CI197" s="174"/>
    </row>
    <row r="198" s="147" customFormat="1" ht="14.6" spans="1:87">
      <c r="A198" s="175" t="s">
        <v>178</v>
      </c>
      <c r="B198" s="176"/>
      <c r="C198" s="177">
        <f t="shared" si="57"/>
        <v>37674</v>
      </c>
      <c r="D198" s="178">
        <f t="shared" si="45"/>
        <v>13455</v>
      </c>
      <c r="E198" s="178">
        <f t="shared" si="46"/>
        <v>16629</v>
      </c>
      <c r="F198" s="178">
        <f t="shared" si="47"/>
        <v>8901</v>
      </c>
      <c r="G198" s="179">
        <f t="shared" si="48"/>
        <v>76659</v>
      </c>
      <c r="H198" s="177">
        <f t="shared" si="58"/>
        <v>35949</v>
      </c>
      <c r="I198" s="178">
        <f t="shared" si="49"/>
        <v>13455</v>
      </c>
      <c r="J198" s="178">
        <f t="shared" si="50"/>
        <v>16629</v>
      </c>
      <c r="K198" s="178">
        <f t="shared" si="51"/>
        <v>8901</v>
      </c>
      <c r="L198" s="179">
        <f t="shared" si="52"/>
        <v>74934</v>
      </c>
      <c r="M198" s="177">
        <v>3933</v>
      </c>
      <c r="N198" s="178">
        <v>1656</v>
      </c>
      <c r="O198" s="178">
        <v>345</v>
      </c>
      <c r="P198" s="178">
        <v>1242</v>
      </c>
      <c r="Q198" s="179">
        <v>7176</v>
      </c>
      <c r="R198" s="177">
        <v>1863</v>
      </c>
      <c r="S198" s="178">
        <v>207</v>
      </c>
      <c r="T198" s="178"/>
      <c r="U198" s="178"/>
      <c r="V198" s="179">
        <v>2070</v>
      </c>
      <c r="W198" s="177"/>
      <c r="X198" s="178"/>
      <c r="Y198" s="178"/>
      <c r="Z198" s="178"/>
      <c r="AA198" s="179"/>
      <c r="AB198" s="177">
        <v>5244</v>
      </c>
      <c r="AC198" s="178">
        <v>2070</v>
      </c>
      <c r="AD198" s="178">
        <v>1794</v>
      </c>
      <c r="AE198" s="178">
        <v>552</v>
      </c>
      <c r="AF198" s="179">
        <v>9660</v>
      </c>
      <c r="AG198" s="177"/>
      <c r="AH198" s="178"/>
      <c r="AI198" s="178"/>
      <c r="AJ198" s="178"/>
      <c r="AK198" s="179"/>
      <c r="AL198" s="177">
        <v>6693</v>
      </c>
      <c r="AM198" s="178">
        <v>4968</v>
      </c>
      <c r="AN198" s="178">
        <v>7038</v>
      </c>
      <c r="AO198" s="178">
        <v>5175</v>
      </c>
      <c r="AP198" s="179">
        <v>23874</v>
      </c>
      <c r="AQ198" s="177">
        <v>3588</v>
      </c>
      <c r="AR198" s="178">
        <v>1104</v>
      </c>
      <c r="AS198" s="178">
        <v>552</v>
      </c>
      <c r="AT198" s="178">
        <v>69</v>
      </c>
      <c r="AU198" s="179">
        <v>5313</v>
      </c>
      <c r="AV198" s="177">
        <v>3243</v>
      </c>
      <c r="AW198" s="178">
        <v>1449</v>
      </c>
      <c r="AX198" s="178">
        <v>276</v>
      </c>
      <c r="AY198" s="178">
        <v>828</v>
      </c>
      <c r="AZ198" s="179">
        <v>5796</v>
      </c>
      <c r="BA198" s="177">
        <v>11385</v>
      </c>
      <c r="BB198" s="178">
        <v>2001</v>
      </c>
      <c r="BC198" s="178">
        <v>6624</v>
      </c>
      <c r="BD198" s="178">
        <v>1035</v>
      </c>
      <c r="BE198" s="179">
        <v>21045</v>
      </c>
      <c r="BF198" s="177">
        <f t="shared" si="59"/>
        <v>1725</v>
      </c>
      <c r="BG198" s="178">
        <f t="shared" si="53"/>
        <v>0</v>
      </c>
      <c r="BH198" s="178">
        <f t="shared" si="54"/>
        <v>0</v>
      </c>
      <c r="BI198" s="178">
        <f t="shared" si="55"/>
        <v>0</v>
      </c>
      <c r="BJ198" s="179">
        <f t="shared" si="56"/>
        <v>1725</v>
      </c>
      <c r="BK198" s="177">
        <v>1656</v>
      </c>
      <c r="BL198" s="178"/>
      <c r="BM198" s="178"/>
      <c r="BN198" s="178"/>
      <c r="BO198" s="179">
        <v>1656</v>
      </c>
      <c r="BP198" s="177"/>
      <c r="BQ198" s="178"/>
      <c r="BR198" s="178"/>
      <c r="BS198" s="178"/>
      <c r="BT198" s="179"/>
      <c r="BU198" s="177">
        <v>69</v>
      </c>
      <c r="BV198" s="178"/>
      <c r="BW198" s="178"/>
      <c r="BX198" s="178"/>
      <c r="BY198" s="179">
        <v>69</v>
      </c>
      <c r="BZ198" s="177"/>
      <c r="CA198" s="178"/>
      <c r="CB198" s="178"/>
      <c r="CC198" s="178"/>
      <c r="CD198" s="179"/>
      <c r="CE198" s="177"/>
      <c r="CF198" s="178"/>
      <c r="CG198" s="178"/>
      <c r="CH198" s="178"/>
      <c r="CI198" s="179"/>
    </row>
    <row r="199" spans="1:87">
      <c r="A199" s="170" t="s">
        <v>179</v>
      </c>
      <c r="B199" s="171" t="s">
        <v>26</v>
      </c>
      <c r="C199" s="172">
        <f t="shared" si="57"/>
        <v>39124</v>
      </c>
      <c r="D199" s="173">
        <f t="shared" si="45"/>
        <v>6230</v>
      </c>
      <c r="E199" s="173">
        <f t="shared" si="46"/>
        <v>12227</v>
      </c>
      <c r="F199" s="173">
        <f t="shared" si="47"/>
        <v>6781</v>
      </c>
      <c r="G199" s="174">
        <f t="shared" si="48"/>
        <v>64362</v>
      </c>
      <c r="H199" s="172">
        <f t="shared" si="58"/>
        <v>13047</v>
      </c>
      <c r="I199" s="173">
        <f t="shared" si="49"/>
        <v>6141</v>
      </c>
      <c r="J199" s="173">
        <f t="shared" si="50"/>
        <v>12049</v>
      </c>
      <c r="K199" s="173">
        <f t="shared" si="51"/>
        <v>6336</v>
      </c>
      <c r="L199" s="174">
        <f t="shared" si="52"/>
        <v>37573</v>
      </c>
      <c r="M199" s="172">
        <v>1833</v>
      </c>
      <c r="N199" s="173">
        <v>890</v>
      </c>
      <c r="O199" s="173">
        <v>356</v>
      </c>
      <c r="P199" s="173">
        <v>1335</v>
      </c>
      <c r="Q199" s="174">
        <v>4414</v>
      </c>
      <c r="R199" s="172">
        <v>712</v>
      </c>
      <c r="S199" s="173">
        <v>445</v>
      </c>
      <c r="T199" s="173">
        <v>712</v>
      </c>
      <c r="U199" s="173">
        <v>1655</v>
      </c>
      <c r="V199" s="174">
        <v>3524</v>
      </c>
      <c r="W199" s="172"/>
      <c r="X199" s="173"/>
      <c r="Y199" s="173"/>
      <c r="Z199" s="173"/>
      <c r="AA199" s="174"/>
      <c r="AB199" s="172">
        <v>7387</v>
      </c>
      <c r="AC199" s="173">
        <v>2403</v>
      </c>
      <c r="AD199" s="173">
        <v>3969</v>
      </c>
      <c r="AE199" s="173">
        <v>1157</v>
      </c>
      <c r="AF199" s="174">
        <v>14916</v>
      </c>
      <c r="AG199" s="172">
        <v>1513</v>
      </c>
      <c r="AH199" s="173">
        <v>979</v>
      </c>
      <c r="AI199" s="173">
        <v>1602</v>
      </c>
      <c r="AJ199" s="173">
        <v>356</v>
      </c>
      <c r="AK199" s="174">
        <v>4450</v>
      </c>
      <c r="AL199" s="172"/>
      <c r="AM199" s="173"/>
      <c r="AN199" s="173"/>
      <c r="AO199" s="173"/>
      <c r="AP199" s="174"/>
      <c r="AQ199" s="172">
        <v>445</v>
      </c>
      <c r="AR199" s="173">
        <v>534</v>
      </c>
      <c r="AS199" s="173">
        <v>445</v>
      </c>
      <c r="AT199" s="173"/>
      <c r="AU199" s="174">
        <v>1424</v>
      </c>
      <c r="AV199" s="172">
        <v>534</v>
      </c>
      <c r="AW199" s="173">
        <v>623</v>
      </c>
      <c r="AX199" s="173">
        <v>712</v>
      </c>
      <c r="AY199" s="173">
        <v>178</v>
      </c>
      <c r="AZ199" s="174">
        <v>2047</v>
      </c>
      <c r="BA199" s="172">
        <v>623</v>
      </c>
      <c r="BB199" s="173">
        <v>267</v>
      </c>
      <c r="BC199" s="173">
        <v>4253</v>
      </c>
      <c r="BD199" s="173">
        <v>1655</v>
      </c>
      <c r="BE199" s="174">
        <v>6798</v>
      </c>
      <c r="BF199" s="172">
        <f t="shared" si="59"/>
        <v>26077</v>
      </c>
      <c r="BG199" s="173">
        <f t="shared" si="53"/>
        <v>89</v>
      </c>
      <c r="BH199" s="173">
        <f t="shared" si="54"/>
        <v>178</v>
      </c>
      <c r="BI199" s="173">
        <f t="shared" si="55"/>
        <v>445</v>
      </c>
      <c r="BJ199" s="174">
        <f t="shared" si="56"/>
        <v>26789</v>
      </c>
      <c r="BK199" s="172"/>
      <c r="BL199" s="173"/>
      <c r="BM199" s="173"/>
      <c r="BN199" s="173"/>
      <c r="BO199" s="174"/>
      <c r="BP199" s="172">
        <v>25899</v>
      </c>
      <c r="BQ199" s="173">
        <v>89</v>
      </c>
      <c r="BR199" s="173">
        <v>178</v>
      </c>
      <c r="BS199" s="173">
        <v>445</v>
      </c>
      <c r="BT199" s="174">
        <v>26611</v>
      </c>
      <c r="BU199" s="172">
        <v>178</v>
      </c>
      <c r="BV199" s="173"/>
      <c r="BW199" s="173"/>
      <c r="BX199" s="173"/>
      <c r="BY199" s="174">
        <v>178</v>
      </c>
      <c r="BZ199" s="172"/>
      <c r="CA199" s="173"/>
      <c r="CB199" s="173"/>
      <c r="CC199" s="173"/>
      <c r="CD199" s="174"/>
      <c r="CE199" s="172"/>
      <c r="CF199" s="173"/>
      <c r="CG199" s="173"/>
      <c r="CH199" s="173"/>
      <c r="CI199" s="174"/>
    </row>
    <row r="200" s="147" customFormat="1" ht="14.6" spans="1:87">
      <c r="A200" s="175" t="s">
        <v>180</v>
      </c>
      <c r="B200" s="176"/>
      <c r="C200" s="177">
        <f t="shared" si="57"/>
        <v>39124</v>
      </c>
      <c r="D200" s="178">
        <f t="shared" si="45"/>
        <v>6230</v>
      </c>
      <c r="E200" s="178">
        <f t="shared" si="46"/>
        <v>12227</v>
      </c>
      <c r="F200" s="178">
        <f t="shared" si="47"/>
        <v>6781</v>
      </c>
      <c r="G200" s="179">
        <f t="shared" si="48"/>
        <v>64362</v>
      </c>
      <c r="H200" s="177">
        <f t="shared" si="58"/>
        <v>13047</v>
      </c>
      <c r="I200" s="178">
        <f t="shared" si="49"/>
        <v>6141</v>
      </c>
      <c r="J200" s="178">
        <f t="shared" si="50"/>
        <v>12049</v>
      </c>
      <c r="K200" s="178">
        <f t="shared" si="51"/>
        <v>6336</v>
      </c>
      <c r="L200" s="179">
        <f t="shared" si="52"/>
        <v>37573</v>
      </c>
      <c r="M200" s="177">
        <v>1833</v>
      </c>
      <c r="N200" s="178">
        <v>890</v>
      </c>
      <c r="O200" s="178">
        <v>356</v>
      </c>
      <c r="P200" s="178">
        <v>1335</v>
      </c>
      <c r="Q200" s="179">
        <v>4414</v>
      </c>
      <c r="R200" s="177">
        <v>712</v>
      </c>
      <c r="S200" s="178">
        <v>445</v>
      </c>
      <c r="T200" s="178">
        <v>712</v>
      </c>
      <c r="U200" s="178">
        <v>1655</v>
      </c>
      <c r="V200" s="179">
        <v>3524</v>
      </c>
      <c r="W200" s="177"/>
      <c r="X200" s="178"/>
      <c r="Y200" s="178"/>
      <c r="Z200" s="178"/>
      <c r="AA200" s="179"/>
      <c r="AB200" s="177">
        <v>7387</v>
      </c>
      <c r="AC200" s="178">
        <v>2403</v>
      </c>
      <c r="AD200" s="178">
        <v>3969</v>
      </c>
      <c r="AE200" s="178">
        <v>1157</v>
      </c>
      <c r="AF200" s="179">
        <v>14916</v>
      </c>
      <c r="AG200" s="177">
        <v>1513</v>
      </c>
      <c r="AH200" s="178">
        <v>979</v>
      </c>
      <c r="AI200" s="178">
        <v>1602</v>
      </c>
      <c r="AJ200" s="178">
        <v>356</v>
      </c>
      <c r="AK200" s="179">
        <v>4450</v>
      </c>
      <c r="AL200" s="177"/>
      <c r="AM200" s="178"/>
      <c r="AN200" s="178"/>
      <c r="AO200" s="178"/>
      <c r="AP200" s="179"/>
      <c r="AQ200" s="177">
        <v>445</v>
      </c>
      <c r="AR200" s="178">
        <v>534</v>
      </c>
      <c r="AS200" s="178">
        <v>445</v>
      </c>
      <c r="AT200" s="178"/>
      <c r="AU200" s="179">
        <v>1424</v>
      </c>
      <c r="AV200" s="177">
        <v>534</v>
      </c>
      <c r="AW200" s="178">
        <v>623</v>
      </c>
      <c r="AX200" s="178">
        <v>712</v>
      </c>
      <c r="AY200" s="178">
        <v>178</v>
      </c>
      <c r="AZ200" s="179">
        <v>2047</v>
      </c>
      <c r="BA200" s="177">
        <v>623</v>
      </c>
      <c r="BB200" s="178">
        <v>267</v>
      </c>
      <c r="BC200" s="178">
        <v>4253</v>
      </c>
      <c r="BD200" s="178">
        <v>1655</v>
      </c>
      <c r="BE200" s="179">
        <v>6798</v>
      </c>
      <c r="BF200" s="177">
        <f t="shared" si="59"/>
        <v>26077</v>
      </c>
      <c r="BG200" s="178">
        <f t="shared" si="53"/>
        <v>89</v>
      </c>
      <c r="BH200" s="178">
        <f t="shared" si="54"/>
        <v>178</v>
      </c>
      <c r="BI200" s="178">
        <f t="shared" si="55"/>
        <v>445</v>
      </c>
      <c r="BJ200" s="179">
        <f t="shared" si="56"/>
        <v>26789</v>
      </c>
      <c r="BK200" s="177"/>
      <c r="BL200" s="178"/>
      <c r="BM200" s="178"/>
      <c r="BN200" s="178"/>
      <c r="BO200" s="179"/>
      <c r="BP200" s="177">
        <v>25899</v>
      </c>
      <c r="BQ200" s="178">
        <v>89</v>
      </c>
      <c r="BR200" s="178">
        <v>178</v>
      </c>
      <c r="BS200" s="178">
        <v>445</v>
      </c>
      <c r="BT200" s="179">
        <v>26611</v>
      </c>
      <c r="BU200" s="177">
        <v>178</v>
      </c>
      <c r="BV200" s="178"/>
      <c r="BW200" s="178"/>
      <c r="BX200" s="178"/>
      <c r="BY200" s="179">
        <v>178</v>
      </c>
      <c r="BZ200" s="177"/>
      <c r="CA200" s="178"/>
      <c r="CB200" s="178"/>
      <c r="CC200" s="178"/>
      <c r="CD200" s="179"/>
      <c r="CE200" s="177"/>
      <c r="CF200" s="178"/>
      <c r="CG200" s="178"/>
      <c r="CH200" s="178"/>
      <c r="CI200" s="179"/>
    </row>
    <row r="201" spans="1:87">
      <c r="A201" s="170" t="s">
        <v>181</v>
      </c>
      <c r="B201" s="171" t="s">
        <v>26</v>
      </c>
      <c r="C201" s="172">
        <f t="shared" si="57"/>
        <v>15503</v>
      </c>
      <c r="D201" s="173">
        <f t="shared" si="45"/>
        <v>9674</v>
      </c>
      <c r="E201" s="173">
        <f t="shared" si="46"/>
        <v>7365</v>
      </c>
      <c r="F201" s="173">
        <f t="shared" si="47"/>
        <v>8264</v>
      </c>
      <c r="G201" s="174">
        <f t="shared" si="48"/>
        <v>40806</v>
      </c>
      <c r="H201" s="172">
        <f t="shared" si="58"/>
        <v>15227</v>
      </c>
      <c r="I201" s="173">
        <f t="shared" si="49"/>
        <v>9556</v>
      </c>
      <c r="J201" s="173">
        <f t="shared" si="50"/>
        <v>7188</v>
      </c>
      <c r="K201" s="173">
        <f t="shared" si="51"/>
        <v>8205</v>
      </c>
      <c r="L201" s="174">
        <f t="shared" si="52"/>
        <v>40176</v>
      </c>
      <c r="M201" s="172">
        <v>325</v>
      </c>
      <c r="N201" s="173">
        <v>453</v>
      </c>
      <c r="O201" s="173">
        <v>0</v>
      </c>
      <c r="P201" s="173">
        <v>59</v>
      </c>
      <c r="Q201" s="174">
        <v>837</v>
      </c>
      <c r="R201" s="172"/>
      <c r="S201" s="173"/>
      <c r="T201" s="173"/>
      <c r="U201" s="173"/>
      <c r="V201" s="174"/>
      <c r="W201" s="172"/>
      <c r="X201" s="173"/>
      <c r="Y201" s="173"/>
      <c r="Z201" s="173"/>
      <c r="AA201" s="174"/>
      <c r="AB201" s="172">
        <v>11986</v>
      </c>
      <c r="AC201" s="173">
        <v>8482</v>
      </c>
      <c r="AD201" s="173">
        <v>5948</v>
      </c>
      <c r="AE201" s="173">
        <v>8146</v>
      </c>
      <c r="AF201" s="174">
        <v>34562</v>
      </c>
      <c r="AG201" s="172"/>
      <c r="AH201" s="173"/>
      <c r="AI201" s="173"/>
      <c r="AJ201" s="173"/>
      <c r="AK201" s="174"/>
      <c r="AL201" s="172"/>
      <c r="AM201" s="173"/>
      <c r="AN201" s="173"/>
      <c r="AO201" s="173"/>
      <c r="AP201" s="174"/>
      <c r="AQ201" s="172"/>
      <c r="AR201" s="173"/>
      <c r="AS201" s="173"/>
      <c r="AT201" s="173"/>
      <c r="AU201" s="174"/>
      <c r="AV201" s="172">
        <v>2335</v>
      </c>
      <c r="AW201" s="173">
        <v>138</v>
      </c>
      <c r="AX201" s="173">
        <v>256</v>
      </c>
      <c r="AY201" s="173"/>
      <c r="AZ201" s="174">
        <v>2729</v>
      </c>
      <c r="BA201" s="172">
        <v>581</v>
      </c>
      <c r="BB201" s="173">
        <v>483</v>
      </c>
      <c r="BC201" s="173">
        <v>984</v>
      </c>
      <c r="BD201" s="173"/>
      <c r="BE201" s="174">
        <v>2048</v>
      </c>
      <c r="BF201" s="172">
        <f t="shared" si="59"/>
        <v>276</v>
      </c>
      <c r="BG201" s="173">
        <f t="shared" si="53"/>
        <v>118</v>
      </c>
      <c r="BH201" s="173">
        <f t="shared" si="54"/>
        <v>177</v>
      </c>
      <c r="BI201" s="173">
        <f t="shared" si="55"/>
        <v>59</v>
      </c>
      <c r="BJ201" s="174">
        <f t="shared" si="56"/>
        <v>630</v>
      </c>
      <c r="BK201" s="172"/>
      <c r="BL201" s="173"/>
      <c r="BM201" s="173"/>
      <c r="BN201" s="173"/>
      <c r="BO201" s="174"/>
      <c r="BP201" s="172"/>
      <c r="BQ201" s="173"/>
      <c r="BR201" s="173"/>
      <c r="BS201" s="173"/>
      <c r="BT201" s="174"/>
      <c r="BU201" s="172">
        <v>276</v>
      </c>
      <c r="BV201" s="173">
        <v>59</v>
      </c>
      <c r="BW201" s="173">
        <v>59</v>
      </c>
      <c r="BX201" s="173">
        <v>59</v>
      </c>
      <c r="BY201" s="174">
        <v>453</v>
      </c>
      <c r="BZ201" s="172"/>
      <c r="CA201" s="173">
        <v>59</v>
      </c>
      <c r="CB201" s="173">
        <v>118</v>
      </c>
      <c r="CC201" s="173"/>
      <c r="CD201" s="174">
        <v>177</v>
      </c>
      <c r="CE201" s="172"/>
      <c r="CF201" s="173"/>
      <c r="CG201" s="173"/>
      <c r="CH201" s="173"/>
      <c r="CI201" s="174"/>
    </row>
    <row r="202" s="147" customFormat="1" ht="14.6" spans="1:87">
      <c r="A202" s="175" t="s">
        <v>182</v>
      </c>
      <c r="B202" s="176"/>
      <c r="C202" s="177">
        <f t="shared" si="57"/>
        <v>15503</v>
      </c>
      <c r="D202" s="178">
        <f t="shared" si="45"/>
        <v>9674</v>
      </c>
      <c r="E202" s="178">
        <f t="shared" si="46"/>
        <v>7365</v>
      </c>
      <c r="F202" s="178">
        <f t="shared" si="47"/>
        <v>8264</v>
      </c>
      <c r="G202" s="179">
        <f t="shared" si="48"/>
        <v>40806</v>
      </c>
      <c r="H202" s="177">
        <f t="shared" si="58"/>
        <v>15227</v>
      </c>
      <c r="I202" s="178">
        <f t="shared" si="49"/>
        <v>9556</v>
      </c>
      <c r="J202" s="178">
        <f t="shared" si="50"/>
        <v>7188</v>
      </c>
      <c r="K202" s="178">
        <f t="shared" si="51"/>
        <v>8205</v>
      </c>
      <c r="L202" s="179">
        <f t="shared" si="52"/>
        <v>40176</v>
      </c>
      <c r="M202" s="177">
        <v>325</v>
      </c>
      <c r="N202" s="178">
        <v>453</v>
      </c>
      <c r="O202" s="178">
        <v>0</v>
      </c>
      <c r="P202" s="178">
        <v>59</v>
      </c>
      <c r="Q202" s="179">
        <v>837</v>
      </c>
      <c r="R202" s="177"/>
      <c r="S202" s="178"/>
      <c r="T202" s="178"/>
      <c r="U202" s="178"/>
      <c r="V202" s="179"/>
      <c r="W202" s="177"/>
      <c r="X202" s="178"/>
      <c r="Y202" s="178"/>
      <c r="Z202" s="178"/>
      <c r="AA202" s="179"/>
      <c r="AB202" s="177">
        <v>11986</v>
      </c>
      <c r="AC202" s="178">
        <v>8482</v>
      </c>
      <c r="AD202" s="178">
        <v>5948</v>
      </c>
      <c r="AE202" s="178">
        <v>8146</v>
      </c>
      <c r="AF202" s="179">
        <v>34562</v>
      </c>
      <c r="AG202" s="177"/>
      <c r="AH202" s="178"/>
      <c r="AI202" s="178"/>
      <c r="AJ202" s="178"/>
      <c r="AK202" s="179"/>
      <c r="AL202" s="177"/>
      <c r="AM202" s="178"/>
      <c r="AN202" s="178"/>
      <c r="AO202" s="178"/>
      <c r="AP202" s="179"/>
      <c r="AQ202" s="177"/>
      <c r="AR202" s="178"/>
      <c r="AS202" s="178"/>
      <c r="AT202" s="178"/>
      <c r="AU202" s="179"/>
      <c r="AV202" s="177">
        <v>2335</v>
      </c>
      <c r="AW202" s="178">
        <v>138</v>
      </c>
      <c r="AX202" s="178">
        <v>256</v>
      </c>
      <c r="AY202" s="178"/>
      <c r="AZ202" s="179">
        <v>2729</v>
      </c>
      <c r="BA202" s="177">
        <v>581</v>
      </c>
      <c r="BB202" s="178">
        <v>483</v>
      </c>
      <c r="BC202" s="178">
        <v>984</v>
      </c>
      <c r="BD202" s="178"/>
      <c r="BE202" s="179">
        <v>2048</v>
      </c>
      <c r="BF202" s="177">
        <f t="shared" si="59"/>
        <v>276</v>
      </c>
      <c r="BG202" s="178">
        <f t="shared" si="53"/>
        <v>118</v>
      </c>
      <c r="BH202" s="178">
        <f t="shared" si="54"/>
        <v>177</v>
      </c>
      <c r="BI202" s="178">
        <f t="shared" si="55"/>
        <v>59</v>
      </c>
      <c r="BJ202" s="179">
        <f t="shared" si="56"/>
        <v>630</v>
      </c>
      <c r="BK202" s="177"/>
      <c r="BL202" s="178"/>
      <c r="BM202" s="178"/>
      <c r="BN202" s="178"/>
      <c r="BO202" s="179"/>
      <c r="BP202" s="177"/>
      <c r="BQ202" s="178"/>
      <c r="BR202" s="178"/>
      <c r="BS202" s="178"/>
      <c r="BT202" s="179"/>
      <c r="BU202" s="177">
        <v>276</v>
      </c>
      <c r="BV202" s="178">
        <v>59</v>
      </c>
      <c r="BW202" s="178">
        <v>59</v>
      </c>
      <c r="BX202" s="178">
        <v>59</v>
      </c>
      <c r="BY202" s="179">
        <v>453</v>
      </c>
      <c r="BZ202" s="177"/>
      <c r="CA202" s="178">
        <v>59</v>
      </c>
      <c r="CB202" s="178">
        <v>118</v>
      </c>
      <c r="CC202" s="178"/>
      <c r="CD202" s="179">
        <v>177</v>
      </c>
      <c r="CE202" s="177"/>
      <c r="CF202" s="178"/>
      <c r="CG202" s="178"/>
      <c r="CH202" s="178"/>
      <c r="CI202" s="179"/>
    </row>
    <row r="203" spans="1:87">
      <c r="A203" s="170" t="s">
        <v>183</v>
      </c>
      <c r="B203" s="171" t="s">
        <v>26</v>
      </c>
      <c r="C203" s="172">
        <f t="shared" si="57"/>
        <v>17725</v>
      </c>
      <c r="D203" s="173">
        <f t="shared" si="45"/>
        <v>9715</v>
      </c>
      <c r="E203" s="173">
        <f t="shared" si="46"/>
        <v>7742</v>
      </c>
      <c r="F203" s="173">
        <f t="shared" si="47"/>
        <v>3044</v>
      </c>
      <c r="G203" s="174">
        <f t="shared" si="48"/>
        <v>38226</v>
      </c>
      <c r="H203" s="172">
        <f t="shared" si="58"/>
        <v>16398</v>
      </c>
      <c r="I203" s="173">
        <f t="shared" si="49"/>
        <v>9162</v>
      </c>
      <c r="J203" s="173">
        <f t="shared" si="50"/>
        <v>7027</v>
      </c>
      <c r="K203" s="173">
        <f t="shared" si="51"/>
        <v>2985</v>
      </c>
      <c r="L203" s="174">
        <f t="shared" si="52"/>
        <v>35572</v>
      </c>
      <c r="M203" s="172">
        <v>3184</v>
      </c>
      <c r="N203" s="173">
        <v>995</v>
      </c>
      <c r="O203" s="173">
        <v>597</v>
      </c>
      <c r="P203" s="173">
        <v>597</v>
      </c>
      <c r="Q203" s="174">
        <v>5373</v>
      </c>
      <c r="R203" s="172">
        <v>3383</v>
      </c>
      <c r="S203" s="173">
        <v>2786</v>
      </c>
      <c r="T203" s="173">
        <v>2388</v>
      </c>
      <c r="U203" s="173">
        <v>597</v>
      </c>
      <c r="V203" s="174">
        <v>9154</v>
      </c>
      <c r="W203" s="172">
        <v>597</v>
      </c>
      <c r="X203" s="173">
        <v>199</v>
      </c>
      <c r="Y203" s="173"/>
      <c r="Z203" s="173">
        <v>398</v>
      </c>
      <c r="AA203" s="174">
        <v>1194</v>
      </c>
      <c r="AB203" s="172">
        <v>2070</v>
      </c>
      <c r="AC203" s="173"/>
      <c r="AD203" s="173"/>
      <c r="AE203" s="173"/>
      <c r="AF203" s="174">
        <v>2070</v>
      </c>
      <c r="AG203" s="172">
        <v>4975</v>
      </c>
      <c r="AH203" s="173">
        <v>4378</v>
      </c>
      <c r="AI203" s="173">
        <v>2985</v>
      </c>
      <c r="AJ203" s="173">
        <v>1194</v>
      </c>
      <c r="AK203" s="174">
        <v>13532</v>
      </c>
      <c r="AL203" s="172">
        <v>597</v>
      </c>
      <c r="AM203" s="173">
        <v>199</v>
      </c>
      <c r="AN203" s="173">
        <v>199</v>
      </c>
      <c r="AO203" s="173">
        <v>199</v>
      </c>
      <c r="AP203" s="174">
        <v>1194</v>
      </c>
      <c r="AQ203" s="172"/>
      <c r="AR203" s="173"/>
      <c r="AS203" s="173"/>
      <c r="AT203" s="173"/>
      <c r="AU203" s="174"/>
      <c r="AV203" s="172"/>
      <c r="AW203" s="173">
        <v>207</v>
      </c>
      <c r="AX203" s="173">
        <v>69</v>
      </c>
      <c r="AY203" s="173"/>
      <c r="AZ203" s="174">
        <v>276</v>
      </c>
      <c r="BA203" s="172">
        <v>1592</v>
      </c>
      <c r="BB203" s="173">
        <v>398</v>
      </c>
      <c r="BC203" s="173">
        <v>789</v>
      </c>
      <c r="BD203" s="173"/>
      <c r="BE203" s="174">
        <v>2779</v>
      </c>
      <c r="BF203" s="172">
        <f t="shared" si="59"/>
        <v>1327</v>
      </c>
      <c r="BG203" s="173">
        <f t="shared" si="53"/>
        <v>553</v>
      </c>
      <c r="BH203" s="173">
        <f t="shared" si="54"/>
        <v>715</v>
      </c>
      <c r="BI203" s="173">
        <f t="shared" si="55"/>
        <v>59</v>
      </c>
      <c r="BJ203" s="174">
        <f t="shared" si="56"/>
        <v>2654</v>
      </c>
      <c r="BK203" s="172"/>
      <c r="BL203" s="173"/>
      <c r="BM203" s="173"/>
      <c r="BN203" s="173"/>
      <c r="BO203" s="174"/>
      <c r="BP203" s="172">
        <v>531</v>
      </c>
      <c r="BQ203" s="173">
        <v>354</v>
      </c>
      <c r="BR203" s="173">
        <v>317</v>
      </c>
      <c r="BS203" s="173">
        <v>59</v>
      </c>
      <c r="BT203" s="174">
        <v>1261</v>
      </c>
      <c r="BU203" s="172">
        <v>796</v>
      </c>
      <c r="BV203" s="173">
        <v>199</v>
      </c>
      <c r="BW203" s="173">
        <v>398</v>
      </c>
      <c r="BX203" s="173"/>
      <c r="BY203" s="174">
        <v>1393</v>
      </c>
      <c r="BZ203" s="172"/>
      <c r="CA203" s="173"/>
      <c r="CB203" s="173"/>
      <c r="CC203" s="173"/>
      <c r="CD203" s="174"/>
      <c r="CE203" s="172"/>
      <c r="CF203" s="173"/>
      <c r="CG203" s="173"/>
      <c r="CH203" s="173"/>
      <c r="CI203" s="174"/>
    </row>
    <row r="204" s="147" customFormat="1" ht="14.6" spans="1:87">
      <c r="A204" s="175" t="s">
        <v>184</v>
      </c>
      <c r="B204" s="176"/>
      <c r="C204" s="177">
        <f t="shared" si="57"/>
        <v>17725</v>
      </c>
      <c r="D204" s="178">
        <f t="shared" si="45"/>
        <v>9715</v>
      </c>
      <c r="E204" s="178">
        <f t="shared" si="46"/>
        <v>7742</v>
      </c>
      <c r="F204" s="178">
        <f t="shared" si="47"/>
        <v>3044</v>
      </c>
      <c r="G204" s="179">
        <f t="shared" si="48"/>
        <v>38226</v>
      </c>
      <c r="H204" s="177">
        <f t="shared" si="58"/>
        <v>16398</v>
      </c>
      <c r="I204" s="178">
        <f t="shared" si="49"/>
        <v>9162</v>
      </c>
      <c r="J204" s="178">
        <f t="shared" si="50"/>
        <v>7027</v>
      </c>
      <c r="K204" s="178">
        <f t="shared" si="51"/>
        <v>2985</v>
      </c>
      <c r="L204" s="179">
        <f t="shared" si="52"/>
        <v>35572</v>
      </c>
      <c r="M204" s="177">
        <v>3184</v>
      </c>
      <c r="N204" s="178">
        <v>995</v>
      </c>
      <c r="O204" s="178">
        <v>597</v>
      </c>
      <c r="P204" s="178">
        <v>597</v>
      </c>
      <c r="Q204" s="179">
        <v>5373</v>
      </c>
      <c r="R204" s="177">
        <v>3383</v>
      </c>
      <c r="S204" s="178">
        <v>2786</v>
      </c>
      <c r="T204" s="178">
        <v>2388</v>
      </c>
      <c r="U204" s="178">
        <v>597</v>
      </c>
      <c r="V204" s="179">
        <v>9154</v>
      </c>
      <c r="W204" s="177">
        <v>597</v>
      </c>
      <c r="X204" s="178">
        <v>199</v>
      </c>
      <c r="Y204" s="178"/>
      <c r="Z204" s="178">
        <v>398</v>
      </c>
      <c r="AA204" s="179">
        <v>1194</v>
      </c>
      <c r="AB204" s="177">
        <v>2070</v>
      </c>
      <c r="AC204" s="178"/>
      <c r="AD204" s="178"/>
      <c r="AE204" s="178"/>
      <c r="AF204" s="179">
        <v>2070</v>
      </c>
      <c r="AG204" s="177">
        <v>4975</v>
      </c>
      <c r="AH204" s="178">
        <v>4378</v>
      </c>
      <c r="AI204" s="178">
        <v>2985</v>
      </c>
      <c r="AJ204" s="178">
        <v>1194</v>
      </c>
      <c r="AK204" s="179">
        <v>13532</v>
      </c>
      <c r="AL204" s="177">
        <v>597</v>
      </c>
      <c r="AM204" s="178">
        <v>199</v>
      </c>
      <c r="AN204" s="178">
        <v>199</v>
      </c>
      <c r="AO204" s="178">
        <v>199</v>
      </c>
      <c r="AP204" s="179">
        <v>1194</v>
      </c>
      <c r="AQ204" s="177"/>
      <c r="AR204" s="178"/>
      <c r="AS204" s="178"/>
      <c r="AT204" s="178"/>
      <c r="AU204" s="179"/>
      <c r="AV204" s="177"/>
      <c r="AW204" s="178">
        <v>207</v>
      </c>
      <c r="AX204" s="178">
        <v>69</v>
      </c>
      <c r="AY204" s="178"/>
      <c r="AZ204" s="179">
        <v>276</v>
      </c>
      <c r="BA204" s="177">
        <v>1592</v>
      </c>
      <c r="BB204" s="178">
        <v>398</v>
      </c>
      <c r="BC204" s="178">
        <v>789</v>
      </c>
      <c r="BD204" s="178"/>
      <c r="BE204" s="179">
        <v>2779</v>
      </c>
      <c r="BF204" s="177">
        <f t="shared" si="59"/>
        <v>1327</v>
      </c>
      <c r="BG204" s="178">
        <f t="shared" si="53"/>
        <v>553</v>
      </c>
      <c r="BH204" s="178">
        <f t="shared" si="54"/>
        <v>715</v>
      </c>
      <c r="BI204" s="178">
        <f t="shared" si="55"/>
        <v>59</v>
      </c>
      <c r="BJ204" s="179">
        <f t="shared" si="56"/>
        <v>2654</v>
      </c>
      <c r="BK204" s="177"/>
      <c r="BL204" s="178"/>
      <c r="BM204" s="178"/>
      <c r="BN204" s="178"/>
      <c r="BO204" s="179"/>
      <c r="BP204" s="177">
        <v>531</v>
      </c>
      <c r="BQ204" s="178">
        <v>354</v>
      </c>
      <c r="BR204" s="178">
        <v>317</v>
      </c>
      <c r="BS204" s="178">
        <v>59</v>
      </c>
      <c r="BT204" s="179">
        <v>1261</v>
      </c>
      <c r="BU204" s="177">
        <v>796</v>
      </c>
      <c r="BV204" s="178">
        <v>199</v>
      </c>
      <c r="BW204" s="178">
        <v>398</v>
      </c>
      <c r="BX204" s="178"/>
      <c r="BY204" s="179">
        <v>1393</v>
      </c>
      <c r="BZ204" s="177"/>
      <c r="CA204" s="178"/>
      <c r="CB204" s="178"/>
      <c r="CC204" s="178"/>
      <c r="CD204" s="179"/>
      <c r="CE204" s="177"/>
      <c r="CF204" s="178"/>
      <c r="CG204" s="178"/>
      <c r="CH204" s="178"/>
      <c r="CI204" s="179"/>
    </row>
    <row r="205" spans="1:87">
      <c r="A205" s="170" t="s">
        <v>185</v>
      </c>
      <c r="B205" s="171" t="s">
        <v>26</v>
      </c>
      <c r="C205" s="172">
        <f t="shared" si="57"/>
        <v>0</v>
      </c>
      <c r="D205" s="173">
        <f t="shared" si="45"/>
        <v>27040</v>
      </c>
      <c r="E205" s="173">
        <f t="shared" si="46"/>
        <v>9880</v>
      </c>
      <c r="F205" s="173">
        <f t="shared" si="47"/>
        <v>1040</v>
      </c>
      <c r="G205" s="174">
        <f t="shared" si="48"/>
        <v>37960</v>
      </c>
      <c r="H205" s="172">
        <f t="shared" si="58"/>
        <v>0</v>
      </c>
      <c r="I205" s="173">
        <f t="shared" si="49"/>
        <v>27040</v>
      </c>
      <c r="J205" s="173">
        <f t="shared" si="50"/>
        <v>5720</v>
      </c>
      <c r="K205" s="173">
        <f t="shared" si="51"/>
        <v>1040</v>
      </c>
      <c r="L205" s="174">
        <f t="shared" si="52"/>
        <v>33800</v>
      </c>
      <c r="M205" s="172"/>
      <c r="N205" s="173"/>
      <c r="O205" s="173"/>
      <c r="P205" s="173"/>
      <c r="Q205" s="174"/>
      <c r="R205" s="172"/>
      <c r="S205" s="173"/>
      <c r="T205" s="173"/>
      <c r="U205" s="173"/>
      <c r="V205" s="174"/>
      <c r="W205" s="172"/>
      <c r="X205" s="173"/>
      <c r="Y205" s="173"/>
      <c r="Z205" s="173"/>
      <c r="AA205" s="174"/>
      <c r="AB205" s="172"/>
      <c r="AC205" s="173">
        <v>26000</v>
      </c>
      <c r="AD205" s="173">
        <v>1560</v>
      </c>
      <c r="AE205" s="173">
        <v>1040</v>
      </c>
      <c r="AF205" s="174">
        <v>28600</v>
      </c>
      <c r="AG205" s="172"/>
      <c r="AH205" s="173"/>
      <c r="AI205" s="173"/>
      <c r="AJ205" s="173"/>
      <c r="AK205" s="174"/>
      <c r="AL205" s="172"/>
      <c r="AM205" s="173"/>
      <c r="AN205" s="173"/>
      <c r="AO205" s="173"/>
      <c r="AP205" s="174"/>
      <c r="AQ205" s="172"/>
      <c r="AR205" s="173">
        <v>1040</v>
      </c>
      <c r="AS205" s="173">
        <v>4160</v>
      </c>
      <c r="AT205" s="173"/>
      <c r="AU205" s="174">
        <v>5200</v>
      </c>
      <c r="AV205" s="172"/>
      <c r="AW205" s="173"/>
      <c r="AX205" s="173"/>
      <c r="AY205" s="173"/>
      <c r="AZ205" s="174"/>
      <c r="BA205" s="172"/>
      <c r="BB205" s="173"/>
      <c r="BC205" s="173"/>
      <c r="BD205" s="173"/>
      <c r="BE205" s="174"/>
      <c r="BF205" s="172">
        <f t="shared" si="59"/>
        <v>0</v>
      </c>
      <c r="BG205" s="173">
        <f t="shared" si="53"/>
        <v>0</v>
      </c>
      <c r="BH205" s="173">
        <f t="shared" si="54"/>
        <v>4160</v>
      </c>
      <c r="BI205" s="173">
        <f t="shared" si="55"/>
        <v>0</v>
      </c>
      <c r="BJ205" s="174">
        <f t="shared" si="56"/>
        <v>4160</v>
      </c>
      <c r="BK205" s="172"/>
      <c r="BL205" s="173"/>
      <c r="BM205" s="173"/>
      <c r="BN205" s="173"/>
      <c r="BO205" s="174"/>
      <c r="BP205" s="172"/>
      <c r="BQ205" s="173"/>
      <c r="BR205" s="173"/>
      <c r="BS205" s="173"/>
      <c r="BT205" s="174"/>
      <c r="BU205" s="172"/>
      <c r="BV205" s="173"/>
      <c r="BW205" s="173">
        <v>4160</v>
      </c>
      <c r="BX205" s="173"/>
      <c r="BY205" s="174">
        <v>4160</v>
      </c>
      <c r="BZ205" s="172"/>
      <c r="CA205" s="173"/>
      <c r="CB205" s="173"/>
      <c r="CC205" s="173"/>
      <c r="CD205" s="174"/>
      <c r="CE205" s="172"/>
      <c r="CF205" s="173"/>
      <c r="CG205" s="173"/>
      <c r="CH205" s="173"/>
      <c r="CI205" s="174"/>
    </row>
    <row r="206" s="147" customFormat="1" ht="14.6" spans="1:87">
      <c r="A206" s="175" t="s">
        <v>186</v>
      </c>
      <c r="B206" s="176"/>
      <c r="C206" s="177">
        <f t="shared" si="57"/>
        <v>0</v>
      </c>
      <c r="D206" s="178">
        <f t="shared" si="45"/>
        <v>27040</v>
      </c>
      <c r="E206" s="178">
        <f t="shared" si="46"/>
        <v>9880</v>
      </c>
      <c r="F206" s="178">
        <f t="shared" si="47"/>
        <v>1040</v>
      </c>
      <c r="G206" s="179">
        <f t="shared" si="48"/>
        <v>37960</v>
      </c>
      <c r="H206" s="177">
        <f t="shared" si="58"/>
        <v>0</v>
      </c>
      <c r="I206" s="178">
        <f t="shared" si="49"/>
        <v>27040</v>
      </c>
      <c r="J206" s="178">
        <f t="shared" si="50"/>
        <v>5720</v>
      </c>
      <c r="K206" s="178">
        <f t="shared" si="51"/>
        <v>1040</v>
      </c>
      <c r="L206" s="179">
        <f t="shared" si="52"/>
        <v>33800</v>
      </c>
      <c r="M206" s="177"/>
      <c r="N206" s="178"/>
      <c r="O206" s="178"/>
      <c r="P206" s="178"/>
      <c r="Q206" s="179"/>
      <c r="R206" s="177"/>
      <c r="S206" s="178"/>
      <c r="T206" s="178"/>
      <c r="U206" s="178"/>
      <c r="V206" s="179"/>
      <c r="W206" s="177"/>
      <c r="X206" s="178"/>
      <c r="Y206" s="178"/>
      <c r="Z206" s="178"/>
      <c r="AA206" s="179"/>
      <c r="AB206" s="177"/>
      <c r="AC206" s="178">
        <v>26000</v>
      </c>
      <c r="AD206" s="178">
        <v>1560</v>
      </c>
      <c r="AE206" s="178">
        <v>1040</v>
      </c>
      <c r="AF206" s="179">
        <v>28600</v>
      </c>
      <c r="AG206" s="177"/>
      <c r="AH206" s="178"/>
      <c r="AI206" s="178"/>
      <c r="AJ206" s="178"/>
      <c r="AK206" s="179"/>
      <c r="AL206" s="177"/>
      <c r="AM206" s="178"/>
      <c r="AN206" s="178"/>
      <c r="AO206" s="178"/>
      <c r="AP206" s="179"/>
      <c r="AQ206" s="177"/>
      <c r="AR206" s="178">
        <v>1040</v>
      </c>
      <c r="AS206" s="178">
        <v>4160</v>
      </c>
      <c r="AT206" s="178"/>
      <c r="AU206" s="179">
        <v>5200</v>
      </c>
      <c r="AV206" s="177"/>
      <c r="AW206" s="178"/>
      <c r="AX206" s="178"/>
      <c r="AY206" s="178"/>
      <c r="AZ206" s="179"/>
      <c r="BA206" s="177"/>
      <c r="BB206" s="178"/>
      <c r="BC206" s="178"/>
      <c r="BD206" s="178"/>
      <c r="BE206" s="179"/>
      <c r="BF206" s="177">
        <f t="shared" si="59"/>
        <v>0</v>
      </c>
      <c r="BG206" s="178">
        <f t="shared" si="53"/>
        <v>0</v>
      </c>
      <c r="BH206" s="178">
        <f t="shared" si="54"/>
        <v>4160</v>
      </c>
      <c r="BI206" s="178">
        <f t="shared" si="55"/>
        <v>0</v>
      </c>
      <c r="BJ206" s="179">
        <f t="shared" si="56"/>
        <v>4160</v>
      </c>
      <c r="BK206" s="177"/>
      <c r="BL206" s="178"/>
      <c r="BM206" s="178"/>
      <c r="BN206" s="178"/>
      <c r="BO206" s="179"/>
      <c r="BP206" s="177"/>
      <c r="BQ206" s="178"/>
      <c r="BR206" s="178"/>
      <c r="BS206" s="178"/>
      <c r="BT206" s="179"/>
      <c r="BU206" s="177"/>
      <c r="BV206" s="178"/>
      <c r="BW206" s="178">
        <v>4160</v>
      </c>
      <c r="BX206" s="178"/>
      <c r="BY206" s="179">
        <v>4160</v>
      </c>
      <c r="BZ206" s="177"/>
      <c r="CA206" s="178"/>
      <c r="CB206" s="178"/>
      <c r="CC206" s="178"/>
      <c r="CD206" s="179"/>
      <c r="CE206" s="177"/>
      <c r="CF206" s="178"/>
      <c r="CG206" s="178"/>
      <c r="CH206" s="178"/>
      <c r="CI206" s="179"/>
    </row>
    <row r="207" spans="1:87">
      <c r="A207" s="170" t="s">
        <v>187</v>
      </c>
      <c r="B207" s="171" t="s">
        <v>26</v>
      </c>
      <c r="C207" s="172">
        <f t="shared" si="57"/>
        <v>18519</v>
      </c>
      <c r="D207" s="173">
        <f t="shared" si="45"/>
        <v>3333</v>
      </c>
      <c r="E207" s="173">
        <f t="shared" si="46"/>
        <v>7392</v>
      </c>
      <c r="F207" s="173">
        <f t="shared" si="47"/>
        <v>8464</v>
      </c>
      <c r="G207" s="174">
        <f t="shared" si="48"/>
        <v>37708</v>
      </c>
      <c r="H207" s="172">
        <f t="shared" si="58"/>
        <v>6306</v>
      </c>
      <c r="I207" s="173">
        <f t="shared" si="49"/>
        <v>3077</v>
      </c>
      <c r="J207" s="173">
        <f t="shared" si="50"/>
        <v>2355</v>
      </c>
      <c r="K207" s="173">
        <f t="shared" si="51"/>
        <v>4551</v>
      </c>
      <c r="L207" s="174">
        <f t="shared" si="52"/>
        <v>16289</v>
      </c>
      <c r="M207" s="172">
        <v>3400</v>
      </c>
      <c r="N207" s="173">
        <v>680</v>
      </c>
      <c r="O207" s="173">
        <v>1498</v>
      </c>
      <c r="P207" s="173">
        <v>1035</v>
      </c>
      <c r="Q207" s="174">
        <v>6613</v>
      </c>
      <c r="R207" s="172">
        <v>59</v>
      </c>
      <c r="S207" s="173">
        <v>617</v>
      </c>
      <c r="T207" s="173"/>
      <c r="U207" s="173"/>
      <c r="V207" s="174">
        <v>676</v>
      </c>
      <c r="W207" s="172"/>
      <c r="X207" s="173"/>
      <c r="Y207" s="173"/>
      <c r="Z207" s="173"/>
      <c r="AA207" s="174"/>
      <c r="AB207" s="172">
        <v>2473</v>
      </c>
      <c r="AC207" s="173">
        <v>1281</v>
      </c>
      <c r="AD207" s="173">
        <v>650</v>
      </c>
      <c r="AE207" s="173">
        <v>2974</v>
      </c>
      <c r="AF207" s="174">
        <v>7378</v>
      </c>
      <c r="AG207" s="172">
        <v>69</v>
      </c>
      <c r="AH207" s="173"/>
      <c r="AI207" s="173">
        <v>207</v>
      </c>
      <c r="AJ207" s="173">
        <v>414</v>
      </c>
      <c r="AK207" s="174">
        <v>690</v>
      </c>
      <c r="AL207" s="172"/>
      <c r="AM207" s="173"/>
      <c r="AN207" s="173"/>
      <c r="AO207" s="173"/>
      <c r="AP207" s="174"/>
      <c r="AQ207" s="172"/>
      <c r="AR207" s="173"/>
      <c r="AS207" s="173"/>
      <c r="AT207" s="173"/>
      <c r="AU207" s="174"/>
      <c r="AV207" s="172">
        <v>187</v>
      </c>
      <c r="AW207" s="173"/>
      <c r="AX207" s="173"/>
      <c r="AY207" s="173">
        <v>69</v>
      </c>
      <c r="AZ207" s="174">
        <v>256</v>
      </c>
      <c r="BA207" s="172">
        <v>118</v>
      </c>
      <c r="BB207" s="173">
        <v>499</v>
      </c>
      <c r="BC207" s="173"/>
      <c r="BD207" s="173">
        <v>59</v>
      </c>
      <c r="BE207" s="174">
        <v>676</v>
      </c>
      <c r="BF207" s="172">
        <f t="shared" si="59"/>
        <v>12213</v>
      </c>
      <c r="BG207" s="173">
        <f t="shared" si="53"/>
        <v>256</v>
      </c>
      <c r="BH207" s="173">
        <f t="shared" si="54"/>
        <v>5037</v>
      </c>
      <c r="BI207" s="173">
        <f t="shared" si="55"/>
        <v>3913</v>
      </c>
      <c r="BJ207" s="174">
        <f t="shared" si="56"/>
        <v>21419</v>
      </c>
      <c r="BK207" s="172"/>
      <c r="BL207" s="173"/>
      <c r="BM207" s="173"/>
      <c r="BN207" s="173"/>
      <c r="BO207" s="174"/>
      <c r="BP207" s="172">
        <v>12213</v>
      </c>
      <c r="BQ207" s="173">
        <v>256</v>
      </c>
      <c r="BR207" s="173"/>
      <c r="BS207" s="173">
        <v>187</v>
      </c>
      <c r="BT207" s="174">
        <v>12656</v>
      </c>
      <c r="BU207" s="172"/>
      <c r="BV207" s="173"/>
      <c r="BW207" s="173">
        <v>5037</v>
      </c>
      <c r="BX207" s="173">
        <v>3726</v>
      </c>
      <c r="BY207" s="174">
        <v>8763</v>
      </c>
      <c r="BZ207" s="172"/>
      <c r="CA207" s="173"/>
      <c r="CB207" s="173"/>
      <c r="CC207" s="173"/>
      <c r="CD207" s="174"/>
      <c r="CE207" s="172"/>
      <c r="CF207" s="173"/>
      <c r="CG207" s="173"/>
      <c r="CH207" s="173"/>
      <c r="CI207" s="174"/>
    </row>
    <row r="208" s="147" customFormat="1" ht="14.6" spans="1:87">
      <c r="A208" s="175" t="s">
        <v>188</v>
      </c>
      <c r="B208" s="176"/>
      <c r="C208" s="177">
        <f t="shared" si="57"/>
        <v>18519</v>
      </c>
      <c r="D208" s="178">
        <f t="shared" si="45"/>
        <v>3333</v>
      </c>
      <c r="E208" s="178">
        <f t="shared" si="46"/>
        <v>7392</v>
      </c>
      <c r="F208" s="178">
        <f t="shared" si="47"/>
        <v>8464</v>
      </c>
      <c r="G208" s="179">
        <f t="shared" si="48"/>
        <v>37708</v>
      </c>
      <c r="H208" s="177">
        <f t="shared" si="58"/>
        <v>6306</v>
      </c>
      <c r="I208" s="178">
        <f t="shared" si="49"/>
        <v>3077</v>
      </c>
      <c r="J208" s="178">
        <f t="shared" si="50"/>
        <v>2355</v>
      </c>
      <c r="K208" s="178">
        <f t="shared" si="51"/>
        <v>4551</v>
      </c>
      <c r="L208" s="179">
        <f t="shared" si="52"/>
        <v>16289</v>
      </c>
      <c r="M208" s="177">
        <v>3400</v>
      </c>
      <c r="N208" s="178">
        <v>680</v>
      </c>
      <c r="O208" s="178">
        <v>1498</v>
      </c>
      <c r="P208" s="178">
        <v>1035</v>
      </c>
      <c r="Q208" s="179">
        <v>6613</v>
      </c>
      <c r="R208" s="177">
        <v>59</v>
      </c>
      <c r="S208" s="178">
        <v>617</v>
      </c>
      <c r="T208" s="178"/>
      <c r="U208" s="178"/>
      <c r="V208" s="179">
        <v>676</v>
      </c>
      <c r="W208" s="177"/>
      <c r="X208" s="178"/>
      <c r="Y208" s="178"/>
      <c r="Z208" s="178"/>
      <c r="AA208" s="179"/>
      <c r="AB208" s="177">
        <v>2473</v>
      </c>
      <c r="AC208" s="178">
        <v>1281</v>
      </c>
      <c r="AD208" s="178">
        <v>650</v>
      </c>
      <c r="AE208" s="178">
        <v>2974</v>
      </c>
      <c r="AF208" s="179">
        <v>7378</v>
      </c>
      <c r="AG208" s="177">
        <v>69</v>
      </c>
      <c r="AH208" s="178"/>
      <c r="AI208" s="178">
        <v>207</v>
      </c>
      <c r="AJ208" s="178">
        <v>414</v>
      </c>
      <c r="AK208" s="179">
        <v>690</v>
      </c>
      <c r="AL208" s="177"/>
      <c r="AM208" s="178"/>
      <c r="AN208" s="178"/>
      <c r="AO208" s="178"/>
      <c r="AP208" s="179"/>
      <c r="AQ208" s="177"/>
      <c r="AR208" s="178"/>
      <c r="AS208" s="178"/>
      <c r="AT208" s="178"/>
      <c r="AU208" s="179"/>
      <c r="AV208" s="177">
        <v>187</v>
      </c>
      <c r="AW208" s="178"/>
      <c r="AX208" s="178"/>
      <c r="AY208" s="178">
        <v>69</v>
      </c>
      <c r="AZ208" s="179">
        <v>256</v>
      </c>
      <c r="BA208" s="177">
        <v>118</v>
      </c>
      <c r="BB208" s="178">
        <v>499</v>
      </c>
      <c r="BC208" s="178"/>
      <c r="BD208" s="178">
        <v>59</v>
      </c>
      <c r="BE208" s="179">
        <v>676</v>
      </c>
      <c r="BF208" s="177">
        <f t="shared" si="59"/>
        <v>12213</v>
      </c>
      <c r="BG208" s="178">
        <f t="shared" si="53"/>
        <v>256</v>
      </c>
      <c r="BH208" s="178">
        <f t="shared" si="54"/>
        <v>5037</v>
      </c>
      <c r="BI208" s="178">
        <f t="shared" si="55"/>
        <v>3913</v>
      </c>
      <c r="BJ208" s="179">
        <f t="shared" si="56"/>
        <v>21419</v>
      </c>
      <c r="BK208" s="177"/>
      <c r="BL208" s="178"/>
      <c r="BM208" s="178"/>
      <c r="BN208" s="178"/>
      <c r="BO208" s="179"/>
      <c r="BP208" s="177">
        <v>12213</v>
      </c>
      <c r="BQ208" s="178">
        <v>256</v>
      </c>
      <c r="BR208" s="178"/>
      <c r="BS208" s="178">
        <v>187</v>
      </c>
      <c r="BT208" s="179">
        <v>12656</v>
      </c>
      <c r="BU208" s="177"/>
      <c r="BV208" s="178"/>
      <c r="BW208" s="178">
        <v>5037</v>
      </c>
      <c r="BX208" s="178">
        <v>3726</v>
      </c>
      <c r="BY208" s="179">
        <v>8763</v>
      </c>
      <c r="BZ208" s="177"/>
      <c r="CA208" s="178"/>
      <c r="CB208" s="178"/>
      <c r="CC208" s="178"/>
      <c r="CD208" s="179"/>
      <c r="CE208" s="177"/>
      <c r="CF208" s="178"/>
      <c r="CG208" s="178"/>
      <c r="CH208" s="178"/>
      <c r="CI208" s="179"/>
    </row>
    <row r="209" spans="1:87">
      <c r="A209" s="170" t="s">
        <v>189</v>
      </c>
      <c r="B209" s="171" t="s">
        <v>26</v>
      </c>
      <c r="C209" s="172">
        <f t="shared" si="57"/>
        <v>11269</v>
      </c>
      <c r="D209" s="173">
        <f t="shared" si="45"/>
        <v>8850</v>
      </c>
      <c r="E209" s="173">
        <f t="shared" si="46"/>
        <v>7552</v>
      </c>
      <c r="F209" s="173">
        <f t="shared" si="47"/>
        <v>7139</v>
      </c>
      <c r="G209" s="174">
        <f t="shared" si="48"/>
        <v>34810</v>
      </c>
      <c r="H209" s="172">
        <f t="shared" si="58"/>
        <v>11210</v>
      </c>
      <c r="I209" s="173">
        <f t="shared" si="49"/>
        <v>8850</v>
      </c>
      <c r="J209" s="173">
        <f t="shared" si="50"/>
        <v>7552</v>
      </c>
      <c r="K209" s="173">
        <f t="shared" si="51"/>
        <v>7139</v>
      </c>
      <c r="L209" s="174">
        <f t="shared" si="52"/>
        <v>34751</v>
      </c>
      <c r="M209" s="172">
        <v>354</v>
      </c>
      <c r="N209" s="173">
        <v>295</v>
      </c>
      <c r="O209" s="173">
        <v>413</v>
      </c>
      <c r="P209" s="173">
        <v>708</v>
      </c>
      <c r="Q209" s="174">
        <v>1770</v>
      </c>
      <c r="R209" s="172">
        <v>1239</v>
      </c>
      <c r="S209" s="173">
        <v>1770</v>
      </c>
      <c r="T209" s="173">
        <v>1062</v>
      </c>
      <c r="U209" s="173">
        <v>590</v>
      </c>
      <c r="V209" s="174">
        <v>4661</v>
      </c>
      <c r="W209" s="172"/>
      <c r="X209" s="173"/>
      <c r="Y209" s="173"/>
      <c r="Z209" s="173"/>
      <c r="AA209" s="174"/>
      <c r="AB209" s="172">
        <v>5015</v>
      </c>
      <c r="AC209" s="173">
        <v>3894</v>
      </c>
      <c r="AD209" s="173">
        <v>3422</v>
      </c>
      <c r="AE209" s="173">
        <v>3422</v>
      </c>
      <c r="AF209" s="174">
        <v>15753</v>
      </c>
      <c r="AG209" s="172">
        <v>354</v>
      </c>
      <c r="AH209" s="173">
        <v>59</v>
      </c>
      <c r="AI209" s="173">
        <v>59</v>
      </c>
      <c r="AJ209" s="173">
        <v>177</v>
      </c>
      <c r="AK209" s="174">
        <v>649</v>
      </c>
      <c r="AL209" s="172"/>
      <c r="AM209" s="173"/>
      <c r="AN209" s="173"/>
      <c r="AO209" s="173"/>
      <c r="AP209" s="174"/>
      <c r="AQ209" s="172">
        <v>2950</v>
      </c>
      <c r="AR209" s="173">
        <v>1829</v>
      </c>
      <c r="AS209" s="173">
        <v>1298</v>
      </c>
      <c r="AT209" s="173">
        <v>472</v>
      </c>
      <c r="AU209" s="174">
        <v>6549</v>
      </c>
      <c r="AV209" s="172">
        <v>767</v>
      </c>
      <c r="AW209" s="173">
        <v>295</v>
      </c>
      <c r="AX209" s="173">
        <v>590</v>
      </c>
      <c r="AY209" s="173">
        <v>1062</v>
      </c>
      <c r="AZ209" s="174">
        <v>2714</v>
      </c>
      <c r="BA209" s="172">
        <v>531</v>
      </c>
      <c r="BB209" s="173">
        <v>708</v>
      </c>
      <c r="BC209" s="173">
        <v>708</v>
      </c>
      <c r="BD209" s="173">
        <v>708</v>
      </c>
      <c r="BE209" s="174">
        <v>2655</v>
      </c>
      <c r="BF209" s="172">
        <f t="shared" si="59"/>
        <v>59</v>
      </c>
      <c r="BG209" s="173">
        <f t="shared" si="53"/>
        <v>0</v>
      </c>
      <c r="BH209" s="173">
        <f t="shared" si="54"/>
        <v>0</v>
      </c>
      <c r="BI209" s="173">
        <f t="shared" si="55"/>
        <v>0</v>
      </c>
      <c r="BJ209" s="174">
        <f t="shared" si="56"/>
        <v>59</v>
      </c>
      <c r="BK209" s="172"/>
      <c r="BL209" s="173"/>
      <c r="BM209" s="173"/>
      <c r="BN209" s="173"/>
      <c r="BO209" s="174"/>
      <c r="BP209" s="172">
        <v>59</v>
      </c>
      <c r="BQ209" s="173"/>
      <c r="BR209" s="173"/>
      <c r="BS209" s="173"/>
      <c r="BT209" s="174">
        <v>59</v>
      </c>
      <c r="BU209" s="172"/>
      <c r="BV209" s="173"/>
      <c r="BW209" s="173"/>
      <c r="BX209" s="173"/>
      <c r="BY209" s="174"/>
      <c r="BZ209" s="172"/>
      <c r="CA209" s="173"/>
      <c r="CB209" s="173"/>
      <c r="CC209" s="173"/>
      <c r="CD209" s="174"/>
      <c r="CE209" s="172"/>
      <c r="CF209" s="173"/>
      <c r="CG209" s="173"/>
      <c r="CH209" s="173"/>
      <c r="CI209" s="174"/>
    </row>
    <row r="210" s="147" customFormat="1" ht="14.6" spans="1:87">
      <c r="A210" s="175" t="s">
        <v>190</v>
      </c>
      <c r="B210" s="176"/>
      <c r="C210" s="177">
        <f t="shared" si="57"/>
        <v>11269</v>
      </c>
      <c r="D210" s="178">
        <f t="shared" si="45"/>
        <v>8850</v>
      </c>
      <c r="E210" s="178">
        <f t="shared" si="46"/>
        <v>7552</v>
      </c>
      <c r="F210" s="178">
        <f t="shared" si="47"/>
        <v>7139</v>
      </c>
      <c r="G210" s="179">
        <f t="shared" si="48"/>
        <v>34810</v>
      </c>
      <c r="H210" s="177">
        <f t="shared" si="58"/>
        <v>11210</v>
      </c>
      <c r="I210" s="178">
        <f t="shared" si="49"/>
        <v>8850</v>
      </c>
      <c r="J210" s="178">
        <f t="shared" si="50"/>
        <v>7552</v>
      </c>
      <c r="K210" s="178">
        <f t="shared" si="51"/>
        <v>7139</v>
      </c>
      <c r="L210" s="179">
        <f t="shared" si="52"/>
        <v>34751</v>
      </c>
      <c r="M210" s="177">
        <v>354</v>
      </c>
      <c r="N210" s="178">
        <v>295</v>
      </c>
      <c r="O210" s="178">
        <v>413</v>
      </c>
      <c r="P210" s="178">
        <v>708</v>
      </c>
      <c r="Q210" s="179">
        <v>1770</v>
      </c>
      <c r="R210" s="177">
        <v>1239</v>
      </c>
      <c r="S210" s="178">
        <v>1770</v>
      </c>
      <c r="T210" s="178">
        <v>1062</v>
      </c>
      <c r="U210" s="178">
        <v>590</v>
      </c>
      <c r="V210" s="179">
        <v>4661</v>
      </c>
      <c r="W210" s="177"/>
      <c r="X210" s="178"/>
      <c r="Y210" s="178"/>
      <c r="Z210" s="178"/>
      <c r="AA210" s="179"/>
      <c r="AB210" s="177">
        <v>5015</v>
      </c>
      <c r="AC210" s="178">
        <v>3894</v>
      </c>
      <c r="AD210" s="178">
        <v>3422</v>
      </c>
      <c r="AE210" s="178">
        <v>3422</v>
      </c>
      <c r="AF210" s="179">
        <v>15753</v>
      </c>
      <c r="AG210" s="177">
        <v>354</v>
      </c>
      <c r="AH210" s="178">
        <v>59</v>
      </c>
      <c r="AI210" s="178">
        <v>59</v>
      </c>
      <c r="AJ210" s="178">
        <v>177</v>
      </c>
      <c r="AK210" s="179">
        <v>649</v>
      </c>
      <c r="AL210" s="177"/>
      <c r="AM210" s="178"/>
      <c r="AN210" s="178"/>
      <c r="AO210" s="178"/>
      <c r="AP210" s="179"/>
      <c r="AQ210" s="177">
        <v>2950</v>
      </c>
      <c r="AR210" s="178">
        <v>1829</v>
      </c>
      <c r="AS210" s="178">
        <v>1298</v>
      </c>
      <c r="AT210" s="178">
        <v>472</v>
      </c>
      <c r="AU210" s="179">
        <v>6549</v>
      </c>
      <c r="AV210" s="177">
        <v>767</v>
      </c>
      <c r="AW210" s="178">
        <v>295</v>
      </c>
      <c r="AX210" s="178">
        <v>590</v>
      </c>
      <c r="AY210" s="178">
        <v>1062</v>
      </c>
      <c r="AZ210" s="179">
        <v>2714</v>
      </c>
      <c r="BA210" s="177">
        <v>531</v>
      </c>
      <c r="BB210" s="178">
        <v>708</v>
      </c>
      <c r="BC210" s="178">
        <v>708</v>
      </c>
      <c r="BD210" s="178">
        <v>708</v>
      </c>
      <c r="BE210" s="179">
        <v>2655</v>
      </c>
      <c r="BF210" s="177">
        <f t="shared" si="59"/>
        <v>59</v>
      </c>
      <c r="BG210" s="178">
        <f t="shared" si="53"/>
        <v>0</v>
      </c>
      <c r="BH210" s="178">
        <f t="shared" si="54"/>
        <v>0</v>
      </c>
      <c r="BI210" s="178">
        <f t="shared" si="55"/>
        <v>0</v>
      </c>
      <c r="BJ210" s="179">
        <f t="shared" si="56"/>
        <v>59</v>
      </c>
      <c r="BK210" s="177"/>
      <c r="BL210" s="178"/>
      <c r="BM210" s="178"/>
      <c r="BN210" s="178"/>
      <c r="BO210" s="179"/>
      <c r="BP210" s="177">
        <v>59</v>
      </c>
      <c r="BQ210" s="178"/>
      <c r="BR210" s="178"/>
      <c r="BS210" s="178"/>
      <c r="BT210" s="179">
        <v>59</v>
      </c>
      <c r="BU210" s="177"/>
      <c r="BV210" s="178"/>
      <c r="BW210" s="178"/>
      <c r="BX210" s="178"/>
      <c r="BY210" s="179"/>
      <c r="BZ210" s="177"/>
      <c r="CA210" s="178"/>
      <c r="CB210" s="178"/>
      <c r="CC210" s="178"/>
      <c r="CD210" s="179"/>
      <c r="CE210" s="177"/>
      <c r="CF210" s="178"/>
      <c r="CG210" s="178"/>
      <c r="CH210" s="178"/>
      <c r="CI210" s="179"/>
    </row>
    <row r="211" spans="1:87">
      <c r="A211" s="170" t="s">
        <v>191</v>
      </c>
      <c r="B211" s="171" t="s">
        <v>26</v>
      </c>
      <c r="C211" s="172">
        <f t="shared" si="57"/>
        <v>11592</v>
      </c>
      <c r="D211" s="173">
        <f t="shared" si="45"/>
        <v>7383</v>
      </c>
      <c r="E211" s="173">
        <f t="shared" si="46"/>
        <v>7383</v>
      </c>
      <c r="F211" s="173">
        <f t="shared" si="47"/>
        <v>6969</v>
      </c>
      <c r="G211" s="174">
        <f t="shared" si="48"/>
        <v>33327</v>
      </c>
      <c r="H211" s="172">
        <f t="shared" si="58"/>
        <v>11385</v>
      </c>
      <c r="I211" s="173">
        <f t="shared" si="49"/>
        <v>6762</v>
      </c>
      <c r="J211" s="173">
        <f t="shared" si="50"/>
        <v>6969</v>
      </c>
      <c r="K211" s="173">
        <f t="shared" si="51"/>
        <v>6693</v>
      </c>
      <c r="L211" s="174">
        <f t="shared" si="52"/>
        <v>31809</v>
      </c>
      <c r="M211" s="172">
        <v>414</v>
      </c>
      <c r="N211" s="173"/>
      <c r="O211" s="173"/>
      <c r="P211" s="173">
        <v>138</v>
      </c>
      <c r="Q211" s="174">
        <v>552</v>
      </c>
      <c r="R211" s="172">
        <v>2208</v>
      </c>
      <c r="S211" s="173">
        <v>2070</v>
      </c>
      <c r="T211" s="173">
        <v>2001</v>
      </c>
      <c r="U211" s="173">
        <v>3312</v>
      </c>
      <c r="V211" s="174">
        <v>9591</v>
      </c>
      <c r="W211" s="172"/>
      <c r="X211" s="173"/>
      <c r="Y211" s="173"/>
      <c r="Z211" s="173"/>
      <c r="AA211" s="174"/>
      <c r="AB211" s="172">
        <v>5796</v>
      </c>
      <c r="AC211" s="173">
        <v>3519</v>
      </c>
      <c r="AD211" s="173">
        <v>3726</v>
      </c>
      <c r="AE211" s="173">
        <v>1932</v>
      </c>
      <c r="AF211" s="174">
        <v>14973</v>
      </c>
      <c r="AG211" s="172"/>
      <c r="AH211" s="173"/>
      <c r="AI211" s="173"/>
      <c r="AJ211" s="173"/>
      <c r="AK211" s="174"/>
      <c r="AL211" s="172">
        <v>759</v>
      </c>
      <c r="AM211" s="173">
        <v>483</v>
      </c>
      <c r="AN211" s="173">
        <v>207</v>
      </c>
      <c r="AO211" s="173">
        <v>1035</v>
      </c>
      <c r="AP211" s="174">
        <v>2484</v>
      </c>
      <c r="AQ211" s="172">
        <v>1380</v>
      </c>
      <c r="AR211" s="173">
        <v>621</v>
      </c>
      <c r="AS211" s="173">
        <v>414</v>
      </c>
      <c r="AT211" s="173">
        <v>69</v>
      </c>
      <c r="AU211" s="174">
        <v>2484</v>
      </c>
      <c r="AV211" s="172">
        <v>69</v>
      </c>
      <c r="AW211" s="173"/>
      <c r="AX211" s="173">
        <v>138</v>
      </c>
      <c r="AY211" s="173"/>
      <c r="AZ211" s="174">
        <v>207</v>
      </c>
      <c r="BA211" s="172">
        <v>759</v>
      </c>
      <c r="BB211" s="173">
        <v>69</v>
      </c>
      <c r="BC211" s="173">
        <v>483</v>
      </c>
      <c r="BD211" s="173">
        <v>207</v>
      </c>
      <c r="BE211" s="174">
        <v>1518</v>
      </c>
      <c r="BF211" s="172">
        <f t="shared" si="59"/>
        <v>207</v>
      </c>
      <c r="BG211" s="173">
        <f t="shared" si="53"/>
        <v>621</v>
      </c>
      <c r="BH211" s="173">
        <f t="shared" si="54"/>
        <v>414</v>
      </c>
      <c r="BI211" s="173">
        <f t="shared" si="55"/>
        <v>276</v>
      </c>
      <c r="BJ211" s="174">
        <f t="shared" si="56"/>
        <v>1518</v>
      </c>
      <c r="BK211" s="172"/>
      <c r="BL211" s="173"/>
      <c r="BM211" s="173"/>
      <c r="BN211" s="173"/>
      <c r="BO211" s="174"/>
      <c r="BP211" s="172"/>
      <c r="BQ211" s="173"/>
      <c r="BR211" s="173">
        <v>69</v>
      </c>
      <c r="BS211" s="173">
        <v>69</v>
      </c>
      <c r="BT211" s="174">
        <v>138</v>
      </c>
      <c r="BU211" s="172">
        <v>207</v>
      </c>
      <c r="BV211" s="173">
        <v>621</v>
      </c>
      <c r="BW211" s="173">
        <v>345</v>
      </c>
      <c r="BX211" s="173">
        <v>207</v>
      </c>
      <c r="BY211" s="174">
        <v>1380</v>
      </c>
      <c r="BZ211" s="172"/>
      <c r="CA211" s="173"/>
      <c r="CB211" s="173"/>
      <c r="CC211" s="173"/>
      <c r="CD211" s="174"/>
      <c r="CE211" s="172"/>
      <c r="CF211" s="173"/>
      <c r="CG211" s="173"/>
      <c r="CH211" s="173"/>
      <c r="CI211" s="174"/>
    </row>
    <row r="212" s="147" customFormat="1" ht="14.6" spans="1:87">
      <c r="A212" s="175" t="s">
        <v>192</v>
      </c>
      <c r="B212" s="176"/>
      <c r="C212" s="177">
        <f t="shared" si="57"/>
        <v>11592</v>
      </c>
      <c r="D212" s="178">
        <f t="shared" si="45"/>
        <v>7383</v>
      </c>
      <c r="E212" s="178">
        <f t="shared" si="46"/>
        <v>7383</v>
      </c>
      <c r="F212" s="178">
        <f t="shared" si="47"/>
        <v>6969</v>
      </c>
      <c r="G212" s="179">
        <f t="shared" si="48"/>
        <v>33327</v>
      </c>
      <c r="H212" s="177">
        <f t="shared" si="58"/>
        <v>11385</v>
      </c>
      <c r="I212" s="178">
        <f t="shared" si="49"/>
        <v>6762</v>
      </c>
      <c r="J212" s="178">
        <f t="shared" si="50"/>
        <v>6969</v>
      </c>
      <c r="K212" s="178">
        <f t="shared" si="51"/>
        <v>6693</v>
      </c>
      <c r="L212" s="179">
        <f t="shared" si="52"/>
        <v>31809</v>
      </c>
      <c r="M212" s="177">
        <v>414</v>
      </c>
      <c r="N212" s="178"/>
      <c r="O212" s="178"/>
      <c r="P212" s="178">
        <v>138</v>
      </c>
      <c r="Q212" s="179">
        <v>552</v>
      </c>
      <c r="R212" s="177">
        <v>2208</v>
      </c>
      <c r="S212" s="178">
        <v>2070</v>
      </c>
      <c r="T212" s="178">
        <v>2001</v>
      </c>
      <c r="U212" s="178">
        <v>3312</v>
      </c>
      <c r="V212" s="179">
        <v>9591</v>
      </c>
      <c r="W212" s="177"/>
      <c r="X212" s="178"/>
      <c r="Y212" s="178"/>
      <c r="Z212" s="178"/>
      <c r="AA212" s="179"/>
      <c r="AB212" s="177">
        <v>5796</v>
      </c>
      <c r="AC212" s="178">
        <v>3519</v>
      </c>
      <c r="AD212" s="178">
        <v>3726</v>
      </c>
      <c r="AE212" s="178">
        <v>1932</v>
      </c>
      <c r="AF212" s="179">
        <v>14973</v>
      </c>
      <c r="AG212" s="177"/>
      <c r="AH212" s="178"/>
      <c r="AI212" s="178"/>
      <c r="AJ212" s="178"/>
      <c r="AK212" s="179"/>
      <c r="AL212" s="177">
        <v>759</v>
      </c>
      <c r="AM212" s="178">
        <v>483</v>
      </c>
      <c r="AN212" s="178">
        <v>207</v>
      </c>
      <c r="AO212" s="178">
        <v>1035</v>
      </c>
      <c r="AP212" s="179">
        <v>2484</v>
      </c>
      <c r="AQ212" s="177">
        <v>1380</v>
      </c>
      <c r="AR212" s="178">
        <v>621</v>
      </c>
      <c r="AS212" s="178">
        <v>414</v>
      </c>
      <c r="AT212" s="178">
        <v>69</v>
      </c>
      <c r="AU212" s="179">
        <v>2484</v>
      </c>
      <c r="AV212" s="177">
        <v>69</v>
      </c>
      <c r="AW212" s="178"/>
      <c r="AX212" s="178">
        <v>138</v>
      </c>
      <c r="AY212" s="178"/>
      <c r="AZ212" s="179">
        <v>207</v>
      </c>
      <c r="BA212" s="177">
        <v>759</v>
      </c>
      <c r="BB212" s="178">
        <v>69</v>
      </c>
      <c r="BC212" s="178">
        <v>483</v>
      </c>
      <c r="BD212" s="178">
        <v>207</v>
      </c>
      <c r="BE212" s="179">
        <v>1518</v>
      </c>
      <c r="BF212" s="177">
        <f t="shared" si="59"/>
        <v>207</v>
      </c>
      <c r="BG212" s="178">
        <f t="shared" si="53"/>
        <v>621</v>
      </c>
      <c r="BH212" s="178">
        <f t="shared" si="54"/>
        <v>414</v>
      </c>
      <c r="BI212" s="178">
        <f t="shared" si="55"/>
        <v>276</v>
      </c>
      <c r="BJ212" s="179">
        <f t="shared" si="56"/>
        <v>1518</v>
      </c>
      <c r="BK212" s="177"/>
      <c r="BL212" s="178"/>
      <c r="BM212" s="178"/>
      <c r="BN212" s="178"/>
      <c r="BO212" s="179"/>
      <c r="BP212" s="177"/>
      <c r="BQ212" s="178"/>
      <c r="BR212" s="178">
        <v>69</v>
      </c>
      <c r="BS212" s="178">
        <v>69</v>
      </c>
      <c r="BT212" s="179">
        <v>138</v>
      </c>
      <c r="BU212" s="177">
        <v>207</v>
      </c>
      <c r="BV212" s="178">
        <v>621</v>
      </c>
      <c r="BW212" s="178">
        <v>345</v>
      </c>
      <c r="BX212" s="178">
        <v>207</v>
      </c>
      <c r="BY212" s="179">
        <v>1380</v>
      </c>
      <c r="BZ212" s="177"/>
      <c r="CA212" s="178"/>
      <c r="CB212" s="178"/>
      <c r="CC212" s="178"/>
      <c r="CD212" s="179"/>
      <c r="CE212" s="177"/>
      <c r="CF212" s="178"/>
      <c r="CG212" s="178"/>
      <c r="CH212" s="178"/>
      <c r="CI212" s="179"/>
    </row>
    <row r="213" spans="1:87">
      <c r="A213" s="170" t="s">
        <v>193</v>
      </c>
      <c r="B213" s="171" t="s">
        <v>26</v>
      </c>
      <c r="C213" s="172">
        <f t="shared" si="57"/>
        <v>15172</v>
      </c>
      <c r="D213" s="173">
        <f t="shared" si="45"/>
        <v>7866</v>
      </c>
      <c r="E213" s="173">
        <f t="shared" si="46"/>
        <v>4899</v>
      </c>
      <c r="F213" s="173">
        <f t="shared" si="47"/>
        <v>5175</v>
      </c>
      <c r="G213" s="174">
        <f t="shared" si="48"/>
        <v>33112</v>
      </c>
      <c r="H213" s="172">
        <f t="shared" si="58"/>
        <v>9169</v>
      </c>
      <c r="I213" s="173">
        <f t="shared" si="49"/>
        <v>7866</v>
      </c>
      <c r="J213" s="173">
        <f t="shared" si="50"/>
        <v>4899</v>
      </c>
      <c r="K213" s="173">
        <f t="shared" si="51"/>
        <v>5175</v>
      </c>
      <c r="L213" s="174">
        <f t="shared" si="52"/>
        <v>27109</v>
      </c>
      <c r="M213" s="172"/>
      <c r="N213" s="173"/>
      <c r="O213" s="173"/>
      <c r="P213" s="173"/>
      <c r="Q213" s="174"/>
      <c r="R213" s="172"/>
      <c r="S213" s="173"/>
      <c r="T213" s="173"/>
      <c r="U213" s="173"/>
      <c r="V213" s="174"/>
      <c r="W213" s="172"/>
      <c r="X213" s="173"/>
      <c r="Y213" s="173"/>
      <c r="Z213" s="173"/>
      <c r="AA213" s="174"/>
      <c r="AB213" s="172">
        <v>8824</v>
      </c>
      <c r="AC213" s="173">
        <v>6417</v>
      </c>
      <c r="AD213" s="173">
        <v>4278</v>
      </c>
      <c r="AE213" s="173">
        <v>4899</v>
      </c>
      <c r="AF213" s="174">
        <v>24418</v>
      </c>
      <c r="AG213" s="172"/>
      <c r="AH213" s="173"/>
      <c r="AI213" s="173"/>
      <c r="AJ213" s="173"/>
      <c r="AK213" s="174"/>
      <c r="AL213" s="172">
        <v>138</v>
      </c>
      <c r="AM213" s="173">
        <v>1035</v>
      </c>
      <c r="AN213" s="173">
        <v>483</v>
      </c>
      <c r="AO213" s="173">
        <v>138</v>
      </c>
      <c r="AP213" s="174">
        <v>1794</v>
      </c>
      <c r="AQ213" s="172"/>
      <c r="AR213" s="173"/>
      <c r="AS213" s="173"/>
      <c r="AT213" s="173"/>
      <c r="AU213" s="174"/>
      <c r="AV213" s="172">
        <v>138</v>
      </c>
      <c r="AW213" s="173">
        <v>345</v>
      </c>
      <c r="AX213" s="173">
        <v>138</v>
      </c>
      <c r="AY213" s="173">
        <v>138</v>
      </c>
      <c r="AZ213" s="174">
        <v>759</v>
      </c>
      <c r="BA213" s="172">
        <v>69</v>
      </c>
      <c r="BB213" s="173">
        <v>69</v>
      </c>
      <c r="BC213" s="173"/>
      <c r="BD213" s="173"/>
      <c r="BE213" s="174">
        <v>138</v>
      </c>
      <c r="BF213" s="172">
        <f t="shared" si="59"/>
        <v>6003</v>
      </c>
      <c r="BG213" s="173">
        <f t="shared" si="53"/>
        <v>0</v>
      </c>
      <c r="BH213" s="173">
        <f t="shared" si="54"/>
        <v>0</v>
      </c>
      <c r="BI213" s="173">
        <f t="shared" si="55"/>
        <v>0</v>
      </c>
      <c r="BJ213" s="174">
        <f t="shared" si="56"/>
        <v>6003</v>
      </c>
      <c r="BK213" s="172"/>
      <c r="BL213" s="173"/>
      <c r="BM213" s="173"/>
      <c r="BN213" s="173"/>
      <c r="BO213" s="174"/>
      <c r="BP213" s="172">
        <v>6003</v>
      </c>
      <c r="BQ213" s="173"/>
      <c r="BR213" s="173"/>
      <c r="BS213" s="173"/>
      <c r="BT213" s="174">
        <v>6003</v>
      </c>
      <c r="BU213" s="172"/>
      <c r="BV213" s="173"/>
      <c r="BW213" s="173"/>
      <c r="BX213" s="173"/>
      <c r="BY213" s="174"/>
      <c r="BZ213" s="172"/>
      <c r="CA213" s="173"/>
      <c r="CB213" s="173"/>
      <c r="CC213" s="173"/>
      <c r="CD213" s="174"/>
      <c r="CE213" s="172"/>
      <c r="CF213" s="173"/>
      <c r="CG213" s="173"/>
      <c r="CH213" s="173"/>
      <c r="CI213" s="174"/>
    </row>
    <row r="214" s="147" customFormat="1" ht="14.6" spans="1:87">
      <c r="A214" s="175" t="s">
        <v>194</v>
      </c>
      <c r="B214" s="176"/>
      <c r="C214" s="177">
        <f t="shared" si="57"/>
        <v>15172</v>
      </c>
      <c r="D214" s="178">
        <f t="shared" si="45"/>
        <v>7866</v>
      </c>
      <c r="E214" s="178">
        <f t="shared" si="46"/>
        <v>4899</v>
      </c>
      <c r="F214" s="178">
        <f t="shared" si="47"/>
        <v>5175</v>
      </c>
      <c r="G214" s="179">
        <f t="shared" si="48"/>
        <v>33112</v>
      </c>
      <c r="H214" s="177">
        <f t="shared" si="58"/>
        <v>9169</v>
      </c>
      <c r="I214" s="178">
        <f t="shared" si="49"/>
        <v>7866</v>
      </c>
      <c r="J214" s="178">
        <f t="shared" si="50"/>
        <v>4899</v>
      </c>
      <c r="K214" s="178">
        <f t="shared" si="51"/>
        <v>5175</v>
      </c>
      <c r="L214" s="179">
        <f t="shared" si="52"/>
        <v>27109</v>
      </c>
      <c r="M214" s="177"/>
      <c r="N214" s="178"/>
      <c r="O214" s="178"/>
      <c r="P214" s="178"/>
      <c r="Q214" s="179"/>
      <c r="R214" s="177"/>
      <c r="S214" s="178"/>
      <c r="T214" s="178"/>
      <c r="U214" s="178"/>
      <c r="V214" s="179"/>
      <c r="W214" s="177"/>
      <c r="X214" s="178"/>
      <c r="Y214" s="178"/>
      <c r="Z214" s="178"/>
      <c r="AA214" s="179"/>
      <c r="AB214" s="177">
        <v>8824</v>
      </c>
      <c r="AC214" s="178">
        <v>6417</v>
      </c>
      <c r="AD214" s="178">
        <v>4278</v>
      </c>
      <c r="AE214" s="178">
        <v>4899</v>
      </c>
      <c r="AF214" s="179">
        <v>24418</v>
      </c>
      <c r="AG214" s="177"/>
      <c r="AH214" s="178"/>
      <c r="AI214" s="178"/>
      <c r="AJ214" s="178"/>
      <c r="AK214" s="179"/>
      <c r="AL214" s="177">
        <v>138</v>
      </c>
      <c r="AM214" s="178">
        <v>1035</v>
      </c>
      <c r="AN214" s="178">
        <v>483</v>
      </c>
      <c r="AO214" s="178">
        <v>138</v>
      </c>
      <c r="AP214" s="179">
        <v>1794</v>
      </c>
      <c r="AQ214" s="177"/>
      <c r="AR214" s="178"/>
      <c r="AS214" s="178"/>
      <c r="AT214" s="178"/>
      <c r="AU214" s="179"/>
      <c r="AV214" s="177">
        <v>138</v>
      </c>
      <c r="AW214" s="178">
        <v>345</v>
      </c>
      <c r="AX214" s="178">
        <v>138</v>
      </c>
      <c r="AY214" s="178">
        <v>138</v>
      </c>
      <c r="AZ214" s="179">
        <v>759</v>
      </c>
      <c r="BA214" s="177">
        <v>69</v>
      </c>
      <c r="BB214" s="178">
        <v>69</v>
      </c>
      <c r="BC214" s="178"/>
      <c r="BD214" s="178"/>
      <c r="BE214" s="179">
        <v>138</v>
      </c>
      <c r="BF214" s="177">
        <f t="shared" si="59"/>
        <v>6003</v>
      </c>
      <c r="BG214" s="178">
        <f t="shared" si="53"/>
        <v>0</v>
      </c>
      <c r="BH214" s="178">
        <f t="shared" si="54"/>
        <v>0</v>
      </c>
      <c r="BI214" s="178">
        <f t="shared" si="55"/>
        <v>0</v>
      </c>
      <c r="BJ214" s="179">
        <f t="shared" si="56"/>
        <v>6003</v>
      </c>
      <c r="BK214" s="177"/>
      <c r="BL214" s="178"/>
      <c r="BM214" s="178"/>
      <c r="BN214" s="178"/>
      <c r="BO214" s="179"/>
      <c r="BP214" s="177">
        <v>6003</v>
      </c>
      <c r="BQ214" s="178"/>
      <c r="BR214" s="178"/>
      <c r="BS214" s="178"/>
      <c r="BT214" s="179">
        <v>6003</v>
      </c>
      <c r="BU214" s="177"/>
      <c r="BV214" s="178"/>
      <c r="BW214" s="178"/>
      <c r="BX214" s="178"/>
      <c r="BY214" s="179"/>
      <c r="BZ214" s="177"/>
      <c r="CA214" s="178"/>
      <c r="CB214" s="178"/>
      <c r="CC214" s="178"/>
      <c r="CD214" s="179"/>
      <c r="CE214" s="177"/>
      <c r="CF214" s="178"/>
      <c r="CG214" s="178"/>
      <c r="CH214" s="178"/>
      <c r="CI214" s="179"/>
    </row>
    <row r="215" spans="1:87">
      <c r="A215" s="170" t="s">
        <v>195</v>
      </c>
      <c r="B215" s="171" t="s">
        <v>26</v>
      </c>
      <c r="C215" s="172">
        <f t="shared" si="57"/>
        <v>11109</v>
      </c>
      <c r="D215" s="173">
        <f t="shared" si="45"/>
        <v>4554</v>
      </c>
      <c r="E215" s="173">
        <f t="shared" si="46"/>
        <v>6072</v>
      </c>
      <c r="F215" s="173">
        <f t="shared" si="47"/>
        <v>6417</v>
      </c>
      <c r="G215" s="174">
        <f t="shared" si="48"/>
        <v>28152</v>
      </c>
      <c r="H215" s="172">
        <f t="shared" si="58"/>
        <v>10833</v>
      </c>
      <c r="I215" s="173">
        <f t="shared" si="49"/>
        <v>4278</v>
      </c>
      <c r="J215" s="173">
        <f t="shared" si="50"/>
        <v>6072</v>
      </c>
      <c r="K215" s="173">
        <f t="shared" si="51"/>
        <v>6417</v>
      </c>
      <c r="L215" s="174">
        <f t="shared" si="52"/>
        <v>27600</v>
      </c>
      <c r="M215" s="172"/>
      <c r="N215" s="173"/>
      <c r="O215" s="173"/>
      <c r="P215" s="173"/>
      <c r="Q215" s="174"/>
      <c r="R215" s="172"/>
      <c r="S215" s="173"/>
      <c r="T215" s="173"/>
      <c r="U215" s="173"/>
      <c r="V215" s="174"/>
      <c r="W215" s="172"/>
      <c r="X215" s="173"/>
      <c r="Y215" s="173"/>
      <c r="Z215" s="173"/>
      <c r="AA215" s="174"/>
      <c r="AB215" s="172">
        <v>7452</v>
      </c>
      <c r="AC215" s="173">
        <v>3105</v>
      </c>
      <c r="AD215" s="173">
        <v>6003</v>
      </c>
      <c r="AE215" s="173">
        <v>6417</v>
      </c>
      <c r="AF215" s="174">
        <v>22977</v>
      </c>
      <c r="AG215" s="172"/>
      <c r="AH215" s="173"/>
      <c r="AI215" s="173"/>
      <c r="AJ215" s="173"/>
      <c r="AK215" s="174"/>
      <c r="AL215" s="172"/>
      <c r="AM215" s="173"/>
      <c r="AN215" s="173"/>
      <c r="AO215" s="173"/>
      <c r="AP215" s="174"/>
      <c r="AQ215" s="172">
        <v>276</v>
      </c>
      <c r="AR215" s="173"/>
      <c r="AS215" s="173"/>
      <c r="AT215" s="173"/>
      <c r="AU215" s="174">
        <v>276</v>
      </c>
      <c r="AV215" s="172">
        <v>3036</v>
      </c>
      <c r="AW215" s="173">
        <v>1173</v>
      </c>
      <c r="AX215" s="173">
        <v>69</v>
      </c>
      <c r="AY215" s="173"/>
      <c r="AZ215" s="174">
        <v>4278</v>
      </c>
      <c r="BA215" s="172">
        <v>69</v>
      </c>
      <c r="BB215" s="173"/>
      <c r="BC215" s="173"/>
      <c r="BD215" s="173"/>
      <c r="BE215" s="174">
        <v>69</v>
      </c>
      <c r="BF215" s="172">
        <f t="shared" si="59"/>
        <v>276</v>
      </c>
      <c r="BG215" s="173">
        <f t="shared" si="53"/>
        <v>276</v>
      </c>
      <c r="BH215" s="173">
        <f t="shared" si="54"/>
        <v>0</v>
      </c>
      <c r="BI215" s="173">
        <f t="shared" si="55"/>
        <v>0</v>
      </c>
      <c r="BJ215" s="174">
        <f t="shared" si="56"/>
        <v>552</v>
      </c>
      <c r="BK215" s="172"/>
      <c r="BL215" s="173"/>
      <c r="BM215" s="173"/>
      <c r="BN215" s="173"/>
      <c r="BO215" s="174"/>
      <c r="BP215" s="172"/>
      <c r="BQ215" s="173"/>
      <c r="BR215" s="173"/>
      <c r="BS215" s="173"/>
      <c r="BT215" s="174"/>
      <c r="BU215" s="172">
        <v>276</v>
      </c>
      <c r="BV215" s="173">
        <v>276</v>
      </c>
      <c r="BW215" s="173"/>
      <c r="BX215" s="173"/>
      <c r="BY215" s="174">
        <v>552</v>
      </c>
      <c r="BZ215" s="172"/>
      <c r="CA215" s="173"/>
      <c r="CB215" s="173"/>
      <c r="CC215" s="173"/>
      <c r="CD215" s="174"/>
      <c r="CE215" s="172"/>
      <c r="CF215" s="173"/>
      <c r="CG215" s="173"/>
      <c r="CH215" s="173"/>
      <c r="CI215" s="174"/>
    </row>
    <row r="216" s="147" customFormat="1" ht="14.6" spans="1:87">
      <c r="A216" s="175" t="s">
        <v>196</v>
      </c>
      <c r="B216" s="176"/>
      <c r="C216" s="177">
        <f t="shared" si="57"/>
        <v>11109</v>
      </c>
      <c r="D216" s="178">
        <f t="shared" si="45"/>
        <v>4554</v>
      </c>
      <c r="E216" s="178">
        <f t="shared" si="46"/>
        <v>6072</v>
      </c>
      <c r="F216" s="178">
        <f t="shared" si="47"/>
        <v>6417</v>
      </c>
      <c r="G216" s="179">
        <f t="shared" si="48"/>
        <v>28152</v>
      </c>
      <c r="H216" s="177">
        <f t="shared" si="58"/>
        <v>10833</v>
      </c>
      <c r="I216" s="178">
        <f t="shared" si="49"/>
        <v>4278</v>
      </c>
      <c r="J216" s="178">
        <f t="shared" si="50"/>
        <v>6072</v>
      </c>
      <c r="K216" s="178">
        <f t="shared" si="51"/>
        <v>6417</v>
      </c>
      <c r="L216" s="179">
        <f t="shared" si="52"/>
        <v>27600</v>
      </c>
      <c r="M216" s="177"/>
      <c r="N216" s="178"/>
      <c r="O216" s="178"/>
      <c r="P216" s="178"/>
      <c r="Q216" s="179"/>
      <c r="R216" s="177"/>
      <c r="S216" s="178"/>
      <c r="T216" s="178"/>
      <c r="U216" s="178"/>
      <c r="V216" s="179"/>
      <c r="W216" s="177"/>
      <c r="X216" s="178"/>
      <c r="Y216" s="178"/>
      <c r="Z216" s="178"/>
      <c r="AA216" s="179"/>
      <c r="AB216" s="177">
        <v>7452</v>
      </c>
      <c r="AC216" s="178">
        <v>3105</v>
      </c>
      <c r="AD216" s="178">
        <v>6003</v>
      </c>
      <c r="AE216" s="178">
        <v>6417</v>
      </c>
      <c r="AF216" s="179">
        <v>22977</v>
      </c>
      <c r="AG216" s="177"/>
      <c r="AH216" s="178"/>
      <c r="AI216" s="178"/>
      <c r="AJ216" s="178"/>
      <c r="AK216" s="179"/>
      <c r="AL216" s="177"/>
      <c r="AM216" s="178"/>
      <c r="AN216" s="178"/>
      <c r="AO216" s="178"/>
      <c r="AP216" s="179"/>
      <c r="AQ216" s="177">
        <v>276</v>
      </c>
      <c r="AR216" s="178"/>
      <c r="AS216" s="178"/>
      <c r="AT216" s="178"/>
      <c r="AU216" s="179">
        <v>276</v>
      </c>
      <c r="AV216" s="177">
        <v>3036</v>
      </c>
      <c r="AW216" s="178">
        <v>1173</v>
      </c>
      <c r="AX216" s="178">
        <v>69</v>
      </c>
      <c r="AY216" s="178"/>
      <c r="AZ216" s="179">
        <v>4278</v>
      </c>
      <c r="BA216" s="177">
        <v>69</v>
      </c>
      <c r="BB216" s="178"/>
      <c r="BC216" s="178"/>
      <c r="BD216" s="178"/>
      <c r="BE216" s="179">
        <v>69</v>
      </c>
      <c r="BF216" s="177">
        <f t="shared" si="59"/>
        <v>276</v>
      </c>
      <c r="BG216" s="178">
        <f t="shared" si="53"/>
        <v>276</v>
      </c>
      <c r="BH216" s="178">
        <f t="shared" si="54"/>
        <v>0</v>
      </c>
      <c r="BI216" s="178">
        <f t="shared" si="55"/>
        <v>0</v>
      </c>
      <c r="BJ216" s="179">
        <f t="shared" si="56"/>
        <v>552</v>
      </c>
      <c r="BK216" s="177"/>
      <c r="BL216" s="178"/>
      <c r="BM216" s="178"/>
      <c r="BN216" s="178"/>
      <c r="BO216" s="179"/>
      <c r="BP216" s="177"/>
      <c r="BQ216" s="178"/>
      <c r="BR216" s="178"/>
      <c r="BS216" s="178"/>
      <c r="BT216" s="179"/>
      <c r="BU216" s="177">
        <v>276</v>
      </c>
      <c r="BV216" s="178">
        <v>276</v>
      </c>
      <c r="BW216" s="178"/>
      <c r="BX216" s="178"/>
      <c r="BY216" s="179">
        <v>552</v>
      </c>
      <c r="BZ216" s="177"/>
      <c r="CA216" s="178"/>
      <c r="CB216" s="178"/>
      <c r="CC216" s="178"/>
      <c r="CD216" s="179"/>
      <c r="CE216" s="177"/>
      <c r="CF216" s="178"/>
      <c r="CG216" s="178"/>
      <c r="CH216" s="178"/>
      <c r="CI216" s="179"/>
    </row>
    <row r="217" spans="1:87">
      <c r="A217" s="170" t="s">
        <v>197</v>
      </c>
      <c r="B217" s="171" t="s">
        <v>26</v>
      </c>
      <c r="C217" s="172">
        <f t="shared" si="57"/>
        <v>15694</v>
      </c>
      <c r="D217" s="173">
        <f t="shared" si="45"/>
        <v>4425</v>
      </c>
      <c r="E217" s="173">
        <f t="shared" si="46"/>
        <v>7729</v>
      </c>
      <c r="F217" s="173">
        <f t="shared" si="47"/>
        <v>0</v>
      </c>
      <c r="G217" s="174">
        <f t="shared" si="48"/>
        <v>27848</v>
      </c>
      <c r="H217" s="172">
        <f t="shared" si="58"/>
        <v>2006</v>
      </c>
      <c r="I217" s="173">
        <f t="shared" si="49"/>
        <v>1416</v>
      </c>
      <c r="J217" s="173">
        <f t="shared" si="50"/>
        <v>1062</v>
      </c>
      <c r="K217" s="173">
        <f t="shared" si="51"/>
        <v>0</v>
      </c>
      <c r="L217" s="174">
        <f t="shared" si="52"/>
        <v>4484</v>
      </c>
      <c r="M217" s="172"/>
      <c r="N217" s="173"/>
      <c r="O217" s="173"/>
      <c r="P217" s="173"/>
      <c r="Q217" s="174"/>
      <c r="R217" s="172">
        <v>1888</v>
      </c>
      <c r="S217" s="173">
        <v>1416</v>
      </c>
      <c r="T217" s="173"/>
      <c r="U217" s="173"/>
      <c r="V217" s="174">
        <v>3304</v>
      </c>
      <c r="W217" s="172"/>
      <c r="X217" s="173"/>
      <c r="Y217" s="173"/>
      <c r="Z217" s="173"/>
      <c r="AA217" s="174"/>
      <c r="AB217" s="172">
        <v>118</v>
      </c>
      <c r="AC217" s="173"/>
      <c r="AD217" s="173"/>
      <c r="AE217" s="173"/>
      <c r="AF217" s="174">
        <v>118</v>
      </c>
      <c r="AG217" s="172"/>
      <c r="AH217" s="173"/>
      <c r="AI217" s="173"/>
      <c r="AJ217" s="173"/>
      <c r="AK217" s="174"/>
      <c r="AL217" s="172"/>
      <c r="AM217" s="173"/>
      <c r="AN217" s="173"/>
      <c r="AO217" s="173"/>
      <c r="AP217" s="174"/>
      <c r="AQ217" s="172"/>
      <c r="AR217" s="173"/>
      <c r="AS217" s="173"/>
      <c r="AT217" s="173"/>
      <c r="AU217" s="174"/>
      <c r="AV217" s="172"/>
      <c r="AW217" s="173"/>
      <c r="AX217" s="173"/>
      <c r="AY217" s="173"/>
      <c r="AZ217" s="174"/>
      <c r="BA217" s="172"/>
      <c r="BB217" s="173"/>
      <c r="BC217" s="173">
        <v>1062</v>
      </c>
      <c r="BD217" s="173"/>
      <c r="BE217" s="174">
        <v>1062</v>
      </c>
      <c r="BF217" s="172">
        <f t="shared" si="59"/>
        <v>13688</v>
      </c>
      <c r="BG217" s="173">
        <f t="shared" si="53"/>
        <v>3009</v>
      </c>
      <c r="BH217" s="173">
        <f t="shared" si="54"/>
        <v>6667</v>
      </c>
      <c r="BI217" s="173">
        <f t="shared" si="55"/>
        <v>0</v>
      </c>
      <c r="BJ217" s="174">
        <f t="shared" si="56"/>
        <v>23364</v>
      </c>
      <c r="BK217" s="172"/>
      <c r="BL217" s="173"/>
      <c r="BM217" s="173"/>
      <c r="BN217" s="173"/>
      <c r="BO217" s="174"/>
      <c r="BP217" s="172"/>
      <c r="BQ217" s="173"/>
      <c r="BR217" s="173"/>
      <c r="BS217" s="173"/>
      <c r="BT217" s="174"/>
      <c r="BU217" s="172">
        <v>13688</v>
      </c>
      <c r="BV217" s="173">
        <v>3009</v>
      </c>
      <c r="BW217" s="173">
        <v>6667</v>
      </c>
      <c r="BX217" s="173"/>
      <c r="BY217" s="174">
        <v>23364</v>
      </c>
      <c r="BZ217" s="172"/>
      <c r="CA217" s="173"/>
      <c r="CB217" s="173"/>
      <c r="CC217" s="173"/>
      <c r="CD217" s="174"/>
      <c r="CE217" s="172"/>
      <c r="CF217" s="173"/>
      <c r="CG217" s="173"/>
      <c r="CH217" s="173"/>
      <c r="CI217" s="174"/>
    </row>
    <row r="218" s="147" customFormat="1" ht="14.6" spans="1:87">
      <c r="A218" s="175" t="s">
        <v>198</v>
      </c>
      <c r="B218" s="176"/>
      <c r="C218" s="177">
        <f t="shared" si="57"/>
        <v>15694</v>
      </c>
      <c r="D218" s="178">
        <f t="shared" si="45"/>
        <v>4425</v>
      </c>
      <c r="E218" s="178">
        <f t="shared" si="46"/>
        <v>7729</v>
      </c>
      <c r="F218" s="178">
        <f t="shared" si="47"/>
        <v>0</v>
      </c>
      <c r="G218" s="179">
        <f t="shared" si="48"/>
        <v>27848</v>
      </c>
      <c r="H218" s="177">
        <f t="shared" si="58"/>
        <v>2006</v>
      </c>
      <c r="I218" s="178">
        <f t="shared" si="49"/>
        <v>1416</v>
      </c>
      <c r="J218" s="178">
        <f t="shared" si="50"/>
        <v>1062</v>
      </c>
      <c r="K218" s="178">
        <f t="shared" si="51"/>
        <v>0</v>
      </c>
      <c r="L218" s="179">
        <f t="shared" si="52"/>
        <v>4484</v>
      </c>
      <c r="M218" s="177"/>
      <c r="N218" s="178"/>
      <c r="O218" s="178"/>
      <c r="P218" s="178"/>
      <c r="Q218" s="179"/>
      <c r="R218" s="177">
        <v>1888</v>
      </c>
      <c r="S218" s="178">
        <v>1416</v>
      </c>
      <c r="T218" s="178"/>
      <c r="U218" s="178"/>
      <c r="V218" s="179">
        <v>3304</v>
      </c>
      <c r="W218" s="177"/>
      <c r="X218" s="178"/>
      <c r="Y218" s="178"/>
      <c r="Z218" s="178"/>
      <c r="AA218" s="179"/>
      <c r="AB218" s="177">
        <v>118</v>
      </c>
      <c r="AC218" s="178"/>
      <c r="AD218" s="178"/>
      <c r="AE218" s="178"/>
      <c r="AF218" s="179">
        <v>118</v>
      </c>
      <c r="AG218" s="177"/>
      <c r="AH218" s="178"/>
      <c r="AI218" s="178"/>
      <c r="AJ218" s="178"/>
      <c r="AK218" s="179"/>
      <c r="AL218" s="177"/>
      <c r="AM218" s="178"/>
      <c r="AN218" s="178"/>
      <c r="AO218" s="178"/>
      <c r="AP218" s="179"/>
      <c r="AQ218" s="177"/>
      <c r="AR218" s="178"/>
      <c r="AS218" s="178"/>
      <c r="AT218" s="178"/>
      <c r="AU218" s="179"/>
      <c r="AV218" s="177"/>
      <c r="AW218" s="178"/>
      <c r="AX218" s="178"/>
      <c r="AY218" s="178"/>
      <c r="AZ218" s="179"/>
      <c r="BA218" s="177"/>
      <c r="BB218" s="178"/>
      <c r="BC218" s="178">
        <v>1062</v>
      </c>
      <c r="BD218" s="178"/>
      <c r="BE218" s="179">
        <v>1062</v>
      </c>
      <c r="BF218" s="177">
        <f t="shared" si="59"/>
        <v>13688</v>
      </c>
      <c r="BG218" s="178">
        <f t="shared" si="53"/>
        <v>3009</v>
      </c>
      <c r="BH218" s="178">
        <f t="shared" si="54"/>
        <v>6667</v>
      </c>
      <c r="BI218" s="178">
        <f t="shared" si="55"/>
        <v>0</v>
      </c>
      <c r="BJ218" s="179">
        <f t="shared" si="56"/>
        <v>23364</v>
      </c>
      <c r="BK218" s="177"/>
      <c r="BL218" s="178"/>
      <c r="BM218" s="178"/>
      <c r="BN218" s="178"/>
      <c r="BO218" s="179"/>
      <c r="BP218" s="177"/>
      <c r="BQ218" s="178"/>
      <c r="BR218" s="178"/>
      <c r="BS218" s="178"/>
      <c r="BT218" s="179"/>
      <c r="BU218" s="177">
        <v>13688</v>
      </c>
      <c r="BV218" s="178">
        <v>3009</v>
      </c>
      <c r="BW218" s="178">
        <v>6667</v>
      </c>
      <c r="BX218" s="178"/>
      <c r="BY218" s="179">
        <v>23364</v>
      </c>
      <c r="BZ218" s="177"/>
      <c r="CA218" s="178"/>
      <c r="CB218" s="178"/>
      <c r="CC218" s="178"/>
      <c r="CD218" s="179"/>
      <c r="CE218" s="177"/>
      <c r="CF218" s="178"/>
      <c r="CG218" s="178"/>
      <c r="CH218" s="178"/>
      <c r="CI218" s="179"/>
    </row>
    <row r="219" spans="1:87">
      <c r="A219" s="170" t="s">
        <v>199</v>
      </c>
      <c r="B219" s="171" t="s">
        <v>26</v>
      </c>
      <c r="C219" s="172">
        <f t="shared" si="57"/>
        <v>5082</v>
      </c>
      <c r="D219" s="173">
        <f t="shared" si="45"/>
        <v>5277</v>
      </c>
      <c r="E219" s="173">
        <f t="shared" si="46"/>
        <v>8268</v>
      </c>
      <c r="F219" s="173">
        <f t="shared" si="47"/>
        <v>6479</v>
      </c>
      <c r="G219" s="174">
        <f t="shared" si="48"/>
        <v>25106</v>
      </c>
      <c r="H219" s="172">
        <f t="shared" si="58"/>
        <v>4084</v>
      </c>
      <c r="I219" s="173">
        <f t="shared" si="49"/>
        <v>5078</v>
      </c>
      <c r="J219" s="173">
        <f t="shared" si="50"/>
        <v>7372</v>
      </c>
      <c r="K219" s="173">
        <f t="shared" si="51"/>
        <v>6081</v>
      </c>
      <c r="L219" s="174">
        <f t="shared" si="52"/>
        <v>22615</v>
      </c>
      <c r="M219" s="172"/>
      <c r="N219" s="173"/>
      <c r="O219" s="173"/>
      <c r="P219" s="173"/>
      <c r="Q219" s="174"/>
      <c r="R219" s="172">
        <v>998</v>
      </c>
      <c r="S219" s="173">
        <v>699</v>
      </c>
      <c r="T219" s="173">
        <v>699</v>
      </c>
      <c r="U219" s="173">
        <v>2396</v>
      </c>
      <c r="V219" s="174">
        <v>4792</v>
      </c>
      <c r="W219" s="172">
        <v>2090</v>
      </c>
      <c r="X219" s="173">
        <v>1592</v>
      </c>
      <c r="Y219" s="173">
        <v>199</v>
      </c>
      <c r="Z219" s="173">
        <v>398</v>
      </c>
      <c r="AA219" s="174">
        <v>4279</v>
      </c>
      <c r="AB219" s="172">
        <v>299</v>
      </c>
      <c r="AC219" s="173">
        <v>299</v>
      </c>
      <c r="AD219" s="173">
        <v>1697</v>
      </c>
      <c r="AE219" s="173">
        <v>1297</v>
      </c>
      <c r="AF219" s="174">
        <v>3592</v>
      </c>
      <c r="AG219" s="172"/>
      <c r="AH219" s="173">
        <v>1791</v>
      </c>
      <c r="AI219" s="173">
        <v>3582</v>
      </c>
      <c r="AJ219" s="173">
        <v>1791</v>
      </c>
      <c r="AK219" s="174">
        <v>7164</v>
      </c>
      <c r="AL219" s="172"/>
      <c r="AM219" s="173"/>
      <c r="AN219" s="173">
        <v>598</v>
      </c>
      <c r="AO219" s="173"/>
      <c r="AP219" s="174">
        <v>598</v>
      </c>
      <c r="AQ219" s="172">
        <v>498</v>
      </c>
      <c r="AR219" s="173">
        <v>697</v>
      </c>
      <c r="AS219" s="173">
        <v>199</v>
      </c>
      <c r="AT219" s="173">
        <v>199</v>
      </c>
      <c r="AU219" s="174">
        <v>1593</v>
      </c>
      <c r="AV219" s="172">
        <v>199</v>
      </c>
      <c r="AW219" s="173"/>
      <c r="AX219" s="173">
        <v>199</v>
      </c>
      <c r="AY219" s="173"/>
      <c r="AZ219" s="174">
        <v>398</v>
      </c>
      <c r="BA219" s="172"/>
      <c r="BB219" s="173"/>
      <c r="BC219" s="173">
        <v>199</v>
      </c>
      <c r="BD219" s="173"/>
      <c r="BE219" s="174">
        <v>199</v>
      </c>
      <c r="BF219" s="172">
        <f t="shared" si="59"/>
        <v>998</v>
      </c>
      <c r="BG219" s="173">
        <f t="shared" si="53"/>
        <v>199</v>
      </c>
      <c r="BH219" s="173">
        <f t="shared" si="54"/>
        <v>896</v>
      </c>
      <c r="BI219" s="173">
        <f t="shared" si="55"/>
        <v>398</v>
      </c>
      <c r="BJ219" s="174">
        <f t="shared" si="56"/>
        <v>2491</v>
      </c>
      <c r="BK219" s="172"/>
      <c r="BL219" s="173"/>
      <c r="BM219" s="173"/>
      <c r="BN219" s="173"/>
      <c r="BO219" s="174"/>
      <c r="BP219" s="172">
        <v>299</v>
      </c>
      <c r="BQ219" s="173"/>
      <c r="BR219" s="173">
        <v>299</v>
      </c>
      <c r="BS219" s="173"/>
      <c r="BT219" s="174">
        <v>598</v>
      </c>
      <c r="BU219" s="172">
        <v>699</v>
      </c>
      <c r="BV219" s="173">
        <v>199</v>
      </c>
      <c r="BW219" s="173">
        <v>597</v>
      </c>
      <c r="BX219" s="173">
        <v>398</v>
      </c>
      <c r="BY219" s="174">
        <v>1893</v>
      </c>
      <c r="BZ219" s="172"/>
      <c r="CA219" s="173"/>
      <c r="CB219" s="173"/>
      <c r="CC219" s="173"/>
      <c r="CD219" s="174"/>
      <c r="CE219" s="172"/>
      <c r="CF219" s="173"/>
      <c r="CG219" s="173"/>
      <c r="CH219" s="173"/>
      <c r="CI219" s="174"/>
    </row>
    <row r="220" spans="1:87">
      <c r="A220" s="170"/>
      <c r="B220" s="171" t="s">
        <v>27</v>
      </c>
      <c r="C220" s="172">
        <f t="shared" si="57"/>
        <v>399</v>
      </c>
      <c r="D220" s="173">
        <f t="shared" si="45"/>
        <v>399</v>
      </c>
      <c r="E220" s="173">
        <f t="shared" si="46"/>
        <v>1596</v>
      </c>
      <c r="F220" s="173">
        <f t="shared" si="47"/>
        <v>0</v>
      </c>
      <c r="G220" s="174">
        <f t="shared" si="48"/>
        <v>2394</v>
      </c>
      <c r="H220" s="172">
        <f t="shared" si="58"/>
        <v>399</v>
      </c>
      <c r="I220" s="173">
        <f t="shared" si="49"/>
        <v>0</v>
      </c>
      <c r="J220" s="173">
        <f t="shared" si="50"/>
        <v>1596</v>
      </c>
      <c r="K220" s="173">
        <f t="shared" si="51"/>
        <v>0</v>
      </c>
      <c r="L220" s="174">
        <f t="shared" si="52"/>
        <v>1995</v>
      </c>
      <c r="M220" s="172"/>
      <c r="N220" s="173"/>
      <c r="O220" s="173"/>
      <c r="P220" s="173"/>
      <c r="Q220" s="174"/>
      <c r="R220" s="172"/>
      <c r="S220" s="173"/>
      <c r="T220" s="173"/>
      <c r="U220" s="173"/>
      <c r="V220" s="174"/>
      <c r="W220" s="172"/>
      <c r="X220" s="173"/>
      <c r="Y220" s="173"/>
      <c r="Z220" s="173"/>
      <c r="AA220" s="174"/>
      <c r="AB220" s="172"/>
      <c r="AC220" s="173"/>
      <c r="AD220" s="173"/>
      <c r="AE220" s="173"/>
      <c r="AF220" s="174"/>
      <c r="AG220" s="172"/>
      <c r="AH220" s="173"/>
      <c r="AI220" s="173"/>
      <c r="AJ220" s="173"/>
      <c r="AK220" s="174"/>
      <c r="AL220" s="172"/>
      <c r="AM220" s="173"/>
      <c r="AN220" s="173"/>
      <c r="AO220" s="173"/>
      <c r="AP220" s="174"/>
      <c r="AQ220" s="172"/>
      <c r="AR220" s="173"/>
      <c r="AS220" s="173"/>
      <c r="AT220" s="173"/>
      <c r="AU220" s="174"/>
      <c r="AV220" s="172">
        <v>399</v>
      </c>
      <c r="AW220" s="173"/>
      <c r="AX220" s="173">
        <v>798</v>
      </c>
      <c r="AY220" s="173"/>
      <c r="AZ220" s="174">
        <v>1197</v>
      </c>
      <c r="BA220" s="172"/>
      <c r="BB220" s="173"/>
      <c r="BC220" s="173">
        <v>798</v>
      </c>
      <c r="BD220" s="173"/>
      <c r="BE220" s="174">
        <v>798</v>
      </c>
      <c r="BF220" s="172">
        <f t="shared" si="59"/>
        <v>0</v>
      </c>
      <c r="BG220" s="173">
        <f t="shared" si="53"/>
        <v>399</v>
      </c>
      <c r="BH220" s="173">
        <f t="shared" si="54"/>
        <v>0</v>
      </c>
      <c r="BI220" s="173">
        <f t="shared" si="55"/>
        <v>0</v>
      </c>
      <c r="BJ220" s="174">
        <f t="shared" si="56"/>
        <v>399</v>
      </c>
      <c r="BK220" s="172"/>
      <c r="BL220" s="173"/>
      <c r="BM220" s="173"/>
      <c r="BN220" s="173"/>
      <c r="BO220" s="174"/>
      <c r="BP220" s="172"/>
      <c r="BQ220" s="173"/>
      <c r="BR220" s="173"/>
      <c r="BS220" s="173"/>
      <c r="BT220" s="174"/>
      <c r="BU220" s="172"/>
      <c r="BV220" s="173">
        <v>399</v>
      </c>
      <c r="BW220" s="173"/>
      <c r="BX220" s="173"/>
      <c r="BY220" s="174">
        <v>399</v>
      </c>
      <c r="BZ220" s="172"/>
      <c r="CA220" s="173"/>
      <c r="CB220" s="173"/>
      <c r="CC220" s="173"/>
      <c r="CD220" s="174"/>
      <c r="CE220" s="172"/>
      <c r="CF220" s="173"/>
      <c r="CG220" s="173"/>
      <c r="CH220" s="173"/>
      <c r="CI220" s="174"/>
    </row>
    <row r="221" s="147" customFormat="1" ht="14.6" spans="1:87">
      <c r="A221" s="175" t="s">
        <v>200</v>
      </c>
      <c r="B221" s="176"/>
      <c r="C221" s="177">
        <f t="shared" si="57"/>
        <v>5481</v>
      </c>
      <c r="D221" s="178">
        <f t="shared" si="45"/>
        <v>5676</v>
      </c>
      <c r="E221" s="178">
        <f t="shared" si="46"/>
        <v>9864</v>
      </c>
      <c r="F221" s="178">
        <f t="shared" si="47"/>
        <v>6479</v>
      </c>
      <c r="G221" s="179">
        <f t="shared" si="48"/>
        <v>27500</v>
      </c>
      <c r="H221" s="177">
        <f t="shared" si="58"/>
        <v>4483</v>
      </c>
      <c r="I221" s="178">
        <f t="shared" si="49"/>
        <v>5078</v>
      </c>
      <c r="J221" s="178">
        <f t="shared" si="50"/>
        <v>8968</v>
      </c>
      <c r="K221" s="178">
        <f t="shared" si="51"/>
        <v>6081</v>
      </c>
      <c r="L221" s="179">
        <f t="shared" si="52"/>
        <v>24610</v>
      </c>
      <c r="M221" s="177"/>
      <c r="N221" s="178"/>
      <c r="O221" s="178"/>
      <c r="P221" s="178"/>
      <c r="Q221" s="179"/>
      <c r="R221" s="177">
        <v>998</v>
      </c>
      <c r="S221" s="178">
        <v>699</v>
      </c>
      <c r="T221" s="178">
        <v>699</v>
      </c>
      <c r="U221" s="178">
        <v>2396</v>
      </c>
      <c r="V221" s="179">
        <v>4792</v>
      </c>
      <c r="W221" s="177">
        <v>2090</v>
      </c>
      <c r="X221" s="178">
        <v>1592</v>
      </c>
      <c r="Y221" s="178">
        <v>199</v>
      </c>
      <c r="Z221" s="178">
        <v>398</v>
      </c>
      <c r="AA221" s="179">
        <v>4279</v>
      </c>
      <c r="AB221" s="177">
        <v>299</v>
      </c>
      <c r="AC221" s="178">
        <v>299</v>
      </c>
      <c r="AD221" s="178">
        <v>1697</v>
      </c>
      <c r="AE221" s="178">
        <v>1297</v>
      </c>
      <c r="AF221" s="179">
        <v>3592</v>
      </c>
      <c r="AG221" s="177"/>
      <c r="AH221" s="178">
        <v>1791</v>
      </c>
      <c r="AI221" s="178">
        <v>3582</v>
      </c>
      <c r="AJ221" s="178">
        <v>1791</v>
      </c>
      <c r="AK221" s="179">
        <v>7164</v>
      </c>
      <c r="AL221" s="177"/>
      <c r="AM221" s="178"/>
      <c r="AN221" s="178">
        <v>598</v>
      </c>
      <c r="AO221" s="178"/>
      <c r="AP221" s="179">
        <v>598</v>
      </c>
      <c r="AQ221" s="177">
        <v>498</v>
      </c>
      <c r="AR221" s="178">
        <v>697</v>
      </c>
      <c r="AS221" s="178">
        <v>199</v>
      </c>
      <c r="AT221" s="178">
        <v>199</v>
      </c>
      <c r="AU221" s="179">
        <v>1593</v>
      </c>
      <c r="AV221" s="177">
        <v>598</v>
      </c>
      <c r="AW221" s="178"/>
      <c r="AX221" s="178">
        <v>997</v>
      </c>
      <c r="AY221" s="178"/>
      <c r="AZ221" s="179">
        <v>1595</v>
      </c>
      <c r="BA221" s="177"/>
      <c r="BB221" s="178"/>
      <c r="BC221" s="178">
        <v>997</v>
      </c>
      <c r="BD221" s="178"/>
      <c r="BE221" s="179">
        <v>997</v>
      </c>
      <c r="BF221" s="177">
        <f t="shared" si="59"/>
        <v>998</v>
      </c>
      <c r="BG221" s="178">
        <f t="shared" si="53"/>
        <v>598</v>
      </c>
      <c r="BH221" s="178">
        <f t="shared" si="54"/>
        <v>896</v>
      </c>
      <c r="BI221" s="178">
        <f t="shared" si="55"/>
        <v>398</v>
      </c>
      <c r="BJ221" s="179">
        <f t="shared" si="56"/>
        <v>2890</v>
      </c>
      <c r="BK221" s="177"/>
      <c r="BL221" s="178"/>
      <c r="BM221" s="178"/>
      <c r="BN221" s="178"/>
      <c r="BO221" s="179"/>
      <c r="BP221" s="177">
        <v>299</v>
      </c>
      <c r="BQ221" s="178"/>
      <c r="BR221" s="178">
        <v>299</v>
      </c>
      <c r="BS221" s="178"/>
      <c r="BT221" s="179">
        <v>598</v>
      </c>
      <c r="BU221" s="177">
        <v>699</v>
      </c>
      <c r="BV221" s="178">
        <v>598</v>
      </c>
      <c r="BW221" s="178">
        <v>597</v>
      </c>
      <c r="BX221" s="178">
        <v>398</v>
      </c>
      <c r="BY221" s="179">
        <v>2292</v>
      </c>
      <c r="BZ221" s="177"/>
      <c r="CA221" s="178"/>
      <c r="CB221" s="178"/>
      <c r="CC221" s="178"/>
      <c r="CD221" s="179"/>
      <c r="CE221" s="177"/>
      <c r="CF221" s="178"/>
      <c r="CG221" s="178"/>
      <c r="CH221" s="178"/>
      <c r="CI221" s="179"/>
    </row>
    <row r="222" spans="1:87">
      <c r="A222" s="170" t="s">
        <v>201</v>
      </c>
      <c r="B222" s="171" t="s">
        <v>26</v>
      </c>
      <c r="C222" s="172">
        <f t="shared" si="57"/>
        <v>8051</v>
      </c>
      <c r="D222" s="173">
        <f t="shared" si="45"/>
        <v>8014</v>
      </c>
      <c r="E222" s="173">
        <f t="shared" si="46"/>
        <v>8041</v>
      </c>
      <c r="F222" s="173">
        <f t="shared" si="47"/>
        <v>2414</v>
      </c>
      <c r="G222" s="174">
        <f t="shared" si="48"/>
        <v>26520</v>
      </c>
      <c r="H222" s="172">
        <f t="shared" si="58"/>
        <v>7552</v>
      </c>
      <c r="I222" s="173">
        <f t="shared" si="49"/>
        <v>7247</v>
      </c>
      <c r="J222" s="173">
        <f t="shared" si="50"/>
        <v>7687</v>
      </c>
      <c r="K222" s="173">
        <f t="shared" si="51"/>
        <v>1561</v>
      </c>
      <c r="L222" s="174">
        <f t="shared" si="52"/>
        <v>24047</v>
      </c>
      <c r="M222" s="172"/>
      <c r="N222" s="173"/>
      <c r="O222" s="173"/>
      <c r="P222" s="173"/>
      <c r="Q222" s="174"/>
      <c r="R222" s="172"/>
      <c r="S222" s="173"/>
      <c r="T222" s="173"/>
      <c r="U222" s="173"/>
      <c r="V222" s="174"/>
      <c r="W222" s="172"/>
      <c r="X222" s="173"/>
      <c r="Y222" s="173"/>
      <c r="Z222" s="173"/>
      <c r="AA222" s="174"/>
      <c r="AB222" s="172">
        <v>4012</v>
      </c>
      <c r="AC222" s="173">
        <v>4828</v>
      </c>
      <c r="AD222" s="173">
        <v>3589</v>
      </c>
      <c r="AE222" s="173">
        <v>1561</v>
      </c>
      <c r="AF222" s="174">
        <v>13990</v>
      </c>
      <c r="AG222" s="172"/>
      <c r="AH222" s="173"/>
      <c r="AI222" s="173"/>
      <c r="AJ222" s="173"/>
      <c r="AK222" s="174"/>
      <c r="AL222" s="172">
        <v>3540</v>
      </c>
      <c r="AM222" s="173">
        <v>2419</v>
      </c>
      <c r="AN222" s="173">
        <v>3599</v>
      </c>
      <c r="AO222" s="173"/>
      <c r="AP222" s="174">
        <v>9558</v>
      </c>
      <c r="AQ222" s="172"/>
      <c r="AR222" s="173"/>
      <c r="AS222" s="173"/>
      <c r="AT222" s="173"/>
      <c r="AU222" s="174"/>
      <c r="AV222" s="172"/>
      <c r="AW222" s="173"/>
      <c r="AX222" s="173"/>
      <c r="AY222" s="173"/>
      <c r="AZ222" s="174"/>
      <c r="BA222" s="172"/>
      <c r="BB222" s="173"/>
      <c r="BC222" s="173">
        <v>499</v>
      </c>
      <c r="BD222" s="173"/>
      <c r="BE222" s="174">
        <v>499</v>
      </c>
      <c r="BF222" s="172">
        <f t="shared" si="59"/>
        <v>499</v>
      </c>
      <c r="BG222" s="173">
        <f t="shared" si="53"/>
        <v>767</v>
      </c>
      <c r="BH222" s="173">
        <f t="shared" si="54"/>
        <v>354</v>
      </c>
      <c r="BI222" s="173">
        <f t="shared" si="55"/>
        <v>853</v>
      </c>
      <c r="BJ222" s="174">
        <f t="shared" si="56"/>
        <v>2473</v>
      </c>
      <c r="BK222" s="172"/>
      <c r="BL222" s="173"/>
      <c r="BM222" s="173"/>
      <c r="BN222" s="173"/>
      <c r="BO222" s="174"/>
      <c r="BP222" s="172">
        <v>499</v>
      </c>
      <c r="BQ222" s="173"/>
      <c r="BR222" s="173"/>
      <c r="BS222" s="173"/>
      <c r="BT222" s="174">
        <v>499</v>
      </c>
      <c r="BU222" s="172"/>
      <c r="BV222" s="173">
        <v>767</v>
      </c>
      <c r="BW222" s="173">
        <v>354</v>
      </c>
      <c r="BX222" s="173">
        <v>853</v>
      </c>
      <c r="BY222" s="174">
        <v>1974</v>
      </c>
      <c r="BZ222" s="172"/>
      <c r="CA222" s="173"/>
      <c r="CB222" s="173"/>
      <c r="CC222" s="173"/>
      <c r="CD222" s="174"/>
      <c r="CE222" s="172"/>
      <c r="CF222" s="173"/>
      <c r="CG222" s="173"/>
      <c r="CH222" s="173"/>
      <c r="CI222" s="174"/>
    </row>
    <row r="223" s="147" customFormat="1" ht="14.6" spans="1:87">
      <c r="A223" s="175" t="s">
        <v>202</v>
      </c>
      <c r="B223" s="176"/>
      <c r="C223" s="177">
        <f t="shared" si="57"/>
        <v>8051</v>
      </c>
      <c r="D223" s="178">
        <f t="shared" si="45"/>
        <v>8014</v>
      </c>
      <c r="E223" s="178">
        <f t="shared" si="46"/>
        <v>8041</v>
      </c>
      <c r="F223" s="178">
        <f t="shared" si="47"/>
        <v>2414</v>
      </c>
      <c r="G223" s="179">
        <f t="shared" si="48"/>
        <v>26520</v>
      </c>
      <c r="H223" s="177">
        <f t="shared" si="58"/>
        <v>7552</v>
      </c>
      <c r="I223" s="178">
        <f t="shared" si="49"/>
        <v>7247</v>
      </c>
      <c r="J223" s="178">
        <f t="shared" si="50"/>
        <v>7687</v>
      </c>
      <c r="K223" s="178">
        <f t="shared" si="51"/>
        <v>1561</v>
      </c>
      <c r="L223" s="179">
        <f t="shared" si="52"/>
        <v>24047</v>
      </c>
      <c r="M223" s="177"/>
      <c r="N223" s="178"/>
      <c r="O223" s="178"/>
      <c r="P223" s="178"/>
      <c r="Q223" s="179"/>
      <c r="R223" s="177"/>
      <c r="S223" s="178"/>
      <c r="T223" s="178"/>
      <c r="U223" s="178"/>
      <c r="V223" s="179"/>
      <c r="W223" s="177"/>
      <c r="X223" s="178"/>
      <c r="Y223" s="178"/>
      <c r="Z223" s="178"/>
      <c r="AA223" s="179"/>
      <c r="AB223" s="177">
        <v>4012</v>
      </c>
      <c r="AC223" s="178">
        <v>4828</v>
      </c>
      <c r="AD223" s="178">
        <v>3589</v>
      </c>
      <c r="AE223" s="178">
        <v>1561</v>
      </c>
      <c r="AF223" s="179">
        <v>13990</v>
      </c>
      <c r="AG223" s="177"/>
      <c r="AH223" s="178"/>
      <c r="AI223" s="178"/>
      <c r="AJ223" s="178"/>
      <c r="AK223" s="179"/>
      <c r="AL223" s="177">
        <v>3540</v>
      </c>
      <c r="AM223" s="178">
        <v>2419</v>
      </c>
      <c r="AN223" s="178">
        <v>3599</v>
      </c>
      <c r="AO223" s="178"/>
      <c r="AP223" s="179">
        <v>9558</v>
      </c>
      <c r="AQ223" s="177"/>
      <c r="AR223" s="178"/>
      <c r="AS223" s="178"/>
      <c r="AT223" s="178"/>
      <c r="AU223" s="179"/>
      <c r="AV223" s="177"/>
      <c r="AW223" s="178"/>
      <c r="AX223" s="178"/>
      <c r="AY223" s="178"/>
      <c r="AZ223" s="179"/>
      <c r="BA223" s="177"/>
      <c r="BB223" s="178"/>
      <c r="BC223" s="178">
        <v>499</v>
      </c>
      <c r="BD223" s="178"/>
      <c r="BE223" s="179">
        <v>499</v>
      </c>
      <c r="BF223" s="177">
        <f t="shared" si="59"/>
        <v>499</v>
      </c>
      <c r="BG223" s="178">
        <f t="shared" si="53"/>
        <v>767</v>
      </c>
      <c r="BH223" s="178">
        <f t="shared" si="54"/>
        <v>354</v>
      </c>
      <c r="BI223" s="178">
        <f t="shared" si="55"/>
        <v>853</v>
      </c>
      <c r="BJ223" s="179">
        <f t="shared" si="56"/>
        <v>2473</v>
      </c>
      <c r="BK223" s="177"/>
      <c r="BL223" s="178"/>
      <c r="BM223" s="178"/>
      <c r="BN223" s="178"/>
      <c r="BO223" s="179"/>
      <c r="BP223" s="177">
        <v>499</v>
      </c>
      <c r="BQ223" s="178"/>
      <c r="BR223" s="178"/>
      <c r="BS223" s="178"/>
      <c r="BT223" s="179">
        <v>499</v>
      </c>
      <c r="BU223" s="177"/>
      <c r="BV223" s="178">
        <v>767</v>
      </c>
      <c r="BW223" s="178">
        <v>354</v>
      </c>
      <c r="BX223" s="178">
        <v>853</v>
      </c>
      <c r="BY223" s="179">
        <v>1974</v>
      </c>
      <c r="BZ223" s="177"/>
      <c r="CA223" s="178"/>
      <c r="CB223" s="178"/>
      <c r="CC223" s="178"/>
      <c r="CD223" s="179"/>
      <c r="CE223" s="177"/>
      <c r="CF223" s="178"/>
      <c r="CG223" s="178"/>
      <c r="CH223" s="178"/>
      <c r="CI223" s="179"/>
    </row>
    <row r="224" spans="1:87">
      <c r="A224" s="170" t="s">
        <v>203</v>
      </c>
      <c r="B224" s="171" t="s">
        <v>26</v>
      </c>
      <c r="C224" s="172">
        <f t="shared" si="57"/>
        <v>13963</v>
      </c>
      <c r="D224" s="173">
        <f t="shared" si="45"/>
        <v>5082</v>
      </c>
      <c r="E224" s="173">
        <f t="shared" si="46"/>
        <v>2278</v>
      </c>
      <c r="F224" s="173">
        <f t="shared" si="47"/>
        <v>2687</v>
      </c>
      <c r="G224" s="174">
        <f t="shared" si="48"/>
        <v>24010</v>
      </c>
      <c r="H224" s="172">
        <f t="shared" si="58"/>
        <v>13064</v>
      </c>
      <c r="I224" s="173">
        <f t="shared" si="49"/>
        <v>4183</v>
      </c>
      <c r="J224" s="173">
        <f t="shared" si="50"/>
        <v>2278</v>
      </c>
      <c r="K224" s="173">
        <f t="shared" si="51"/>
        <v>2687</v>
      </c>
      <c r="L224" s="174">
        <f t="shared" si="52"/>
        <v>22212</v>
      </c>
      <c r="M224" s="172"/>
      <c r="N224" s="173"/>
      <c r="O224" s="173"/>
      <c r="P224" s="173"/>
      <c r="Q224" s="174"/>
      <c r="R224" s="172">
        <v>10519</v>
      </c>
      <c r="S224" s="173">
        <v>3471</v>
      </c>
      <c r="T224" s="173">
        <v>1299</v>
      </c>
      <c r="U224" s="173">
        <v>2598</v>
      </c>
      <c r="V224" s="174">
        <v>17887</v>
      </c>
      <c r="W224" s="172"/>
      <c r="X224" s="173"/>
      <c r="Y224" s="173"/>
      <c r="Z224" s="173"/>
      <c r="AA224" s="174"/>
      <c r="AB224" s="172">
        <v>2367</v>
      </c>
      <c r="AC224" s="173"/>
      <c r="AD224" s="173"/>
      <c r="AE224" s="173"/>
      <c r="AF224" s="174">
        <v>2367</v>
      </c>
      <c r="AG224" s="172"/>
      <c r="AH224" s="173"/>
      <c r="AI224" s="173"/>
      <c r="AJ224" s="173"/>
      <c r="AK224" s="174"/>
      <c r="AL224" s="172"/>
      <c r="AM224" s="173"/>
      <c r="AN224" s="173"/>
      <c r="AO224" s="173"/>
      <c r="AP224" s="174"/>
      <c r="AQ224" s="172"/>
      <c r="AR224" s="173"/>
      <c r="AS224" s="173"/>
      <c r="AT224" s="173"/>
      <c r="AU224" s="174"/>
      <c r="AV224" s="172">
        <v>178</v>
      </c>
      <c r="AW224" s="173">
        <v>712</v>
      </c>
      <c r="AX224" s="173">
        <v>979</v>
      </c>
      <c r="AY224" s="173">
        <v>89</v>
      </c>
      <c r="AZ224" s="174">
        <v>1958</v>
      </c>
      <c r="BA224" s="172"/>
      <c r="BB224" s="173"/>
      <c r="BC224" s="173"/>
      <c r="BD224" s="173"/>
      <c r="BE224" s="174"/>
      <c r="BF224" s="172">
        <f t="shared" si="59"/>
        <v>899</v>
      </c>
      <c r="BG224" s="173">
        <f t="shared" si="53"/>
        <v>899</v>
      </c>
      <c r="BH224" s="173">
        <f t="shared" si="54"/>
        <v>0</v>
      </c>
      <c r="BI224" s="173">
        <f t="shared" si="55"/>
        <v>0</v>
      </c>
      <c r="BJ224" s="174">
        <f t="shared" si="56"/>
        <v>1798</v>
      </c>
      <c r="BK224" s="172"/>
      <c r="BL224" s="173"/>
      <c r="BM224" s="173"/>
      <c r="BN224" s="173"/>
      <c r="BO224" s="174"/>
      <c r="BP224" s="172"/>
      <c r="BQ224" s="173"/>
      <c r="BR224" s="173"/>
      <c r="BS224" s="173"/>
      <c r="BT224" s="174"/>
      <c r="BU224" s="172">
        <v>899</v>
      </c>
      <c r="BV224" s="173">
        <v>899</v>
      </c>
      <c r="BW224" s="173"/>
      <c r="BX224" s="173"/>
      <c r="BY224" s="174">
        <v>1798</v>
      </c>
      <c r="BZ224" s="172"/>
      <c r="CA224" s="173"/>
      <c r="CB224" s="173"/>
      <c r="CC224" s="173"/>
      <c r="CD224" s="174"/>
      <c r="CE224" s="172"/>
      <c r="CF224" s="173"/>
      <c r="CG224" s="173"/>
      <c r="CH224" s="173"/>
      <c r="CI224" s="174"/>
    </row>
    <row r="225" s="147" customFormat="1" ht="14.6" spans="1:87">
      <c r="A225" s="175" t="s">
        <v>204</v>
      </c>
      <c r="B225" s="176"/>
      <c r="C225" s="177">
        <f t="shared" si="57"/>
        <v>13963</v>
      </c>
      <c r="D225" s="178">
        <f t="shared" si="45"/>
        <v>5082</v>
      </c>
      <c r="E225" s="178">
        <f t="shared" si="46"/>
        <v>2278</v>
      </c>
      <c r="F225" s="178">
        <f t="shared" si="47"/>
        <v>2687</v>
      </c>
      <c r="G225" s="179">
        <f t="shared" si="48"/>
        <v>24010</v>
      </c>
      <c r="H225" s="177">
        <f t="shared" si="58"/>
        <v>13064</v>
      </c>
      <c r="I225" s="178">
        <f t="shared" si="49"/>
        <v>4183</v>
      </c>
      <c r="J225" s="178">
        <f t="shared" si="50"/>
        <v>2278</v>
      </c>
      <c r="K225" s="178">
        <f t="shared" si="51"/>
        <v>2687</v>
      </c>
      <c r="L225" s="179">
        <f t="shared" si="52"/>
        <v>22212</v>
      </c>
      <c r="M225" s="177"/>
      <c r="N225" s="178"/>
      <c r="O225" s="178"/>
      <c r="P225" s="178"/>
      <c r="Q225" s="179"/>
      <c r="R225" s="177">
        <v>10519</v>
      </c>
      <c r="S225" s="178">
        <v>3471</v>
      </c>
      <c r="T225" s="178">
        <v>1299</v>
      </c>
      <c r="U225" s="178">
        <v>2598</v>
      </c>
      <c r="V225" s="179">
        <v>17887</v>
      </c>
      <c r="W225" s="177"/>
      <c r="X225" s="178"/>
      <c r="Y225" s="178"/>
      <c r="Z225" s="178"/>
      <c r="AA225" s="179"/>
      <c r="AB225" s="177">
        <v>2367</v>
      </c>
      <c r="AC225" s="178"/>
      <c r="AD225" s="178"/>
      <c r="AE225" s="178"/>
      <c r="AF225" s="179">
        <v>2367</v>
      </c>
      <c r="AG225" s="177"/>
      <c r="AH225" s="178"/>
      <c r="AI225" s="178"/>
      <c r="AJ225" s="178"/>
      <c r="AK225" s="179"/>
      <c r="AL225" s="177"/>
      <c r="AM225" s="178"/>
      <c r="AN225" s="178"/>
      <c r="AO225" s="178"/>
      <c r="AP225" s="179"/>
      <c r="AQ225" s="177"/>
      <c r="AR225" s="178"/>
      <c r="AS225" s="178"/>
      <c r="AT225" s="178"/>
      <c r="AU225" s="179"/>
      <c r="AV225" s="177">
        <v>178</v>
      </c>
      <c r="AW225" s="178">
        <v>712</v>
      </c>
      <c r="AX225" s="178">
        <v>979</v>
      </c>
      <c r="AY225" s="178">
        <v>89</v>
      </c>
      <c r="AZ225" s="179">
        <v>1958</v>
      </c>
      <c r="BA225" s="177"/>
      <c r="BB225" s="178"/>
      <c r="BC225" s="178"/>
      <c r="BD225" s="178"/>
      <c r="BE225" s="179"/>
      <c r="BF225" s="177">
        <f t="shared" si="59"/>
        <v>899</v>
      </c>
      <c r="BG225" s="178">
        <f t="shared" si="53"/>
        <v>899</v>
      </c>
      <c r="BH225" s="178">
        <f t="shared" si="54"/>
        <v>0</v>
      </c>
      <c r="BI225" s="178">
        <f t="shared" si="55"/>
        <v>0</v>
      </c>
      <c r="BJ225" s="179">
        <f t="shared" si="56"/>
        <v>1798</v>
      </c>
      <c r="BK225" s="177"/>
      <c r="BL225" s="178"/>
      <c r="BM225" s="178"/>
      <c r="BN225" s="178"/>
      <c r="BO225" s="179"/>
      <c r="BP225" s="177"/>
      <c r="BQ225" s="178"/>
      <c r="BR225" s="178"/>
      <c r="BS225" s="178"/>
      <c r="BT225" s="179"/>
      <c r="BU225" s="177">
        <v>899</v>
      </c>
      <c r="BV225" s="178">
        <v>899</v>
      </c>
      <c r="BW225" s="178"/>
      <c r="BX225" s="178"/>
      <c r="BY225" s="179">
        <v>1798</v>
      </c>
      <c r="BZ225" s="177"/>
      <c r="CA225" s="178"/>
      <c r="CB225" s="178"/>
      <c r="CC225" s="178"/>
      <c r="CD225" s="179"/>
      <c r="CE225" s="177"/>
      <c r="CF225" s="178"/>
      <c r="CG225" s="178"/>
      <c r="CH225" s="178"/>
      <c r="CI225" s="179"/>
    </row>
    <row r="226" spans="1:87">
      <c r="A226" s="170" t="s">
        <v>205</v>
      </c>
      <c r="B226" s="171" t="s">
        <v>26</v>
      </c>
      <c r="C226" s="172">
        <f t="shared" si="57"/>
        <v>5727</v>
      </c>
      <c r="D226" s="173">
        <f t="shared" si="45"/>
        <v>6279</v>
      </c>
      <c r="E226" s="173">
        <f t="shared" si="46"/>
        <v>6348</v>
      </c>
      <c r="F226" s="173">
        <f t="shared" si="47"/>
        <v>4002</v>
      </c>
      <c r="G226" s="174">
        <f t="shared" si="48"/>
        <v>22356</v>
      </c>
      <c r="H226" s="172">
        <f t="shared" si="58"/>
        <v>5313</v>
      </c>
      <c r="I226" s="173">
        <f t="shared" si="49"/>
        <v>5520</v>
      </c>
      <c r="J226" s="173">
        <f t="shared" si="50"/>
        <v>5796</v>
      </c>
      <c r="K226" s="173">
        <f t="shared" si="51"/>
        <v>4002</v>
      </c>
      <c r="L226" s="174">
        <f t="shared" si="52"/>
        <v>20631</v>
      </c>
      <c r="M226" s="172">
        <v>1104</v>
      </c>
      <c r="N226" s="173">
        <v>759</v>
      </c>
      <c r="O226" s="173">
        <v>1311</v>
      </c>
      <c r="P226" s="173">
        <v>483</v>
      </c>
      <c r="Q226" s="174">
        <v>3657</v>
      </c>
      <c r="R226" s="172"/>
      <c r="S226" s="173"/>
      <c r="T226" s="173"/>
      <c r="U226" s="173"/>
      <c r="V226" s="174"/>
      <c r="W226" s="172"/>
      <c r="X226" s="173"/>
      <c r="Y226" s="173"/>
      <c r="Z226" s="173"/>
      <c r="AA226" s="174"/>
      <c r="AB226" s="172">
        <v>3933</v>
      </c>
      <c r="AC226" s="173">
        <v>4692</v>
      </c>
      <c r="AD226" s="173">
        <v>4209</v>
      </c>
      <c r="AE226" s="173">
        <v>3312</v>
      </c>
      <c r="AF226" s="174">
        <v>16146</v>
      </c>
      <c r="AG226" s="172"/>
      <c r="AH226" s="173"/>
      <c r="AI226" s="173"/>
      <c r="AJ226" s="173"/>
      <c r="AK226" s="174"/>
      <c r="AL226" s="172"/>
      <c r="AM226" s="173"/>
      <c r="AN226" s="173"/>
      <c r="AO226" s="173"/>
      <c r="AP226" s="174"/>
      <c r="AQ226" s="172"/>
      <c r="AR226" s="173"/>
      <c r="AS226" s="173"/>
      <c r="AT226" s="173"/>
      <c r="AU226" s="174"/>
      <c r="AV226" s="172">
        <v>207</v>
      </c>
      <c r="AW226" s="173">
        <v>69</v>
      </c>
      <c r="AX226" s="173">
        <v>276</v>
      </c>
      <c r="AY226" s="173">
        <v>207</v>
      </c>
      <c r="AZ226" s="174">
        <v>759</v>
      </c>
      <c r="BA226" s="172">
        <v>69</v>
      </c>
      <c r="BB226" s="173"/>
      <c r="BC226" s="173"/>
      <c r="BD226" s="173"/>
      <c r="BE226" s="174">
        <v>69</v>
      </c>
      <c r="BF226" s="172">
        <f t="shared" si="59"/>
        <v>414</v>
      </c>
      <c r="BG226" s="173">
        <f t="shared" si="53"/>
        <v>759</v>
      </c>
      <c r="BH226" s="173">
        <f t="shared" si="54"/>
        <v>552</v>
      </c>
      <c r="BI226" s="173">
        <f t="shared" si="55"/>
        <v>0</v>
      </c>
      <c r="BJ226" s="174">
        <f t="shared" si="56"/>
        <v>1725</v>
      </c>
      <c r="BK226" s="172"/>
      <c r="BL226" s="173"/>
      <c r="BM226" s="173"/>
      <c r="BN226" s="173"/>
      <c r="BO226" s="174"/>
      <c r="BP226" s="172">
        <v>414</v>
      </c>
      <c r="BQ226" s="173">
        <v>759</v>
      </c>
      <c r="BR226" s="173">
        <v>552</v>
      </c>
      <c r="BS226" s="173"/>
      <c r="BT226" s="174">
        <v>1725</v>
      </c>
      <c r="BU226" s="172"/>
      <c r="BV226" s="173"/>
      <c r="BW226" s="173"/>
      <c r="BX226" s="173"/>
      <c r="BY226" s="174"/>
      <c r="BZ226" s="172"/>
      <c r="CA226" s="173"/>
      <c r="CB226" s="173"/>
      <c r="CC226" s="173"/>
      <c r="CD226" s="174"/>
      <c r="CE226" s="172"/>
      <c r="CF226" s="173"/>
      <c r="CG226" s="173"/>
      <c r="CH226" s="173"/>
      <c r="CI226" s="174"/>
    </row>
    <row r="227" s="147" customFormat="1" ht="14.6" spans="1:87">
      <c r="A227" s="175" t="s">
        <v>206</v>
      </c>
      <c r="B227" s="176"/>
      <c r="C227" s="177">
        <f t="shared" si="57"/>
        <v>5727</v>
      </c>
      <c r="D227" s="178">
        <f t="shared" si="45"/>
        <v>6279</v>
      </c>
      <c r="E227" s="178">
        <f t="shared" si="46"/>
        <v>6348</v>
      </c>
      <c r="F227" s="178">
        <f t="shared" si="47"/>
        <v>4002</v>
      </c>
      <c r="G227" s="179">
        <f t="shared" si="48"/>
        <v>22356</v>
      </c>
      <c r="H227" s="177">
        <f t="shared" si="58"/>
        <v>5313</v>
      </c>
      <c r="I227" s="178">
        <f t="shared" si="49"/>
        <v>5520</v>
      </c>
      <c r="J227" s="178">
        <f t="shared" si="50"/>
        <v>5796</v>
      </c>
      <c r="K227" s="178">
        <f t="shared" si="51"/>
        <v>4002</v>
      </c>
      <c r="L227" s="179">
        <f t="shared" si="52"/>
        <v>20631</v>
      </c>
      <c r="M227" s="177">
        <v>1104</v>
      </c>
      <c r="N227" s="178">
        <v>759</v>
      </c>
      <c r="O227" s="178">
        <v>1311</v>
      </c>
      <c r="P227" s="178">
        <v>483</v>
      </c>
      <c r="Q227" s="179">
        <v>3657</v>
      </c>
      <c r="R227" s="177"/>
      <c r="S227" s="178"/>
      <c r="T227" s="178"/>
      <c r="U227" s="178"/>
      <c r="V227" s="179"/>
      <c r="W227" s="177"/>
      <c r="X227" s="178"/>
      <c r="Y227" s="178"/>
      <c r="Z227" s="178"/>
      <c r="AA227" s="179"/>
      <c r="AB227" s="177">
        <v>3933</v>
      </c>
      <c r="AC227" s="178">
        <v>4692</v>
      </c>
      <c r="AD227" s="178">
        <v>4209</v>
      </c>
      <c r="AE227" s="178">
        <v>3312</v>
      </c>
      <c r="AF227" s="179">
        <v>16146</v>
      </c>
      <c r="AG227" s="177"/>
      <c r="AH227" s="178"/>
      <c r="AI227" s="178"/>
      <c r="AJ227" s="178"/>
      <c r="AK227" s="179"/>
      <c r="AL227" s="177"/>
      <c r="AM227" s="178"/>
      <c r="AN227" s="178"/>
      <c r="AO227" s="178"/>
      <c r="AP227" s="179"/>
      <c r="AQ227" s="177"/>
      <c r="AR227" s="178"/>
      <c r="AS227" s="178"/>
      <c r="AT227" s="178"/>
      <c r="AU227" s="179"/>
      <c r="AV227" s="177">
        <v>207</v>
      </c>
      <c r="AW227" s="178">
        <v>69</v>
      </c>
      <c r="AX227" s="178">
        <v>276</v>
      </c>
      <c r="AY227" s="178">
        <v>207</v>
      </c>
      <c r="AZ227" s="179">
        <v>759</v>
      </c>
      <c r="BA227" s="177">
        <v>69</v>
      </c>
      <c r="BB227" s="178"/>
      <c r="BC227" s="178"/>
      <c r="BD227" s="178"/>
      <c r="BE227" s="179">
        <v>69</v>
      </c>
      <c r="BF227" s="177">
        <f t="shared" si="59"/>
        <v>414</v>
      </c>
      <c r="BG227" s="178">
        <f t="shared" si="53"/>
        <v>759</v>
      </c>
      <c r="BH227" s="178">
        <f t="shared" si="54"/>
        <v>552</v>
      </c>
      <c r="BI227" s="178">
        <f t="shared" si="55"/>
        <v>0</v>
      </c>
      <c r="BJ227" s="179">
        <f t="shared" si="56"/>
        <v>1725</v>
      </c>
      <c r="BK227" s="177"/>
      <c r="BL227" s="178"/>
      <c r="BM227" s="178"/>
      <c r="BN227" s="178"/>
      <c r="BO227" s="179"/>
      <c r="BP227" s="177">
        <v>414</v>
      </c>
      <c r="BQ227" s="178">
        <v>759</v>
      </c>
      <c r="BR227" s="178">
        <v>552</v>
      </c>
      <c r="BS227" s="178"/>
      <c r="BT227" s="179">
        <v>1725</v>
      </c>
      <c r="BU227" s="177"/>
      <c r="BV227" s="178"/>
      <c r="BW227" s="178"/>
      <c r="BX227" s="178"/>
      <c r="BY227" s="179"/>
      <c r="BZ227" s="177"/>
      <c r="CA227" s="178"/>
      <c r="CB227" s="178"/>
      <c r="CC227" s="178"/>
      <c r="CD227" s="179"/>
      <c r="CE227" s="177"/>
      <c r="CF227" s="178"/>
      <c r="CG227" s="178"/>
      <c r="CH227" s="178"/>
      <c r="CI227" s="179"/>
    </row>
    <row r="228" spans="1:87">
      <c r="A228" s="170" t="s">
        <v>207</v>
      </c>
      <c r="B228" s="171" t="s">
        <v>26</v>
      </c>
      <c r="C228" s="172">
        <f t="shared" si="57"/>
        <v>11868</v>
      </c>
      <c r="D228" s="173">
        <f t="shared" si="45"/>
        <v>3381</v>
      </c>
      <c r="E228" s="173">
        <f t="shared" si="46"/>
        <v>276</v>
      </c>
      <c r="F228" s="173">
        <f t="shared" si="47"/>
        <v>1104</v>
      </c>
      <c r="G228" s="174">
        <f t="shared" si="48"/>
        <v>16629</v>
      </c>
      <c r="H228" s="172">
        <f t="shared" si="58"/>
        <v>5451</v>
      </c>
      <c r="I228" s="173">
        <f t="shared" si="49"/>
        <v>345</v>
      </c>
      <c r="J228" s="173">
        <f t="shared" si="50"/>
        <v>0</v>
      </c>
      <c r="K228" s="173">
        <f t="shared" si="51"/>
        <v>345</v>
      </c>
      <c r="L228" s="174">
        <f t="shared" si="52"/>
        <v>6141</v>
      </c>
      <c r="M228" s="172"/>
      <c r="N228" s="173"/>
      <c r="O228" s="173"/>
      <c r="P228" s="173"/>
      <c r="Q228" s="174"/>
      <c r="R228" s="172">
        <v>5451</v>
      </c>
      <c r="S228" s="173">
        <v>345</v>
      </c>
      <c r="T228" s="173"/>
      <c r="U228" s="173">
        <v>345</v>
      </c>
      <c r="V228" s="174">
        <v>6141</v>
      </c>
      <c r="W228" s="172"/>
      <c r="X228" s="173"/>
      <c r="Y228" s="173"/>
      <c r="Z228" s="173"/>
      <c r="AA228" s="174"/>
      <c r="AB228" s="172"/>
      <c r="AC228" s="173"/>
      <c r="AD228" s="173"/>
      <c r="AE228" s="173"/>
      <c r="AF228" s="174"/>
      <c r="AG228" s="172"/>
      <c r="AH228" s="173"/>
      <c r="AI228" s="173"/>
      <c r="AJ228" s="173"/>
      <c r="AK228" s="174"/>
      <c r="AL228" s="172"/>
      <c r="AM228" s="173"/>
      <c r="AN228" s="173"/>
      <c r="AO228" s="173"/>
      <c r="AP228" s="174"/>
      <c r="AQ228" s="172"/>
      <c r="AR228" s="173"/>
      <c r="AS228" s="173"/>
      <c r="AT228" s="173"/>
      <c r="AU228" s="174"/>
      <c r="AV228" s="172"/>
      <c r="AW228" s="173"/>
      <c r="AX228" s="173"/>
      <c r="AY228" s="173"/>
      <c r="AZ228" s="174"/>
      <c r="BA228" s="172"/>
      <c r="BB228" s="173"/>
      <c r="BC228" s="173"/>
      <c r="BD228" s="173"/>
      <c r="BE228" s="174"/>
      <c r="BF228" s="172">
        <f t="shared" si="59"/>
        <v>6417</v>
      </c>
      <c r="BG228" s="173">
        <f t="shared" si="53"/>
        <v>3036</v>
      </c>
      <c r="BH228" s="173">
        <f t="shared" si="54"/>
        <v>276</v>
      </c>
      <c r="BI228" s="173">
        <f t="shared" si="55"/>
        <v>759</v>
      </c>
      <c r="BJ228" s="174">
        <f t="shared" si="56"/>
        <v>10488</v>
      </c>
      <c r="BK228" s="172"/>
      <c r="BL228" s="173"/>
      <c r="BM228" s="173"/>
      <c r="BN228" s="173"/>
      <c r="BO228" s="174"/>
      <c r="BP228" s="172">
        <v>207</v>
      </c>
      <c r="BQ228" s="173"/>
      <c r="BR228" s="173"/>
      <c r="BS228" s="173"/>
      <c r="BT228" s="174">
        <v>207</v>
      </c>
      <c r="BU228" s="172">
        <v>5520</v>
      </c>
      <c r="BV228" s="173">
        <v>3036</v>
      </c>
      <c r="BW228" s="173">
        <v>276</v>
      </c>
      <c r="BX228" s="173">
        <v>759</v>
      </c>
      <c r="BY228" s="174">
        <v>9591</v>
      </c>
      <c r="BZ228" s="172">
        <v>690</v>
      </c>
      <c r="CA228" s="173"/>
      <c r="CB228" s="173"/>
      <c r="CC228" s="173"/>
      <c r="CD228" s="174">
        <v>690</v>
      </c>
      <c r="CE228" s="172"/>
      <c r="CF228" s="173"/>
      <c r="CG228" s="173"/>
      <c r="CH228" s="173"/>
      <c r="CI228" s="174"/>
    </row>
    <row r="229" s="147" customFormat="1" ht="14.6" spans="1:87">
      <c r="A229" s="175" t="s">
        <v>208</v>
      </c>
      <c r="B229" s="176"/>
      <c r="C229" s="177">
        <f t="shared" si="57"/>
        <v>11868</v>
      </c>
      <c r="D229" s="178">
        <f t="shared" si="45"/>
        <v>3381</v>
      </c>
      <c r="E229" s="178">
        <f t="shared" si="46"/>
        <v>276</v>
      </c>
      <c r="F229" s="178">
        <f t="shared" si="47"/>
        <v>1104</v>
      </c>
      <c r="G229" s="179">
        <f t="shared" si="48"/>
        <v>16629</v>
      </c>
      <c r="H229" s="177">
        <f t="shared" si="58"/>
        <v>5451</v>
      </c>
      <c r="I229" s="178">
        <f t="shared" si="49"/>
        <v>345</v>
      </c>
      <c r="J229" s="178">
        <f t="shared" si="50"/>
        <v>0</v>
      </c>
      <c r="K229" s="178">
        <f t="shared" si="51"/>
        <v>345</v>
      </c>
      <c r="L229" s="179">
        <f t="shared" si="52"/>
        <v>6141</v>
      </c>
      <c r="M229" s="177"/>
      <c r="N229" s="178"/>
      <c r="O229" s="178"/>
      <c r="P229" s="178"/>
      <c r="Q229" s="179"/>
      <c r="R229" s="177">
        <v>5451</v>
      </c>
      <c r="S229" s="178">
        <v>345</v>
      </c>
      <c r="T229" s="178"/>
      <c r="U229" s="178">
        <v>345</v>
      </c>
      <c r="V229" s="179">
        <v>6141</v>
      </c>
      <c r="W229" s="177"/>
      <c r="X229" s="178"/>
      <c r="Y229" s="178"/>
      <c r="Z229" s="178"/>
      <c r="AA229" s="179"/>
      <c r="AB229" s="177"/>
      <c r="AC229" s="178"/>
      <c r="AD229" s="178"/>
      <c r="AE229" s="178"/>
      <c r="AF229" s="179"/>
      <c r="AG229" s="177"/>
      <c r="AH229" s="178"/>
      <c r="AI229" s="178"/>
      <c r="AJ229" s="178"/>
      <c r="AK229" s="179"/>
      <c r="AL229" s="177"/>
      <c r="AM229" s="178"/>
      <c r="AN229" s="178"/>
      <c r="AO229" s="178"/>
      <c r="AP229" s="179"/>
      <c r="AQ229" s="177"/>
      <c r="AR229" s="178"/>
      <c r="AS229" s="178"/>
      <c r="AT229" s="178"/>
      <c r="AU229" s="179"/>
      <c r="AV229" s="177"/>
      <c r="AW229" s="178"/>
      <c r="AX229" s="178"/>
      <c r="AY229" s="178"/>
      <c r="AZ229" s="179"/>
      <c r="BA229" s="177"/>
      <c r="BB229" s="178"/>
      <c r="BC229" s="178"/>
      <c r="BD229" s="178"/>
      <c r="BE229" s="179"/>
      <c r="BF229" s="177">
        <f t="shared" si="59"/>
        <v>6417</v>
      </c>
      <c r="BG229" s="178">
        <f t="shared" si="53"/>
        <v>3036</v>
      </c>
      <c r="BH229" s="178">
        <f t="shared" si="54"/>
        <v>276</v>
      </c>
      <c r="BI229" s="178">
        <f t="shared" si="55"/>
        <v>759</v>
      </c>
      <c r="BJ229" s="179">
        <f t="shared" si="56"/>
        <v>10488</v>
      </c>
      <c r="BK229" s="177"/>
      <c r="BL229" s="178"/>
      <c r="BM229" s="178"/>
      <c r="BN229" s="178"/>
      <c r="BO229" s="179"/>
      <c r="BP229" s="177">
        <v>207</v>
      </c>
      <c r="BQ229" s="178"/>
      <c r="BR229" s="178"/>
      <c r="BS229" s="178"/>
      <c r="BT229" s="179">
        <v>207</v>
      </c>
      <c r="BU229" s="177">
        <v>5520</v>
      </c>
      <c r="BV229" s="178">
        <v>3036</v>
      </c>
      <c r="BW229" s="178">
        <v>276</v>
      </c>
      <c r="BX229" s="178">
        <v>759</v>
      </c>
      <c r="BY229" s="179">
        <v>9591</v>
      </c>
      <c r="BZ229" s="177">
        <v>690</v>
      </c>
      <c r="CA229" s="178"/>
      <c r="CB229" s="178"/>
      <c r="CC229" s="178"/>
      <c r="CD229" s="179">
        <v>690</v>
      </c>
      <c r="CE229" s="177"/>
      <c r="CF229" s="178"/>
      <c r="CG229" s="178"/>
      <c r="CH229" s="178"/>
      <c r="CI229" s="179"/>
    </row>
    <row r="230" spans="1:87">
      <c r="A230" s="170" t="s">
        <v>209</v>
      </c>
      <c r="B230" s="171" t="s">
        <v>26</v>
      </c>
      <c r="C230" s="172">
        <f t="shared" si="57"/>
        <v>3174</v>
      </c>
      <c r="D230" s="173">
        <f t="shared" si="45"/>
        <v>3795</v>
      </c>
      <c r="E230" s="173">
        <f t="shared" si="46"/>
        <v>4209</v>
      </c>
      <c r="F230" s="173">
        <f t="shared" si="47"/>
        <v>3174</v>
      </c>
      <c r="G230" s="174">
        <f t="shared" si="48"/>
        <v>14352</v>
      </c>
      <c r="H230" s="172">
        <f t="shared" si="58"/>
        <v>3174</v>
      </c>
      <c r="I230" s="173">
        <f t="shared" si="49"/>
        <v>3795</v>
      </c>
      <c r="J230" s="173">
        <f t="shared" si="50"/>
        <v>4140</v>
      </c>
      <c r="K230" s="173">
        <f t="shared" si="51"/>
        <v>3174</v>
      </c>
      <c r="L230" s="174">
        <f t="shared" si="52"/>
        <v>14283</v>
      </c>
      <c r="M230" s="172"/>
      <c r="N230" s="173"/>
      <c r="O230" s="173"/>
      <c r="P230" s="173"/>
      <c r="Q230" s="174"/>
      <c r="R230" s="172"/>
      <c r="S230" s="173"/>
      <c r="T230" s="173"/>
      <c r="U230" s="173"/>
      <c r="V230" s="174"/>
      <c r="W230" s="172"/>
      <c r="X230" s="173"/>
      <c r="Y230" s="173"/>
      <c r="Z230" s="173"/>
      <c r="AA230" s="174"/>
      <c r="AB230" s="172">
        <v>2553</v>
      </c>
      <c r="AC230" s="173">
        <v>2829</v>
      </c>
      <c r="AD230" s="173">
        <v>2898</v>
      </c>
      <c r="AE230" s="173">
        <v>1863</v>
      </c>
      <c r="AF230" s="174">
        <v>10143</v>
      </c>
      <c r="AG230" s="172"/>
      <c r="AH230" s="173"/>
      <c r="AI230" s="173"/>
      <c r="AJ230" s="173"/>
      <c r="AK230" s="174"/>
      <c r="AL230" s="172"/>
      <c r="AM230" s="173"/>
      <c r="AN230" s="173"/>
      <c r="AO230" s="173"/>
      <c r="AP230" s="174"/>
      <c r="AQ230" s="172">
        <v>621</v>
      </c>
      <c r="AR230" s="173">
        <v>966</v>
      </c>
      <c r="AS230" s="173">
        <v>1242</v>
      </c>
      <c r="AT230" s="173">
        <v>1311</v>
      </c>
      <c r="AU230" s="174">
        <v>4140</v>
      </c>
      <c r="AV230" s="172"/>
      <c r="AW230" s="173"/>
      <c r="AX230" s="173"/>
      <c r="AY230" s="173"/>
      <c r="AZ230" s="174"/>
      <c r="BA230" s="172"/>
      <c r="BB230" s="173"/>
      <c r="BC230" s="173"/>
      <c r="BD230" s="173"/>
      <c r="BE230" s="174"/>
      <c r="BF230" s="172">
        <f t="shared" si="59"/>
        <v>0</v>
      </c>
      <c r="BG230" s="173">
        <f t="shared" si="53"/>
        <v>0</v>
      </c>
      <c r="BH230" s="173">
        <f t="shared" si="54"/>
        <v>69</v>
      </c>
      <c r="BI230" s="173">
        <f t="shared" si="55"/>
        <v>0</v>
      </c>
      <c r="BJ230" s="174">
        <f t="shared" si="56"/>
        <v>69</v>
      </c>
      <c r="BK230" s="172"/>
      <c r="BL230" s="173"/>
      <c r="BM230" s="173"/>
      <c r="BN230" s="173"/>
      <c r="BO230" s="174"/>
      <c r="BP230" s="172"/>
      <c r="BQ230" s="173"/>
      <c r="BR230" s="173">
        <v>69</v>
      </c>
      <c r="BS230" s="173"/>
      <c r="BT230" s="174">
        <v>69</v>
      </c>
      <c r="BU230" s="172"/>
      <c r="BV230" s="173"/>
      <c r="BW230" s="173"/>
      <c r="BX230" s="173"/>
      <c r="BY230" s="174"/>
      <c r="BZ230" s="172"/>
      <c r="CA230" s="173"/>
      <c r="CB230" s="173"/>
      <c r="CC230" s="173"/>
      <c r="CD230" s="174"/>
      <c r="CE230" s="172"/>
      <c r="CF230" s="173"/>
      <c r="CG230" s="173"/>
      <c r="CH230" s="173"/>
      <c r="CI230" s="174"/>
    </row>
    <row r="231" s="147" customFormat="1" ht="14.6" spans="1:87">
      <c r="A231" s="175" t="s">
        <v>210</v>
      </c>
      <c r="B231" s="176"/>
      <c r="C231" s="177">
        <f t="shared" si="57"/>
        <v>3174</v>
      </c>
      <c r="D231" s="178">
        <f t="shared" si="45"/>
        <v>3795</v>
      </c>
      <c r="E231" s="178">
        <f t="shared" si="46"/>
        <v>4209</v>
      </c>
      <c r="F231" s="178">
        <f t="shared" si="47"/>
        <v>3174</v>
      </c>
      <c r="G231" s="179">
        <f t="shared" si="48"/>
        <v>14352</v>
      </c>
      <c r="H231" s="177">
        <f t="shared" si="58"/>
        <v>3174</v>
      </c>
      <c r="I231" s="178">
        <f t="shared" si="49"/>
        <v>3795</v>
      </c>
      <c r="J231" s="178">
        <f t="shared" si="50"/>
        <v>4140</v>
      </c>
      <c r="K231" s="178">
        <f t="shared" si="51"/>
        <v>3174</v>
      </c>
      <c r="L231" s="179">
        <f t="shared" si="52"/>
        <v>14283</v>
      </c>
      <c r="M231" s="177"/>
      <c r="N231" s="178"/>
      <c r="O231" s="178"/>
      <c r="P231" s="178"/>
      <c r="Q231" s="179"/>
      <c r="R231" s="177"/>
      <c r="S231" s="178"/>
      <c r="T231" s="178"/>
      <c r="U231" s="178"/>
      <c r="V231" s="179"/>
      <c r="W231" s="177"/>
      <c r="X231" s="178"/>
      <c r="Y231" s="178"/>
      <c r="Z231" s="178"/>
      <c r="AA231" s="179"/>
      <c r="AB231" s="177">
        <v>2553</v>
      </c>
      <c r="AC231" s="178">
        <v>2829</v>
      </c>
      <c r="AD231" s="178">
        <v>2898</v>
      </c>
      <c r="AE231" s="178">
        <v>1863</v>
      </c>
      <c r="AF231" s="179">
        <v>10143</v>
      </c>
      <c r="AG231" s="177"/>
      <c r="AH231" s="178"/>
      <c r="AI231" s="178"/>
      <c r="AJ231" s="178"/>
      <c r="AK231" s="179"/>
      <c r="AL231" s="177"/>
      <c r="AM231" s="178"/>
      <c r="AN231" s="178"/>
      <c r="AO231" s="178"/>
      <c r="AP231" s="179"/>
      <c r="AQ231" s="177">
        <v>621</v>
      </c>
      <c r="AR231" s="178">
        <v>966</v>
      </c>
      <c r="AS231" s="178">
        <v>1242</v>
      </c>
      <c r="AT231" s="178">
        <v>1311</v>
      </c>
      <c r="AU231" s="179">
        <v>4140</v>
      </c>
      <c r="AV231" s="177"/>
      <c r="AW231" s="178"/>
      <c r="AX231" s="178"/>
      <c r="AY231" s="178"/>
      <c r="AZ231" s="179"/>
      <c r="BA231" s="177"/>
      <c r="BB231" s="178"/>
      <c r="BC231" s="178"/>
      <c r="BD231" s="178"/>
      <c r="BE231" s="179"/>
      <c r="BF231" s="177">
        <f t="shared" si="59"/>
        <v>0</v>
      </c>
      <c r="BG231" s="178">
        <f t="shared" si="53"/>
        <v>0</v>
      </c>
      <c r="BH231" s="178">
        <f t="shared" si="54"/>
        <v>69</v>
      </c>
      <c r="BI231" s="178">
        <f t="shared" si="55"/>
        <v>0</v>
      </c>
      <c r="BJ231" s="179">
        <f t="shared" si="56"/>
        <v>69</v>
      </c>
      <c r="BK231" s="177"/>
      <c r="BL231" s="178"/>
      <c r="BM231" s="178"/>
      <c r="BN231" s="178"/>
      <c r="BO231" s="179"/>
      <c r="BP231" s="177"/>
      <c r="BQ231" s="178"/>
      <c r="BR231" s="178">
        <v>69</v>
      </c>
      <c r="BS231" s="178"/>
      <c r="BT231" s="179">
        <v>69</v>
      </c>
      <c r="BU231" s="177"/>
      <c r="BV231" s="178"/>
      <c r="BW231" s="178"/>
      <c r="BX231" s="178"/>
      <c r="BY231" s="179"/>
      <c r="BZ231" s="177"/>
      <c r="CA231" s="178"/>
      <c r="CB231" s="178"/>
      <c r="CC231" s="178"/>
      <c r="CD231" s="179"/>
      <c r="CE231" s="177"/>
      <c r="CF231" s="178"/>
      <c r="CG231" s="178"/>
      <c r="CH231" s="178"/>
      <c r="CI231" s="179"/>
    </row>
    <row r="232" spans="1:87">
      <c r="A232" s="170" t="s">
        <v>211</v>
      </c>
      <c r="B232" s="171" t="s">
        <v>26</v>
      </c>
      <c r="C232" s="172">
        <f t="shared" si="57"/>
        <v>4893</v>
      </c>
      <c r="D232" s="173">
        <f t="shared" si="45"/>
        <v>2097</v>
      </c>
      <c r="E232" s="173">
        <f t="shared" si="46"/>
        <v>1398</v>
      </c>
      <c r="F232" s="173">
        <f t="shared" si="47"/>
        <v>2796</v>
      </c>
      <c r="G232" s="174">
        <f t="shared" si="48"/>
        <v>11184</v>
      </c>
      <c r="H232" s="172">
        <f t="shared" si="58"/>
        <v>4893</v>
      </c>
      <c r="I232" s="173">
        <f t="shared" si="49"/>
        <v>2097</v>
      </c>
      <c r="J232" s="173">
        <f t="shared" si="50"/>
        <v>1398</v>
      </c>
      <c r="K232" s="173">
        <f t="shared" si="51"/>
        <v>1398</v>
      </c>
      <c r="L232" s="174">
        <f t="shared" si="52"/>
        <v>9786</v>
      </c>
      <c r="M232" s="172">
        <v>2796</v>
      </c>
      <c r="N232" s="173"/>
      <c r="O232" s="173"/>
      <c r="P232" s="173"/>
      <c r="Q232" s="174">
        <v>2796</v>
      </c>
      <c r="R232" s="172"/>
      <c r="S232" s="173"/>
      <c r="T232" s="173"/>
      <c r="U232" s="173"/>
      <c r="V232" s="174"/>
      <c r="W232" s="172"/>
      <c r="X232" s="173"/>
      <c r="Y232" s="173"/>
      <c r="Z232" s="173"/>
      <c r="AA232" s="174"/>
      <c r="AB232" s="172"/>
      <c r="AC232" s="173"/>
      <c r="AD232" s="173">
        <v>699</v>
      </c>
      <c r="AE232" s="173"/>
      <c r="AF232" s="174">
        <v>699</v>
      </c>
      <c r="AG232" s="172"/>
      <c r="AH232" s="173"/>
      <c r="AI232" s="173"/>
      <c r="AJ232" s="173"/>
      <c r="AK232" s="174"/>
      <c r="AL232" s="172">
        <v>1398</v>
      </c>
      <c r="AM232" s="173">
        <v>2097</v>
      </c>
      <c r="AN232" s="173">
        <v>699</v>
      </c>
      <c r="AO232" s="173">
        <v>699</v>
      </c>
      <c r="AP232" s="174">
        <v>4893</v>
      </c>
      <c r="AQ232" s="172">
        <v>699</v>
      </c>
      <c r="AR232" s="173"/>
      <c r="AS232" s="173"/>
      <c r="AT232" s="173"/>
      <c r="AU232" s="174">
        <v>699</v>
      </c>
      <c r="AV232" s="172"/>
      <c r="AW232" s="173"/>
      <c r="AX232" s="173"/>
      <c r="AY232" s="173"/>
      <c r="AZ232" s="174"/>
      <c r="BA232" s="172"/>
      <c r="BB232" s="173"/>
      <c r="BC232" s="173"/>
      <c r="BD232" s="173">
        <v>699</v>
      </c>
      <c r="BE232" s="174">
        <v>699</v>
      </c>
      <c r="BF232" s="172">
        <f t="shared" si="59"/>
        <v>0</v>
      </c>
      <c r="BG232" s="173">
        <f t="shared" si="53"/>
        <v>0</v>
      </c>
      <c r="BH232" s="173">
        <f t="shared" si="54"/>
        <v>0</v>
      </c>
      <c r="BI232" s="173">
        <f t="shared" si="55"/>
        <v>1398</v>
      </c>
      <c r="BJ232" s="174">
        <f t="shared" si="56"/>
        <v>1398</v>
      </c>
      <c r="BK232" s="172"/>
      <c r="BL232" s="173"/>
      <c r="BM232" s="173"/>
      <c r="BN232" s="173"/>
      <c r="BO232" s="174"/>
      <c r="BP232" s="172"/>
      <c r="BQ232" s="173"/>
      <c r="BR232" s="173"/>
      <c r="BS232" s="173"/>
      <c r="BT232" s="174"/>
      <c r="BU232" s="172"/>
      <c r="BV232" s="173"/>
      <c r="BW232" s="173"/>
      <c r="BX232" s="173">
        <v>1398</v>
      </c>
      <c r="BY232" s="174">
        <v>1398</v>
      </c>
      <c r="BZ232" s="172"/>
      <c r="CA232" s="173"/>
      <c r="CB232" s="173"/>
      <c r="CC232" s="173"/>
      <c r="CD232" s="174"/>
      <c r="CE232" s="172"/>
      <c r="CF232" s="173"/>
      <c r="CG232" s="173"/>
      <c r="CH232" s="173"/>
      <c r="CI232" s="174"/>
    </row>
    <row r="233" s="147" customFormat="1" ht="14.6" spans="1:87">
      <c r="A233" s="175" t="s">
        <v>212</v>
      </c>
      <c r="B233" s="176"/>
      <c r="C233" s="177">
        <f t="shared" si="57"/>
        <v>4893</v>
      </c>
      <c r="D233" s="178">
        <f t="shared" si="45"/>
        <v>2097</v>
      </c>
      <c r="E233" s="178">
        <f t="shared" si="46"/>
        <v>1398</v>
      </c>
      <c r="F233" s="178">
        <f t="shared" si="47"/>
        <v>2796</v>
      </c>
      <c r="G233" s="179">
        <f t="shared" si="48"/>
        <v>11184</v>
      </c>
      <c r="H233" s="177">
        <f t="shared" si="58"/>
        <v>4893</v>
      </c>
      <c r="I233" s="178">
        <f t="shared" si="49"/>
        <v>2097</v>
      </c>
      <c r="J233" s="178">
        <f t="shared" si="50"/>
        <v>1398</v>
      </c>
      <c r="K233" s="178">
        <f t="shared" si="51"/>
        <v>1398</v>
      </c>
      <c r="L233" s="179">
        <f t="shared" si="52"/>
        <v>9786</v>
      </c>
      <c r="M233" s="177">
        <v>2796</v>
      </c>
      <c r="N233" s="178"/>
      <c r="O233" s="178"/>
      <c r="P233" s="178"/>
      <c r="Q233" s="179">
        <v>2796</v>
      </c>
      <c r="R233" s="177"/>
      <c r="S233" s="178"/>
      <c r="T233" s="178"/>
      <c r="U233" s="178"/>
      <c r="V233" s="179"/>
      <c r="W233" s="177"/>
      <c r="X233" s="178"/>
      <c r="Y233" s="178"/>
      <c r="Z233" s="178"/>
      <c r="AA233" s="179"/>
      <c r="AB233" s="177"/>
      <c r="AC233" s="178"/>
      <c r="AD233" s="178">
        <v>699</v>
      </c>
      <c r="AE233" s="178"/>
      <c r="AF233" s="179">
        <v>699</v>
      </c>
      <c r="AG233" s="177"/>
      <c r="AH233" s="178"/>
      <c r="AI233" s="178"/>
      <c r="AJ233" s="178"/>
      <c r="AK233" s="179"/>
      <c r="AL233" s="177">
        <v>1398</v>
      </c>
      <c r="AM233" s="178">
        <v>2097</v>
      </c>
      <c r="AN233" s="178">
        <v>699</v>
      </c>
      <c r="AO233" s="178">
        <v>699</v>
      </c>
      <c r="AP233" s="179">
        <v>4893</v>
      </c>
      <c r="AQ233" s="177">
        <v>699</v>
      </c>
      <c r="AR233" s="178"/>
      <c r="AS233" s="178"/>
      <c r="AT233" s="178"/>
      <c r="AU233" s="179">
        <v>699</v>
      </c>
      <c r="AV233" s="177"/>
      <c r="AW233" s="178"/>
      <c r="AX233" s="178"/>
      <c r="AY233" s="178"/>
      <c r="AZ233" s="179"/>
      <c r="BA233" s="177"/>
      <c r="BB233" s="178"/>
      <c r="BC233" s="178"/>
      <c r="BD233" s="178">
        <v>699</v>
      </c>
      <c r="BE233" s="179">
        <v>699</v>
      </c>
      <c r="BF233" s="177">
        <f t="shared" si="59"/>
        <v>0</v>
      </c>
      <c r="BG233" s="178">
        <f t="shared" si="53"/>
        <v>0</v>
      </c>
      <c r="BH233" s="178">
        <f t="shared" si="54"/>
        <v>0</v>
      </c>
      <c r="BI233" s="178">
        <f t="shared" si="55"/>
        <v>1398</v>
      </c>
      <c r="BJ233" s="179">
        <f t="shared" si="56"/>
        <v>1398</v>
      </c>
      <c r="BK233" s="177"/>
      <c r="BL233" s="178"/>
      <c r="BM233" s="178"/>
      <c r="BN233" s="178"/>
      <c r="BO233" s="179"/>
      <c r="BP233" s="177"/>
      <c r="BQ233" s="178"/>
      <c r="BR233" s="178"/>
      <c r="BS233" s="178"/>
      <c r="BT233" s="179"/>
      <c r="BU233" s="177"/>
      <c r="BV233" s="178"/>
      <c r="BW233" s="178"/>
      <c r="BX233" s="178">
        <v>1398</v>
      </c>
      <c r="BY233" s="179">
        <v>1398</v>
      </c>
      <c r="BZ233" s="177"/>
      <c r="CA233" s="178"/>
      <c r="CB233" s="178"/>
      <c r="CC233" s="178"/>
      <c r="CD233" s="179"/>
      <c r="CE233" s="177"/>
      <c r="CF233" s="178"/>
      <c r="CG233" s="178"/>
      <c r="CH233" s="178"/>
      <c r="CI233" s="179"/>
    </row>
    <row r="234" spans="1:87">
      <c r="A234" s="170" t="s">
        <v>213</v>
      </c>
      <c r="B234" s="171" t="s">
        <v>26</v>
      </c>
      <c r="C234" s="172">
        <f t="shared" si="57"/>
        <v>5019</v>
      </c>
      <c r="D234" s="173">
        <f t="shared" si="45"/>
        <v>1534</v>
      </c>
      <c r="E234" s="173">
        <f t="shared" si="46"/>
        <v>2305</v>
      </c>
      <c r="F234" s="173">
        <f t="shared" si="47"/>
        <v>1770</v>
      </c>
      <c r="G234" s="174">
        <f t="shared" si="48"/>
        <v>10628</v>
      </c>
      <c r="H234" s="172">
        <f t="shared" si="58"/>
        <v>5019</v>
      </c>
      <c r="I234" s="173">
        <f t="shared" si="49"/>
        <v>1534</v>
      </c>
      <c r="J234" s="173">
        <f t="shared" si="50"/>
        <v>2305</v>
      </c>
      <c r="K234" s="173">
        <f t="shared" si="51"/>
        <v>1770</v>
      </c>
      <c r="L234" s="174">
        <f t="shared" si="52"/>
        <v>10628</v>
      </c>
      <c r="M234" s="172">
        <v>2124</v>
      </c>
      <c r="N234" s="173">
        <v>354</v>
      </c>
      <c r="O234" s="173">
        <v>1062</v>
      </c>
      <c r="P234" s="173">
        <v>472</v>
      </c>
      <c r="Q234" s="174">
        <v>4012</v>
      </c>
      <c r="R234" s="172"/>
      <c r="S234" s="173"/>
      <c r="T234" s="173"/>
      <c r="U234" s="173"/>
      <c r="V234" s="174"/>
      <c r="W234" s="172"/>
      <c r="X234" s="173"/>
      <c r="Y234" s="173"/>
      <c r="Z234" s="173"/>
      <c r="AA234" s="174"/>
      <c r="AB234" s="172">
        <v>1538</v>
      </c>
      <c r="AC234" s="173">
        <v>944</v>
      </c>
      <c r="AD234" s="173">
        <v>1125</v>
      </c>
      <c r="AE234" s="173">
        <v>826</v>
      </c>
      <c r="AF234" s="174">
        <v>4433</v>
      </c>
      <c r="AG234" s="172"/>
      <c r="AH234" s="173"/>
      <c r="AI234" s="173"/>
      <c r="AJ234" s="173"/>
      <c r="AK234" s="174"/>
      <c r="AL234" s="172">
        <v>708</v>
      </c>
      <c r="AM234" s="173">
        <v>236</v>
      </c>
      <c r="AN234" s="173">
        <v>118</v>
      </c>
      <c r="AO234" s="173">
        <v>354</v>
      </c>
      <c r="AP234" s="174">
        <v>1416</v>
      </c>
      <c r="AQ234" s="172">
        <v>354</v>
      </c>
      <c r="AR234" s="173"/>
      <c r="AS234" s="173"/>
      <c r="AT234" s="173"/>
      <c r="AU234" s="174">
        <v>354</v>
      </c>
      <c r="AV234" s="172">
        <v>177</v>
      </c>
      <c r="AW234" s="173"/>
      <c r="AX234" s="173"/>
      <c r="AY234" s="173"/>
      <c r="AZ234" s="174">
        <v>177</v>
      </c>
      <c r="BA234" s="172">
        <v>118</v>
      </c>
      <c r="BB234" s="173"/>
      <c r="BC234" s="173"/>
      <c r="BD234" s="173">
        <v>118</v>
      </c>
      <c r="BE234" s="174">
        <v>236</v>
      </c>
      <c r="BF234" s="172">
        <f t="shared" si="59"/>
        <v>0</v>
      </c>
      <c r="BG234" s="173">
        <f t="shared" si="53"/>
        <v>0</v>
      </c>
      <c r="BH234" s="173">
        <f t="shared" si="54"/>
        <v>0</v>
      </c>
      <c r="BI234" s="173">
        <f t="shared" si="55"/>
        <v>0</v>
      </c>
      <c r="BJ234" s="174">
        <f t="shared" si="56"/>
        <v>0</v>
      </c>
      <c r="BK234" s="172"/>
      <c r="BL234" s="173"/>
      <c r="BM234" s="173"/>
      <c r="BN234" s="173"/>
      <c r="BO234" s="174"/>
      <c r="BP234" s="172"/>
      <c r="BQ234" s="173"/>
      <c r="BR234" s="173"/>
      <c r="BS234" s="173"/>
      <c r="BT234" s="174"/>
      <c r="BU234" s="172"/>
      <c r="BV234" s="173"/>
      <c r="BW234" s="173"/>
      <c r="BX234" s="173"/>
      <c r="BY234" s="174"/>
      <c r="BZ234" s="172"/>
      <c r="CA234" s="173"/>
      <c r="CB234" s="173"/>
      <c r="CC234" s="173"/>
      <c r="CD234" s="174"/>
      <c r="CE234" s="172"/>
      <c r="CF234" s="173"/>
      <c r="CG234" s="173"/>
      <c r="CH234" s="173"/>
      <c r="CI234" s="174"/>
    </row>
    <row r="235" s="147" customFormat="1" ht="14.6" spans="1:87">
      <c r="A235" s="175" t="s">
        <v>214</v>
      </c>
      <c r="B235" s="176"/>
      <c r="C235" s="177">
        <f t="shared" si="57"/>
        <v>5019</v>
      </c>
      <c r="D235" s="178">
        <f t="shared" si="45"/>
        <v>1534</v>
      </c>
      <c r="E235" s="178">
        <f t="shared" si="46"/>
        <v>2305</v>
      </c>
      <c r="F235" s="178">
        <f t="shared" si="47"/>
        <v>1770</v>
      </c>
      <c r="G235" s="179">
        <f t="shared" si="48"/>
        <v>10628</v>
      </c>
      <c r="H235" s="177">
        <f t="shared" si="58"/>
        <v>5019</v>
      </c>
      <c r="I235" s="178">
        <f t="shared" si="49"/>
        <v>1534</v>
      </c>
      <c r="J235" s="178">
        <f t="shared" si="50"/>
        <v>2305</v>
      </c>
      <c r="K235" s="178">
        <f t="shared" si="51"/>
        <v>1770</v>
      </c>
      <c r="L235" s="179">
        <f t="shared" si="52"/>
        <v>10628</v>
      </c>
      <c r="M235" s="177">
        <v>2124</v>
      </c>
      <c r="N235" s="178">
        <v>354</v>
      </c>
      <c r="O235" s="178">
        <v>1062</v>
      </c>
      <c r="P235" s="178">
        <v>472</v>
      </c>
      <c r="Q235" s="179">
        <v>4012</v>
      </c>
      <c r="R235" s="177"/>
      <c r="S235" s="178"/>
      <c r="T235" s="178"/>
      <c r="U235" s="178"/>
      <c r="V235" s="179"/>
      <c r="W235" s="177"/>
      <c r="X235" s="178"/>
      <c r="Y235" s="178"/>
      <c r="Z235" s="178"/>
      <c r="AA235" s="179"/>
      <c r="AB235" s="177">
        <v>1538</v>
      </c>
      <c r="AC235" s="178">
        <v>944</v>
      </c>
      <c r="AD235" s="178">
        <v>1125</v>
      </c>
      <c r="AE235" s="178">
        <v>826</v>
      </c>
      <c r="AF235" s="179">
        <v>4433</v>
      </c>
      <c r="AG235" s="177"/>
      <c r="AH235" s="178"/>
      <c r="AI235" s="178"/>
      <c r="AJ235" s="178"/>
      <c r="AK235" s="179"/>
      <c r="AL235" s="177">
        <v>708</v>
      </c>
      <c r="AM235" s="178">
        <v>236</v>
      </c>
      <c r="AN235" s="178">
        <v>118</v>
      </c>
      <c r="AO235" s="178">
        <v>354</v>
      </c>
      <c r="AP235" s="179">
        <v>1416</v>
      </c>
      <c r="AQ235" s="177">
        <v>354</v>
      </c>
      <c r="AR235" s="178"/>
      <c r="AS235" s="178"/>
      <c r="AT235" s="178"/>
      <c r="AU235" s="179">
        <v>354</v>
      </c>
      <c r="AV235" s="177">
        <v>177</v>
      </c>
      <c r="AW235" s="178"/>
      <c r="AX235" s="178"/>
      <c r="AY235" s="178"/>
      <c r="AZ235" s="179">
        <v>177</v>
      </c>
      <c r="BA235" s="177">
        <v>118</v>
      </c>
      <c r="BB235" s="178"/>
      <c r="BC235" s="178"/>
      <c r="BD235" s="178">
        <v>118</v>
      </c>
      <c r="BE235" s="179">
        <v>236</v>
      </c>
      <c r="BF235" s="177">
        <f t="shared" si="59"/>
        <v>0</v>
      </c>
      <c r="BG235" s="178">
        <f t="shared" si="53"/>
        <v>0</v>
      </c>
      <c r="BH235" s="178">
        <f t="shared" si="54"/>
        <v>0</v>
      </c>
      <c r="BI235" s="178">
        <f t="shared" si="55"/>
        <v>0</v>
      </c>
      <c r="BJ235" s="179">
        <f t="shared" si="56"/>
        <v>0</v>
      </c>
      <c r="BK235" s="177"/>
      <c r="BL235" s="178"/>
      <c r="BM235" s="178"/>
      <c r="BN235" s="178"/>
      <c r="BO235" s="179"/>
      <c r="BP235" s="177"/>
      <c r="BQ235" s="178"/>
      <c r="BR235" s="178"/>
      <c r="BS235" s="178"/>
      <c r="BT235" s="179"/>
      <c r="BU235" s="177"/>
      <c r="BV235" s="178"/>
      <c r="BW235" s="178"/>
      <c r="BX235" s="178"/>
      <c r="BY235" s="179"/>
      <c r="BZ235" s="177"/>
      <c r="CA235" s="178"/>
      <c r="CB235" s="178"/>
      <c r="CC235" s="178"/>
      <c r="CD235" s="179"/>
      <c r="CE235" s="177"/>
      <c r="CF235" s="178"/>
      <c r="CG235" s="178"/>
      <c r="CH235" s="178"/>
      <c r="CI235" s="179"/>
    </row>
    <row r="236" spans="1:87">
      <c r="A236" s="170" t="s">
        <v>215</v>
      </c>
      <c r="B236" s="171" t="s">
        <v>26</v>
      </c>
      <c r="C236" s="172">
        <f t="shared" si="57"/>
        <v>3572</v>
      </c>
      <c r="D236" s="173">
        <f t="shared" si="45"/>
        <v>1725</v>
      </c>
      <c r="E236" s="173">
        <f t="shared" si="46"/>
        <v>1372</v>
      </c>
      <c r="F236" s="173">
        <f t="shared" si="47"/>
        <v>3856</v>
      </c>
      <c r="G236" s="174">
        <f t="shared" si="48"/>
        <v>10525</v>
      </c>
      <c r="H236" s="172">
        <f t="shared" si="58"/>
        <v>3572</v>
      </c>
      <c r="I236" s="173">
        <f t="shared" si="49"/>
        <v>1725</v>
      </c>
      <c r="J236" s="173">
        <f t="shared" si="50"/>
        <v>1372</v>
      </c>
      <c r="K236" s="173">
        <f t="shared" si="51"/>
        <v>3856</v>
      </c>
      <c r="L236" s="174">
        <f t="shared" si="52"/>
        <v>10525</v>
      </c>
      <c r="M236" s="172"/>
      <c r="N236" s="173"/>
      <c r="O236" s="173"/>
      <c r="P236" s="173"/>
      <c r="Q236" s="174"/>
      <c r="R236" s="172">
        <v>1656</v>
      </c>
      <c r="S236" s="173">
        <v>897</v>
      </c>
      <c r="T236" s="173">
        <v>207</v>
      </c>
      <c r="U236" s="173">
        <v>1932</v>
      </c>
      <c r="V236" s="174">
        <v>4692</v>
      </c>
      <c r="W236" s="172"/>
      <c r="X236" s="173"/>
      <c r="Y236" s="173"/>
      <c r="Z236" s="173"/>
      <c r="AA236" s="174"/>
      <c r="AB236" s="172">
        <v>1035</v>
      </c>
      <c r="AC236" s="173">
        <v>690</v>
      </c>
      <c r="AD236" s="173">
        <v>759</v>
      </c>
      <c r="AE236" s="173">
        <v>1035</v>
      </c>
      <c r="AF236" s="174">
        <v>3519</v>
      </c>
      <c r="AG236" s="172"/>
      <c r="AH236" s="173">
        <v>0</v>
      </c>
      <c r="AI236" s="173"/>
      <c r="AJ236" s="173"/>
      <c r="AK236" s="174">
        <v>0</v>
      </c>
      <c r="AL236" s="172"/>
      <c r="AM236" s="173"/>
      <c r="AN236" s="173"/>
      <c r="AO236" s="173"/>
      <c r="AP236" s="174"/>
      <c r="AQ236" s="172">
        <v>743</v>
      </c>
      <c r="AR236" s="173">
        <v>69</v>
      </c>
      <c r="AS236" s="173">
        <v>337</v>
      </c>
      <c r="AT236" s="173">
        <v>889</v>
      </c>
      <c r="AU236" s="174">
        <v>2038</v>
      </c>
      <c r="AV236" s="172">
        <v>138</v>
      </c>
      <c r="AW236" s="173">
        <v>69</v>
      </c>
      <c r="AX236" s="173">
        <v>69</v>
      </c>
      <c r="AY236" s="173"/>
      <c r="AZ236" s="174">
        <v>276</v>
      </c>
      <c r="BA236" s="172"/>
      <c r="BB236" s="173"/>
      <c r="BC236" s="173"/>
      <c r="BD236" s="173"/>
      <c r="BE236" s="174"/>
      <c r="BF236" s="172">
        <f t="shared" si="59"/>
        <v>0</v>
      </c>
      <c r="BG236" s="173">
        <f t="shared" si="53"/>
        <v>0</v>
      </c>
      <c r="BH236" s="173">
        <f t="shared" si="54"/>
        <v>0</v>
      </c>
      <c r="BI236" s="173">
        <f t="shared" si="55"/>
        <v>0</v>
      </c>
      <c r="BJ236" s="174">
        <f t="shared" si="56"/>
        <v>0</v>
      </c>
      <c r="BK236" s="172"/>
      <c r="BL236" s="173"/>
      <c r="BM236" s="173"/>
      <c r="BN236" s="173"/>
      <c r="BO236" s="174"/>
      <c r="BP236" s="172"/>
      <c r="BQ236" s="173"/>
      <c r="BR236" s="173"/>
      <c r="BS236" s="173"/>
      <c r="BT236" s="174"/>
      <c r="BU236" s="172"/>
      <c r="BV236" s="173"/>
      <c r="BW236" s="173"/>
      <c r="BX236" s="173"/>
      <c r="BY236" s="174"/>
      <c r="BZ236" s="172"/>
      <c r="CA236" s="173"/>
      <c r="CB236" s="173"/>
      <c r="CC236" s="173"/>
      <c r="CD236" s="174"/>
      <c r="CE236" s="172"/>
      <c r="CF236" s="173"/>
      <c r="CG236" s="173"/>
      <c r="CH236" s="173"/>
      <c r="CI236" s="174"/>
    </row>
    <row r="237" s="147" customFormat="1" ht="14.6" spans="1:87">
      <c r="A237" s="175" t="s">
        <v>216</v>
      </c>
      <c r="B237" s="176"/>
      <c r="C237" s="177">
        <f t="shared" si="57"/>
        <v>3572</v>
      </c>
      <c r="D237" s="178">
        <f t="shared" si="45"/>
        <v>1725</v>
      </c>
      <c r="E237" s="178">
        <f t="shared" si="46"/>
        <v>1372</v>
      </c>
      <c r="F237" s="178">
        <f t="shared" si="47"/>
        <v>3856</v>
      </c>
      <c r="G237" s="179">
        <f t="shared" si="48"/>
        <v>10525</v>
      </c>
      <c r="H237" s="177">
        <f t="shared" si="58"/>
        <v>3572</v>
      </c>
      <c r="I237" s="178">
        <f t="shared" si="49"/>
        <v>1725</v>
      </c>
      <c r="J237" s="178">
        <f t="shared" si="50"/>
        <v>1372</v>
      </c>
      <c r="K237" s="178">
        <f t="shared" si="51"/>
        <v>3856</v>
      </c>
      <c r="L237" s="179">
        <f t="shared" si="52"/>
        <v>10525</v>
      </c>
      <c r="M237" s="177"/>
      <c r="N237" s="178"/>
      <c r="O237" s="178"/>
      <c r="P237" s="178"/>
      <c r="Q237" s="179"/>
      <c r="R237" s="177">
        <v>1656</v>
      </c>
      <c r="S237" s="178">
        <v>897</v>
      </c>
      <c r="T237" s="178">
        <v>207</v>
      </c>
      <c r="U237" s="178">
        <v>1932</v>
      </c>
      <c r="V237" s="179">
        <v>4692</v>
      </c>
      <c r="W237" s="177"/>
      <c r="X237" s="178"/>
      <c r="Y237" s="178"/>
      <c r="Z237" s="178"/>
      <c r="AA237" s="179"/>
      <c r="AB237" s="177">
        <v>1035</v>
      </c>
      <c r="AC237" s="178">
        <v>690</v>
      </c>
      <c r="AD237" s="178">
        <v>759</v>
      </c>
      <c r="AE237" s="178">
        <v>1035</v>
      </c>
      <c r="AF237" s="179">
        <v>3519</v>
      </c>
      <c r="AG237" s="177"/>
      <c r="AH237" s="178">
        <v>0</v>
      </c>
      <c r="AI237" s="178"/>
      <c r="AJ237" s="178"/>
      <c r="AK237" s="179">
        <v>0</v>
      </c>
      <c r="AL237" s="177"/>
      <c r="AM237" s="178"/>
      <c r="AN237" s="178"/>
      <c r="AO237" s="178"/>
      <c r="AP237" s="179"/>
      <c r="AQ237" s="177">
        <v>743</v>
      </c>
      <c r="AR237" s="178">
        <v>69</v>
      </c>
      <c r="AS237" s="178">
        <v>337</v>
      </c>
      <c r="AT237" s="178">
        <v>889</v>
      </c>
      <c r="AU237" s="179">
        <v>2038</v>
      </c>
      <c r="AV237" s="177">
        <v>138</v>
      </c>
      <c r="AW237" s="178">
        <v>69</v>
      </c>
      <c r="AX237" s="178">
        <v>69</v>
      </c>
      <c r="AY237" s="178"/>
      <c r="AZ237" s="179">
        <v>276</v>
      </c>
      <c r="BA237" s="177"/>
      <c r="BB237" s="178"/>
      <c r="BC237" s="178"/>
      <c r="BD237" s="178"/>
      <c r="BE237" s="179"/>
      <c r="BF237" s="177">
        <f t="shared" si="59"/>
        <v>0</v>
      </c>
      <c r="BG237" s="178">
        <f t="shared" si="53"/>
        <v>0</v>
      </c>
      <c r="BH237" s="178">
        <f t="shared" si="54"/>
        <v>0</v>
      </c>
      <c r="BI237" s="178">
        <f t="shared" si="55"/>
        <v>0</v>
      </c>
      <c r="BJ237" s="179">
        <f t="shared" si="56"/>
        <v>0</v>
      </c>
      <c r="BK237" s="177"/>
      <c r="BL237" s="178"/>
      <c r="BM237" s="178"/>
      <c r="BN237" s="178"/>
      <c r="BO237" s="179"/>
      <c r="BP237" s="177"/>
      <c r="BQ237" s="178"/>
      <c r="BR237" s="178"/>
      <c r="BS237" s="178"/>
      <c r="BT237" s="179"/>
      <c r="BU237" s="177"/>
      <c r="BV237" s="178"/>
      <c r="BW237" s="178"/>
      <c r="BX237" s="178"/>
      <c r="BY237" s="179"/>
      <c r="BZ237" s="177"/>
      <c r="CA237" s="178"/>
      <c r="CB237" s="178"/>
      <c r="CC237" s="178"/>
      <c r="CD237" s="179"/>
      <c r="CE237" s="177"/>
      <c r="CF237" s="178"/>
      <c r="CG237" s="178"/>
      <c r="CH237" s="178"/>
      <c r="CI237" s="179"/>
    </row>
    <row r="238" spans="1:87">
      <c r="A238" s="170" t="s">
        <v>217</v>
      </c>
      <c r="B238" s="171" t="s">
        <v>27</v>
      </c>
      <c r="C238" s="172">
        <f t="shared" si="57"/>
        <v>1251</v>
      </c>
      <c r="D238" s="173">
        <f t="shared" si="45"/>
        <v>1636</v>
      </c>
      <c r="E238" s="173">
        <f t="shared" si="46"/>
        <v>1872</v>
      </c>
      <c r="F238" s="173">
        <f t="shared" si="47"/>
        <v>1410</v>
      </c>
      <c r="G238" s="174">
        <f t="shared" si="48"/>
        <v>6169</v>
      </c>
      <c r="H238" s="172">
        <f t="shared" si="58"/>
        <v>471</v>
      </c>
      <c r="I238" s="173">
        <f t="shared" si="49"/>
        <v>1168</v>
      </c>
      <c r="J238" s="173">
        <f t="shared" si="50"/>
        <v>968</v>
      </c>
      <c r="K238" s="173">
        <f t="shared" si="51"/>
        <v>825</v>
      </c>
      <c r="L238" s="174">
        <f t="shared" si="52"/>
        <v>3432</v>
      </c>
      <c r="M238" s="172"/>
      <c r="N238" s="173"/>
      <c r="O238" s="173"/>
      <c r="P238" s="173"/>
      <c r="Q238" s="174"/>
      <c r="R238" s="172">
        <v>237</v>
      </c>
      <c r="S238" s="173">
        <v>198</v>
      </c>
      <c r="T238" s="173">
        <v>396</v>
      </c>
      <c r="U238" s="173">
        <v>513</v>
      </c>
      <c r="V238" s="174">
        <v>1344</v>
      </c>
      <c r="W238" s="172"/>
      <c r="X238" s="173"/>
      <c r="Y238" s="173"/>
      <c r="Z238" s="173"/>
      <c r="AA238" s="174"/>
      <c r="AB238" s="172"/>
      <c r="AC238" s="173"/>
      <c r="AD238" s="173"/>
      <c r="AE238" s="173"/>
      <c r="AF238" s="174"/>
      <c r="AG238" s="172"/>
      <c r="AH238" s="173"/>
      <c r="AI238" s="173"/>
      <c r="AJ238" s="173"/>
      <c r="AK238" s="174"/>
      <c r="AL238" s="172"/>
      <c r="AM238" s="173"/>
      <c r="AN238" s="173"/>
      <c r="AO238" s="173"/>
      <c r="AP238" s="174"/>
      <c r="AQ238" s="172"/>
      <c r="AR238" s="173"/>
      <c r="AS238" s="173"/>
      <c r="AT238" s="173"/>
      <c r="AU238" s="174"/>
      <c r="AV238" s="172"/>
      <c r="AW238" s="173">
        <v>78</v>
      </c>
      <c r="AX238" s="173">
        <v>156</v>
      </c>
      <c r="AY238" s="173">
        <v>156</v>
      </c>
      <c r="AZ238" s="174">
        <v>390</v>
      </c>
      <c r="BA238" s="172">
        <v>234</v>
      </c>
      <c r="BB238" s="173">
        <v>892</v>
      </c>
      <c r="BC238" s="173">
        <v>416</v>
      </c>
      <c r="BD238" s="173">
        <v>156</v>
      </c>
      <c r="BE238" s="174">
        <v>1698</v>
      </c>
      <c r="BF238" s="172">
        <f t="shared" si="59"/>
        <v>780</v>
      </c>
      <c r="BG238" s="173">
        <f t="shared" si="53"/>
        <v>468</v>
      </c>
      <c r="BH238" s="173">
        <f t="shared" si="54"/>
        <v>904</v>
      </c>
      <c r="BI238" s="173">
        <f t="shared" si="55"/>
        <v>585</v>
      </c>
      <c r="BJ238" s="174">
        <f t="shared" si="56"/>
        <v>2737</v>
      </c>
      <c r="BK238" s="172"/>
      <c r="BL238" s="173"/>
      <c r="BM238" s="173"/>
      <c r="BN238" s="173"/>
      <c r="BO238" s="174"/>
      <c r="BP238" s="172"/>
      <c r="BQ238" s="173"/>
      <c r="BR238" s="173">
        <v>99</v>
      </c>
      <c r="BS238" s="173"/>
      <c r="BT238" s="174">
        <v>99</v>
      </c>
      <c r="BU238" s="172">
        <v>546</v>
      </c>
      <c r="BV238" s="173">
        <v>273</v>
      </c>
      <c r="BW238" s="173">
        <v>766</v>
      </c>
      <c r="BX238" s="173">
        <v>585</v>
      </c>
      <c r="BY238" s="174">
        <v>2170</v>
      </c>
      <c r="BZ238" s="172">
        <v>234</v>
      </c>
      <c r="CA238" s="173">
        <v>195</v>
      </c>
      <c r="CB238" s="173">
        <v>39</v>
      </c>
      <c r="CC238" s="173"/>
      <c r="CD238" s="174">
        <v>468</v>
      </c>
      <c r="CE238" s="172"/>
      <c r="CF238" s="173"/>
      <c r="CG238" s="173"/>
      <c r="CH238" s="173"/>
      <c r="CI238" s="174"/>
    </row>
    <row r="239" spans="1:87">
      <c r="A239" s="170"/>
      <c r="B239" s="171" t="s">
        <v>28</v>
      </c>
      <c r="C239" s="172">
        <f t="shared" si="57"/>
        <v>605</v>
      </c>
      <c r="D239" s="173">
        <f t="shared" si="45"/>
        <v>873</v>
      </c>
      <c r="E239" s="173">
        <f t="shared" si="46"/>
        <v>934</v>
      </c>
      <c r="F239" s="173">
        <f t="shared" si="47"/>
        <v>1202</v>
      </c>
      <c r="G239" s="174">
        <f t="shared" si="48"/>
        <v>3614</v>
      </c>
      <c r="H239" s="172">
        <f t="shared" si="58"/>
        <v>605</v>
      </c>
      <c r="I239" s="173">
        <f t="shared" si="49"/>
        <v>873</v>
      </c>
      <c r="J239" s="173">
        <f t="shared" si="50"/>
        <v>934</v>
      </c>
      <c r="K239" s="173">
        <f t="shared" si="51"/>
        <v>1202</v>
      </c>
      <c r="L239" s="174">
        <f t="shared" si="52"/>
        <v>3614</v>
      </c>
      <c r="M239" s="172"/>
      <c r="N239" s="173"/>
      <c r="O239" s="173"/>
      <c r="P239" s="173"/>
      <c r="Q239" s="174"/>
      <c r="R239" s="172">
        <v>605</v>
      </c>
      <c r="S239" s="173">
        <v>873</v>
      </c>
      <c r="T239" s="173">
        <v>934</v>
      </c>
      <c r="U239" s="173">
        <v>1202</v>
      </c>
      <c r="V239" s="174">
        <v>3614</v>
      </c>
      <c r="W239" s="172"/>
      <c r="X239" s="173"/>
      <c r="Y239" s="173"/>
      <c r="Z239" s="173"/>
      <c r="AA239" s="174"/>
      <c r="AB239" s="172"/>
      <c r="AC239" s="173"/>
      <c r="AD239" s="173"/>
      <c r="AE239" s="173"/>
      <c r="AF239" s="174"/>
      <c r="AG239" s="172"/>
      <c r="AH239" s="173"/>
      <c r="AI239" s="173"/>
      <c r="AJ239" s="173"/>
      <c r="AK239" s="174"/>
      <c r="AL239" s="172"/>
      <c r="AM239" s="173"/>
      <c r="AN239" s="173"/>
      <c r="AO239" s="173"/>
      <c r="AP239" s="174"/>
      <c r="AQ239" s="172"/>
      <c r="AR239" s="173"/>
      <c r="AS239" s="173"/>
      <c r="AT239" s="173"/>
      <c r="AU239" s="174"/>
      <c r="AV239" s="172"/>
      <c r="AW239" s="173"/>
      <c r="AX239" s="173"/>
      <c r="AY239" s="173"/>
      <c r="AZ239" s="174"/>
      <c r="BA239" s="172"/>
      <c r="BB239" s="173"/>
      <c r="BC239" s="173"/>
      <c r="BD239" s="173"/>
      <c r="BE239" s="174"/>
      <c r="BF239" s="172">
        <f t="shared" si="59"/>
        <v>0</v>
      </c>
      <c r="BG239" s="173">
        <f t="shared" si="53"/>
        <v>0</v>
      </c>
      <c r="BH239" s="173">
        <f t="shared" si="54"/>
        <v>0</v>
      </c>
      <c r="BI239" s="173">
        <f t="shared" si="55"/>
        <v>0</v>
      </c>
      <c r="BJ239" s="174">
        <f t="shared" si="56"/>
        <v>0</v>
      </c>
      <c r="BK239" s="172"/>
      <c r="BL239" s="173"/>
      <c r="BM239" s="173"/>
      <c r="BN239" s="173"/>
      <c r="BO239" s="174"/>
      <c r="BP239" s="172"/>
      <c r="BQ239" s="173"/>
      <c r="BR239" s="173"/>
      <c r="BS239" s="173"/>
      <c r="BT239" s="174"/>
      <c r="BU239" s="172"/>
      <c r="BV239" s="173"/>
      <c r="BW239" s="173"/>
      <c r="BX239" s="173"/>
      <c r="BY239" s="174"/>
      <c r="BZ239" s="172"/>
      <c r="CA239" s="173"/>
      <c r="CB239" s="173"/>
      <c r="CC239" s="173"/>
      <c r="CD239" s="174"/>
      <c r="CE239" s="172"/>
      <c r="CF239" s="173"/>
      <c r="CG239" s="173"/>
      <c r="CH239" s="173"/>
      <c r="CI239" s="174"/>
    </row>
    <row r="240" s="147" customFormat="1" ht="14.6" spans="1:87">
      <c r="A240" s="175" t="s">
        <v>218</v>
      </c>
      <c r="B240" s="176"/>
      <c r="C240" s="177">
        <f t="shared" si="57"/>
        <v>1856</v>
      </c>
      <c r="D240" s="178">
        <f t="shared" si="45"/>
        <v>2509</v>
      </c>
      <c r="E240" s="178">
        <f t="shared" si="46"/>
        <v>2806</v>
      </c>
      <c r="F240" s="178">
        <f t="shared" si="47"/>
        <v>2612</v>
      </c>
      <c r="G240" s="179">
        <f t="shared" si="48"/>
        <v>9783</v>
      </c>
      <c r="H240" s="177">
        <f t="shared" si="58"/>
        <v>1076</v>
      </c>
      <c r="I240" s="178">
        <f t="shared" si="49"/>
        <v>2041</v>
      </c>
      <c r="J240" s="178">
        <f t="shared" si="50"/>
        <v>1902</v>
      </c>
      <c r="K240" s="178">
        <f t="shared" si="51"/>
        <v>2027</v>
      </c>
      <c r="L240" s="179">
        <f t="shared" si="52"/>
        <v>7046</v>
      </c>
      <c r="M240" s="177"/>
      <c r="N240" s="178"/>
      <c r="O240" s="178"/>
      <c r="P240" s="178"/>
      <c r="Q240" s="179"/>
      <c r="R240" s="177">
        <v>842</v>
      </c>
      <c r="S240" s="178">
        <v>1071</v>
      </c>
      <c r="T240" s="178">
        <v>1330</v>
      </c>
      <c r="U240" s="178">
        <v>1715</v>
      </c>
      <c r="V240" s="179">
        <v>4958</v>
      </c>
      <c r="W240" s="177"/>
      <c r="X240" s="178"/>
      <c r="Y240" s="178"/>
      <c r="Z240" s="178"/>
      <c r="AA240" s="179"/>
      <c r="AB240" s="177"/>
      <c r="AC240" s="178"/>
      <c r="AD240" s="178"/>
      <c r="AE240" s="178"/>
      <c r="AF240" s="179"/>
      <c r="AG240" s="177"/>
      <c r="AH240" s="178"/>
      <c r="AI240" s="178"/>
      <c r="AJ240" s="178"/>
      <c r="AK240" s="179"/>
      <c r="AL240" s="177"/>
      <c r="AM240" s="178"/>
      <c r="AN240" s="178"/>
      <c r="AO240" s="178"/>
      <c r="AP240" s="179"/>
      <c r="AQ240" s="177"/>
      <c r="AR240" s="178"/>
      <c r="AS240" s="178"/>
      <c r="AT240" s="178"/>
      <c r="AU240" s="179"/>
      <c r="AV240" s="177"/>
      <c r="AW240" s="178">
        <v>78</v>
      </c>
      <c r="AX240" s="178">
        <v>156</v>
      </c>
      <c r="AY240" s="178">
        <v>156</v>
      </c>
      <c r="AZ240" s="179">
        <v>390</v>
      </c>
      <c r="BA240" s="177">
        <v>234</v>
      </c>
      <c r="BB240" s="178">
        <v>892</v>
      </c>
      <c r="BC240" s="178">
        <v>416</v>
      </c>
      <c r="BD240" s="178">
        <v>156</v>
      </c>
      <c r="BE240" s="179">
        <v>1698</v>
      </c>
      <c r="BF240" s="177">
        <f t="shared" si="59"/>
        <v>780</v>
      </c>
      <c r="BG240" s="178">
        <f t="shared" si="53"/>
        <v>468</v>
      </c>
      <c r="BH240" s="178">
        <f t="shared" si="54"/>
        <v>904</v>
      </c>
      <c r="BI240" s="178">
        <f t="shared" si="55"/>
        <v>585</v>
      </c>
      <c r="BJ240" s="179">
        <f t="shared" si="56"/>
        <v>2737</v>
      </c>
      <c r="BK240" s="177"/>
      <c r="BL240" s="178"/>
      <c r="BM240" s="178"/>
      <c r="BN240" s="178"/>
      <c r="BO240" s="179"/>
      <c r="BP240" s="177"/>
      <c r="BQ240" s="178"/>
      <c r="BR240" s="178">
        <v>99</v>
      </c>
      <c r="BS240" s="178"/>
      <c r="BT240" s="179">
        <v>99</v>
      </c>
      <c r="BU240" s="177">
        <v>546</v>
      </c>
      <c r="BV240" s="178">
        <v>273</v>
      </c>
      <c r="BW240" s="178">
        <v>766</v>
      </c>
      <c r="BX240" s="178">
        <v>585</v>
      </c>
      <c r="BY240" s="179">
        <v>2170</v>
      </c>
      <c r="BZ240" s="177">
        <v>234</v>
      </c>
      <c r="CA240" s="178">
        <v>195</v>
      </c>
      <c r="CB240" s="178">
        <v>39</v>
      </c>
      <c r="CC240" s="178"/>
      <c r="CD240" s="179">
        <v>468</v>
      </c>
      <c r="CE240" s="177"/>
      <c r="CF240" s="178"/>
      <c r="CG240" s="178"/>
      <c r="CH240" s="178"/>
      <c r="CI240" s="179"/>
    </row>
    <row r="241" spans="1:87">
      <c r="A241" s="170" t="s">
        <v>219</v>
      </c>
      <c r="B241" s="171" t="s">
        <v>26</v>
      </c>
      <c r="C241" s="172">
        <f t="shared" si="57"/>
        <v>1829</v>
      </c>
      <c r="D241" s="173">
        <f t="shared" si="45"/>
        <v>2183</v>
      </c>
      <c r="E241" s="173">
        <f t="shared" si="46"/>
        <v>3363</v>
      </c>
      <c r="F241" s="173">
        <f t="shared" si="47"/>
        <v>2065</v>
      </c>
      <c r="G241" s="174">
        <f t="shared" si="48"/>
        <v>9440</v>
      </c>
      <c r="H241" s="172">
        <f t="shared" si="58"/>
        <v>1829</v>
      </c>
      <c r="I241" s="173">
        <f t="shared" si="49"/>
        <v>2183</v>
      </c>
      <c r="J241" s="173">
        <f t="shared" si="50"/>
        <v>3363</v>
      </c>
      <c r="K241" s="173">
        <f t="shared" si="51"/>
        <v>2065</v>
      </c>
      <c r="L241" s="174">
        <f t="shared" si="52"/>
        <v>9440</v>
      </c>
      <c r="M241" s="172"/>
      <c r="N241" s="173"/>
      <c r="O241" s="173"/>
      <c r="P241" s="173"/>
      <c r="Q241" s="174"/>
      <c r="R241" s="172"/>
      <c r="S241" s="173"/>
      <c r="T241" s="173"/>
      <c r="U241" s="173"/>
      <c r="V241" s="174"/>
      <c r="W241" s="172"/>
      <c r="X241" s="173"/>
      <c r="Y241" s="173"/>
      <c r="Z241" s="173"/>
      <c r="AA241" s="174"/>
      <c r="AB241" s="172"/>
      <c r="AC241" s="173">
        <v>118</v>
      </c>
      <c r="AD241" s="173"/>
      <c r="AE241" s="173">
        <v>59</v>
      </c>
      <c r="AF241" s="174">
        <v>177</v>
      </c>
      <c r="AG241" s="172"/>
      <c r="AH241" s="173"/>
      <c r="AI241" s="173"/>
      <c r="AJ241" s="173"/>
      <c r="AK241" s="174"/>
      <c r="AL241" s="172"/>
      <c r="AM241" s="173"/>
      <c r="AN241" s="173"/>
      <c r="AO241" s="173"/>
      <c r="AP241" s="174"/>
      <c r="AQ241" s="172"/>
      <c r="AR241" s="173"/>
      <c r="AS241" s="173"/>
      <c r="AT241" s="173"/>
      <c r="AU241" s="174"/>
      <c r="AV241" s="172">
        <v>1829</v>
      </c>
      <c r="AW241" s="173">
        <v>2065</v>
      </c>
      <c r="AX241" s="173">
        <v>3363</v>
      </c>
      <c r="AY241" s="173">
        <v>2006</v>
      </c>
      <c r="AZ241" s="174">
        <v>9263</v>
      </c>
      <c r="BA241" s="172"/>
      <c r="BB241" s="173"/>
      <c r="BC241" s="173"/>
      <c r="BD241" s="173"/>
      <c r="BE241" s="174"/>
      <c r="BF241" s="172">
        <f t="shared" si="59"/>
        <v>0</v>
      </c>
      <c r="BG241" s="173">
        <f t="shared" si="53"/>
        <v>0</v>
      </c>
      <c r="BH241" s="173">
        <f t="shared" si="54"/>
        <v>0</v>
      </c>
      <c r="BI241" s="173">
        <f t="shared" si="55"/>
        <v>0</v>
      </c>
      <c r="BJ241" s="174">
        <f t="shared" si="56"/>
        <v>0</v>
      </c>
      <c r="BK241" s="172"/>
      <c r="BL241" s="173"/>
      <c r="BM241" s="173"/>
      <c r="BN241" s="173"/>
      <c r="BO241" s="174"/>
      <c r="BP241" s="172"/>
      <c r="BQ241" s="173"/>
      <c r="BR241" s="173"/>
      <c r="BS241" s="173"/>
      <c r="BT241" s="174"/>
      <c r="BU241" s="172"/>
      <c r="BV241" s="173"/>
      <c r="BW241" s="173"/>
      <c r="BX241" s="173"/>
      <c r="BY241" s="174"/>
      <c r="BZ241" s="172"/>
      <c r="CA241" s="173"/>
      <c r="CB241" s="173"/>
      <c r="CC241" s="173"/>
      <c r="CD241" s="174"/>
      <c r="CE241" s="172"/>
      <c r="CF241" s="173"/>
      <c r="CG241" s="173"/>
      <c r="CH241" s="173"/>
      <c r="CI241" s="174"/>
    </row>
    <row r="242" s="147" customFormat="1" ht="14.6" spans="1:87">
      <c r="A242" s="175" t="s">
        <v>220</v>
      </c>
      <c r="B242" s="176"/>
      <c r="C242" s="177">
        <f t="shared" si="57"/>
        <v>1829</v>
      </c>
      <c r="D242" s="178">
        <f t="shared" si="45"/>
        <v>2183</v>
      </c>
      <c r="E242" s="178">
        <f t="shared" si="46"/>
        <v>3363</v>
      </c>
      <c r="F242" s="178">
        <f t="shared" si="47"/>
        <v>2065</v>
      </c>
      <c r="G242" s="179">
        <f t="shared" si="48"/>
        <v>9440</v>
      </c>
      <c r="H242" s="177">
        <f t="shared" si="58"/>
        <v>1829</v>
      </c>
      <c r="I242" s="178">
        <f t="shared" si="49"/>
        <v>2183</v>
      </c>
      <c r="J242" s="178">
        <f t="shared" si="50"/>
        <v>3363</v>
      </c>
      <c r="K242" s="178">
        <f t="shared" si="51"/>
        <v>2065</v>
      </c>
      <c r="L242" s="179">
        <f t="shared" si="52"/>
        <v>9440</v>
      </c>
      <c r="M242" s="177"/>
      <c r="N242" s="178"/>
      <c r="O242" s="178"/>
      <c r="P242" s="178"/>
      <c r="Q242" s="179"/>
      <c r="R242" s="177"/>
      <c r="S242" s="178"/>
      <c r="T242" s="178"/>
      <c r="U242" s="178"/>
      <c r="V242" s="179"/>
      <c r="W242" s="177"/>
      <c r="X242" s="178"/>
      <c r="Y242" s="178"/>
      <c r="Z242" s="178"/>
      <c r="AA242" s="179"/>
      <c r="AB242" s="177"/>
      <c r="AC242" s="178">
        <v>118</v>
      </c>
      <c r="AD242" s="178"/>
      <c r="AE242" s="178">
        <v>59</v>
      </c>
      <c r="AF242" s="179">
        <v>177</v>
      </c>
      <c r="AG242" s="177"/>
      <c r="AH242" s="178"/>
      <c r="AI242" s="178"/>
      <c r="AJ242" s="178"/>
      <c r="AK242" s="179"/>
      <c r="AL242" s="177"/>
      <c r="AM242" s="178"/>
      <c r="AN242" s="178"/>
      <c r="AO242" s="178"/>
      <c r="AP242" s="179"/>
      <c r="AQ242" s="177"/>
      <c r="AR242" s="178"/>
      <c r="AS242" s="178"/>
      <c r="AT242" s="178"/>
      <c r="AU242" s="179"/>
      <c r="AV242" s="177">
        <v>1829</v>
      </c>
      <c r="AW242" s="178">
        <v>2065</v>
      </c>
      <c r="AX242" s="178">
        <v>3363</v>
      </c>
      <c r="AY242" s="178">
        <v>2006</v>
      </c>
      <c r="AZ242" s="179">
        <v>9263</v>
      </c>
      <c r="BA242" s="177"/>
      <c r="BB242" s="178"/>
      <c r="BC242" s="178"/>
      <c r="BD242" s="178"/>
      <c r="BE242" s="179"/>
      <c r="BF242" s="177">
        <f t="shared" si="59"/>
        <v>0</v>
      </c>
      <c r="BG242" s="178">
        <f t="shared" si="53"/>
        <v>0</v>
      </c>
      <c r="BH242" s="178">
        <f t="shared" si="54"/>
        <v>0</v>
      </c>
      <c r="BI242" s="178">
        <f t="shared" si="55"/>
        <v>0</v>
      </c>
      <c r="BJ242" s="179">
        <f t="shared" si="56"/>
        <v>0</v>
      </c>
      <c r="BK242" s="177"/>
      <c r="BL242" s="178"/>
      <c r="BM242" s="178"/>
      <c r="BN242" s="178"/>
      <c r="BO242" s="179"/>
      <c r="BP242" s="177"/>
      <c r="BQ242" s="178"/>
      <c r="BR242" s="178"/>
      <c r="BS242" s="178"/>
      <c r="BT242" s="179"/>
      <c r="BU242" s="177"/>
      <c r="BV242" s="178"/>
      <c r="BW242" s="178"/>
      <c r="BX242" s="178"/>
      <c r="BY242" s="179"/>
      <c r="BZ242" s="177"/>
      <c r="CA242" s="178"/>
      <c r="CB242" s="178"/>
      <c r="CC242" s="178"/>
      <c r="CD242" s="179"/>
      <c r="CE242" s="177"/>
      <c r="CF242" s="178"/>
      <c r="CG242" s="178"/>
      <c r="CH242" s="178"/>
      <c r="CI242" s="179"/>
    </row>
    <row r="243" spans="1:87">
      <c r="A243" s="170" t="s">
        <v>221</v>
      </c>
      <c r="B243" s="171" t="s">
        <v>26</v>
      </c>
      <c r="C243" s="172">
        <f t="shared" si="57"/>
        <v>2346</v>
      </c>
      <c r="D243" s="173">
        <f t="shared" si="45"/>
        <v>3083</v>
      </c>
      <c r="E243" s="173">
        <f t="shared" si="46"/>
        <v>1725</v>
      </c>
      <c r="F243" s="173">
        <f t="shared" si="47"/>
        <v>2070</v>
      </c>
      <c r="G243" s="174">
        <f t="shared" si="48"/>
        <v>9224</v>
      </c>
      <c r="H243" s="172">
        <f t="shared" si="58"/>
        <v>2346</v>
      </c>
      <c r="I243" s="173">
        <f t="shared" si="49"/>
        <v>3083</v>
      </c>
      <c r="J243" s="173">
        <f t="shared" si="50"/>
        <v>1725</v>
      </c>
      <c r="K243" s="173">
        <f t="shared" si="51"/>
        <v>2070</v>
      </c>
      <c r="L243" s="174">
        <f t="shared" si="52"/>
        <v>9224</v>
      </c>
      <c r="M243" s="172"/>
      <c r="N243" s="173"/>
      <c r="O243" s="173"/>
      <c r="P243" s="173"/>
      <c r="Q243" s="174"/>
      <c r="R243" s="172"/>
      <c r="S243" s="173"/>
      <c r="T243" s="173"/>
      <c r="U243" s="173">
        <v>345</v>
      </c>
      <c r="V243" s="174">
        <v>345</v>
      </c>
      <c r="W243" s="172"/>
      <c r="X243" s="173"/>
      <c r="Y243" s="173"/>
      <c r="Z243" s="173"/>
      <c r="AA243" s="174"/>
      <c r="AB243" s="172">
        <v>621</v>
      </c>
      <c r="AC243" s="173">
        <v>1289</v>
      </c>
      <c r="AD243" s="173">
        <v>414</v>
      </c>
      <c r="AE243" s="173"/>
      <c r="AF243" s="174">
        <v>2324</v>
      </c>
      <c r="AG243" s="172"/>
      <c r="AH243" s="173"/>
      <c r="AI243" s="173"/>
      <c r="AJ243" s="173"/>
      <c r="AK243" s="174"/>
      <c r="AL243" s="172"/>
      <c r="AM243" s="173"/>
      <c r="AN243" s="173"/>
      <c r="AO243" s="173"/>
      <c r="AP243" s="174"/>
      <c r="AQ243" s="172">
        <v>1725</v>
      </c>
      <c r="AR243" s="173">
        <v>1794</v>
      </c>
      <c r="AS243" s="173">
        <v>1311</v>
      </c>
      <c r="AT243" s="173">
        <v>1725</v>
      </c>
      <c r="AU243" s="174">
        <v>6555</v>
      </c>
      <c r="AV243" s="172"/>
      <c r="AW243" s="173"/>
      <c r="AX243" s="173"/>
      <c r="AY243" s="173"/>
      <c r="AZ243" s="174"/>
      <c r="BA243" s="172"/>
      <c r="BB243" s="173"/>
      <c r="BC243" s="173"/>
      <c r="BD243" s="173"/>
      <c r="BE243" s="174"/>
      <c r="BF243" s="172">
        <f t="shared" si="59"/>
        <v>0</v>
      </c>
      <c r="BG243" s="173">
        <f t="shared" si="53"/>
        <v>0</v>
      </c>
      <c r="BH243" s="173">
        <f t="shared" si="54"/>
        <v>0</v>
      </c>
      <c r="BI243" s="173">
        <f t="shared" si="55"/>
        <v>0</v>
      </c>
      <c r="BJ243" s="174">
        <f t="shared" si="56"/>
        <v>0</v>
      </c>
      <c r="BK243" s="172"/>
      <c r="BL243" s="173"/>
      <c r="BM243" s="173"/>
      <c r="BN243" s="173"/>
      <c r="BO243" s="174"/>
      <c r="BP243" s="172"/>
      <c r="BQ243" s="173"/>
      <c r="BR243" s="173"/>
      <c r="BS243" s="173"/>
      <c r="BT243" s="174"/>
      <c r="BU243" s="172"/>
      <c r="BV243" s="173"/>
      <c r="BW243" s="173"/>
      <c r="BX243" s="173"/>
      <c r="BY243" s="174"/>
      <c r="BZ243" s="172"/>
      <c r="CA243" s="173"/>
      <c r="CB243" s="173"/>
      <c r="CC243" s="173"/>
      <c r="CD243" s="174"/>
      <c r="CE243" s="172"/>
      <c r="CF243" s="173"/>
      <c r="CG243" s="173"/>
      <c r="CH243" s="173"/>
      <c r="CI243" s="174"/>
    </row>
    <row r="244" s="147" customFormat="1" ht="14.6" spans="1:87">
      <c r="A244" s="175" t="s">
        <v>222</v>
      </c>
      <c r="B244" s="176"/>
      <c r="C244" s="177">
        <f t="shared" si="57"/>
        <v>2346</v>
      </c>
      <c r="D244" s="178">
        <f t="shared" si="45"/>
        <v>3083</v>
      </c>
      <c r="E244" s="178">
        <f t="shared" si="46"/>
        <v>1725</v>
      </c>
      <c r="F244" s="178">
        <f t="shared" si="47"/>
        <v>2070</v>
      </c>
      <c r="G244" s="179">
        <f t="shared" si="48"/>
        <v>9224</v>
      </c>
      <c r="H244" s="177">
        <f t="shared" si="58"/>
        <v>2346</v>
      </c>
      <c r="I244" s="178">
        <f t="shared" si="49"/>
        <v>3083</v>
      </c>
      <c r="J244" s="178">
        <f t="shared" si="50"/>
        <v>1725</v>
      </c>
      <c r="K244" s="178">
        <f t="shared" si="51"/>
        <v>2070</v>
      </c>
      <c r="L244" s="179">
        <f t="shared" si="52"/>
        <v>9224</v>
      </c>
      <c r="M244" s="177"/>
      <c r="N244" s="178"/>
      <c r="O244" s="178"/>
      <c r="P244" s="178"/>
      <c r="Q244" s="179"/>
      <c r="R244" s="177"/>
      <c r="S244" s="178"/>
      <c r="T244" s="178"/>
      <c r="U244" s="178">
        <v>345</v>
      </c>
      <c r="V244" s="179">
        <v>345</v>
      </c>
      <c r="W244" s="177"/>
      <c r="X244" s="178"/>
      <c r="Y244" s="178"/>
      <c r="Z244" s="178"/>
      <c r="AA244" s="179"/>
      <c r="AB244" s="177">
        <v>621</v>
      </c>
      <c r="AC244" s="178">
        <v>1289</v>
      </c>
      <c r="AD244" s="178">
        <v>414</v>
      </c>
      <c r="AE244" s="178"/>
      <c r="AF244" s="179">
        <v>2324</v>
      </c>
      <c r="AG244" s="177"/>
      <c r="AH244" s="178"/>
      <c r="AI244" s="178"/>
      <c r="AJ244" s="178"/>
      <c r="AK244" s="179"/>
      <c r="AL244" s="177"/>
      <c r="AM244" s="178"/>
      <c r="AN244" s="178"/>
      <c r="AO244" s="178"/>
      <c r="AP244" s="179"/>
      <c r="AQ244" s="177">
        <v>1725</v>
      </c>
      <c r="AR244" s="178">
        <v>1794</v>
      </c>
      <c r="AS244" s="178">
        <v>1311</v>
      </c>
      <c r="AT244" s="178">
        <v>1725</v>
      </c>
      <c r="AU244" s="179">
        <v>6555</v>
      </c>
      <c r="AV244" s="177"/>
      <c r="AW244" s="178"/>
      <c r="AX244" s="178"/>
      <c r="AY244" s="178"/>
      <c r="AZ244" s="179"/>
      <c r="BA244" s="177"/>
      <c r="BB244" s="178"/>
      <c r="BC244" s="178"/>
      <c r="BD244" s="178"/>
      <c r="BE244" s="179"/>
      <c r="BF244" s="177">
        <f t="shared" si="59"/>
        <v>0</v>
      </c>
      <c r="BG244" s="178">
        <f t="shared" si="53"/>
        <v>0</v>
      </c>
      <c r="BH244" s="178">
        <f t="shared" si="54"/>
        <v>0</v>
      </c>
      <c r="BI244" s="178">
        <f t="shared" si="55"/>
        <v>0</v>
      </c>
      <c r="BJ244" s="179">
        <f t="shared" si="56"/>
        <v>0</v>
      </c>
      <c r="BK244" s="177"/>
      <c r="BL244" s="178"/>
      <c r="BM244" s="178"/>
      <c r="BN244" s="178"/>
      <c r="BO244" s="179"/>
      <c r="BP244" s="177"/>
      <c r="BQ244" s="178"/>
      <c r="BR244" s="178"/>
      <c r="BS244" s="178"/>
      <c r="BT244" s="179"/>
      <c r="BU244" s="177"/>
      <c r="BV244" s="178"/>
      <c r="BW244" s="178"/>
      <c r="BX244" s="178"/>
      <c r="BY244" s="179"/>
      <c r="BZ244" s="177"/>
      <c r="CA244" s="178"/>
      <c r="CB244" s="178"/>
      <c r="CC244" s="178"/>
      <c r="CD244" s="179"/>
      <c r="CE244" s="177"/>
      <c r="CF244" s="178"/>
      <c r="CG244" s="178"/>
      <c r="CH244" s="178"/>
      <c r="CI244" s="179"/>
    </row>
    <row r="245" spans="1:87">
      <c r="A245" s="170" t="s">
        <v>223</v>
      </c>
      <c r="B245" s="171" t="s">
        <v>26</v>
      </c>
      <c r="C245" s="172">
        <f t="shared" si="57"/>
        <v>4266</v>
      </c>
      <c r="D245" s="173">
        <f t="shared" si="45"/>
        <v>1896</v>
      </c>
      <c r="E245" s="173">
        <f t="shared" si="46"/>
        <v>2291</v>
      </c>
      <c r="F245" s="173">
        <f t="shared" si="47"/>
        <v>316</v>
      </c>
      <c r="G245" s="174">
        <f t="shared" si="48"/>
        <v>8769</v>
      </c>
      <c r="H245" s="172">
        <f t="shared" si="58"/>
        <v>3713</v>
      </c>
      <c r="I245" s="173">
        <f t="shared" si="49"/>
        <v>1501</v>
      </c>
      <c r="J245" s="173">
        <f t="shared" si="50"/>
        <v>1975</v>
      </c>
      <c r="K245" s="173">
        <f t="shared" si="51"/>
        <v>316</v>
      </c>
      <c r="L245" s="174">
        <f t="shared" si="52"/>
        <v>7505</v>
      </c>
      <c r="M245" s="172">
        <v>1975</v>
      </c>
      <c r="N245" s="173">
        <v>1422</v>
      </c>
      <c r="O245" s="173">
        <v>1817</v>
      </c>
      <c r="P245" s="173"/>
      <c r="Q245" s="174">
        <v>5214</v>
      </c>
      <c r="R245" s="172"/>
      <c r="S245" s="173"/>
      <c r="T245" s="173"/>
      <c r="U245" s="173"/>
      <c r="V245" s="174"/>
      <c r="W245" s="172"/>
      <c r="X245" s="173"/>
      <c r="Y245" s="173"/>
      <c r="Z245" s="173"/>
      <c r="AA245" s="174"/>
      <c r="AB245" s="172">
        <v>1264</v>
      </c>
      <c r="AC245" s="173"/>
      <c r="AD245" s="173"/>
      <c r="AE245" s="173"/>
      <c r="AF245" s="174">
        <v>1264</v>
      </c>
      <c r="AG245" s="172"/>
      <c r="AH245" s="173"/>
      <c r="AI245" s="173"/>
      <c r="AJ245" s="173"/>
      <c r="AK245" s="174"/>
      <c r="AL245" s="172"/>
      <c r="AM245" s="173"/>
      <c r="AN245" s="173"/>
      <c r="AO245" s="173"/>
      <c r="AP245" s="174"/>
      <c r="AQ245" s="172"/>
      <c r="AR245" s="173"/>
      <c r="AS245" s="173"/>
      <c r="AT245" s="173"/>
      <c r="AU245" s="174"/>
      <c r="AV245" s="172">
        <v>237</v>
      </c>
      <c r="AW245" s="173">
        <v>79</v>
      </c>
      <c r="AX245" s="173">
        <v>158</v>
      </c>
      <c r="AY245" s="173">
        <v>316</v>
      </c>
      <c r="AZ245" s="174">
        <v>790</v>
      </c>
      <c r="BA245" s="172">
        <v>237</v>
      </c>
      <c r="BB245" s="173"/>
      <c r="BC245" s="173"/>
      <c r="BD245" s="173"/>
      <c r="BE245" s="174">
        <v>237</v>
      </c>
      <c r="BF245" s="172">
        <f t="shared" si="59"/>
        <v>553</v>
      </c>
      <c r="BG245" s="173">
        <f t="shared" si="53"/>
        <v>395</v>
      </c>
      <c r="BH245" s="173">
        <f t="shared" si="54"/>
        <v>316</v>
      </c>
      <c r="BI245" s="173">
        <f t="shared" si="55"/>
        <v>0</v>
      </c>
      <c r="BJ245" s="174">
        <f t="shared" si="56"/>
        <v>1264</v>
      </c>
      <c r="BK245" s="172"/>
      <c r="BL245" s="173"/>
      <c r="BM245" s="173"/>
      <c r="BN245" s="173"/>
      <c r="BO245" s="174"/>
      <c r="BP245" s="172">
        <v>553</v>
      </c>
      <c r="BQ245" s="173">
        <v>395</v>
      </c>
      <c r="BR245" s="173">
        <v>316</v>
      </c>
      <c r="BS245" s="173"/>
      <c r="BT245" s="174">
        <v>1264</v>
      </c>
      <c r="BU245" s="172"/>
      <c r="BV245" s="173"/>
      <c r="BW245" s="173"/>
      <c r="BX245" s="173"/>
      <c r="BY245" s="174"/>
      <c r="BZ245" s="172"/>
      <c r="CA245" s="173"/>
      <c r="CB245" s="173"/>
      <c r="CC245" s="173"/>
      <c r="CD245" s="174"/>
      <c r="CE245" s="172"/>
      <c r="CF245" s="173"/>
      <c r="CG245" s="173"/>
      <c r="CH245" s="173"/>
      <c r="CI245" s="174"/>
    </row>
    <row r="246" s="147" customFormat="1" ht="14.6" spans="1:87">
      <c r="A246" s="175" t="s">
        <v>224</v>
      </c>
      <c r="B246" s="176"/>
      <c r="C246" s="177">
        <f t="shared" si="57"/>
        <v>4266</v>
      </c>
      <c r="D246" s="178">
        <f t="shared" si="45"/>
        <v>1896</v>
      </c>
      <c r="E246" s="178">
        <f t="shared" si="46"/>
        <v>2291</v>
      </c>
      <c r="F246" s="178">
        <f t="shared" si="47"/>
        <v>316</v>
      </c>
      <c r="G246" s="179">
        <f t="shared" si="48"/>
        <v>8769</v>
      </c>
      <c r="H246" s="177">
        <f t="shared" si="58"/>
        <v>3713</v>
      </c>
      <c r="I246" s="178">
        <f t="shared" si="49"/>
        <v>1501</v>
      </c>
      <c r="J246" s="178">
        <f t="shared" si="50"/>
        <v>1975</v>
      </c>
      <c r="K246" s="178">
        <f t="shared" si="51"/>
        <v>316</v>
      </c>
      <c r="L246" s="179">
        <f t="shared" si="52"/>
        <v>7505</v>
      </c>
      <c r="M246" s="177">
        <v>1975</v>
      </c>
      <c r="N246" s="178">
        <v>1422</v>
      </c>
      <c r="O246" s="178">
        <v>1817</v>
      </c>
      <c r="P246" s="178"/>
      <c r="Q246" s="179">
        <v>5214</v>
      </c>
      <c r="R246" s="177"/>
      <c r="S246" s="178"/>
      <c r="T246" s="178"/>
      <c r="U246" s="178"/>
      <c r="V246" s="179"/>
      <c r="W246" s="177"/>
      <c r="X246" s="178"/>
      <c r="Y246" s="178"/>
      <c r="Z246" s="178"/>
      <c r="AA246" s="179"/>
      <c r="AB246" s="177">
        <v>1264</v>
      </c>
      <c r="AC246" s="178"/>
      <c r="AD246" s="178"/>
      <c r="AE246" s="178"/>
      <c r="AF246" s="179">
        <v>1264</v>
      </c>
      <c r="AG246" s="177"/>
      <c r="AH246" s="178"/>
      <c r="AI246" s="178"/>
      <c r="AJ246" s="178"/>
      <c r="AK246" s="179"/>
      <c r="AL246" s="177"/>
      <c r="AM246" s="178"/>
      <c r="AN246" s="178"/>
      <c r="AO246" s="178"/>
      <c r="AP246" s="179"/>
      <c r="AQ246" s="177"/>
      <c r="AR246" s="178"/>
      <c r="AS246" s="178"/>
      <c r="AT246" s="178"/>
      <c r="AU246" s="179"/>
      <c r="AV246" s="177">
        <v>237</v>
      </c>
      <c r="AW246" s="178">
        <v>79</v>
      </c>
      <c r="AX246" s="178">
        <v>158</v>
      </c>
      <c r="AY246" s="178">
        <v>316</v>
      </c>
      <c r="AZ246" s="179">
        <v>790</v>
      </c>
      <c r="BA246" s="177">
        <v>237</v>
      </c>
      <c r="BB246" s="178"/>
      <c r="BC246" s="178"/>
      <c r="BD246" s="178"/>
      <c r="BE246" s="179">
        <v>237</v>
      </c>
      <c r="BF246" s="177">
        <f t="shared" si="59"/>
        <v>553</v>
      </c>
      <c r="BG246" s="178">
        <f t="shared" si="53"/>
        <v>395</v>
      </c>
      <c r="BH246" s="178">
        <f t="shared" si="54"/>
        <v>316</v>
      </c>
      <c r="BI246" s="178">
        <f t="shared" si="55"/>
        <v>0</v>
      </c>
      <c r="BJ246" s="179">
        <f t="shared" si="56"/>
        <v>1264</v>
      </c>
      <c r="BK246" s="177"/>
      <c r="BL246" s="178"/>
      <c r="BM246" s="178"/>
      <c r="BN246" s="178"/>
      <c r="BO246" s="179"/>
      <c r="BP246" s="177">
        <v>553</v>
      </c>
      <c r="BQ246" s="178">
        <v>395</v>
      </c>
      <c r="BR246" s="178">
        <v>316</v>
      </c>
      <c r="BS246" s="178"/>
      <c r="BT246" s="179">
        <v>1264</v>
      </c>
      <c r="BU246" s="177"/>
      <c r="BV246" s="178"/>
      <c r="BW246" s="178"/>
      <c r="BX246" s="178"/>
      <c r="BY246" s="179"/>
      <c r="BZ246" s="177"/>
      <c r="CA246" s="178"/>
      <c r="CB246" s="178"/>
      <c r="CC246" s="178"/>
      <c r="CD246" s="179"/>
      <c r="CE246" s="177"/>
      <c r="CF246" s="178"/>
      <c r="CG246" s="178"/>
      <c r="CH246" s="178"/>
      <c r="CI246" s="179"/>
    </row>
    <row r="247" spans="1:87">
      <c r="A247" s="170" t="s">
        <v>225</v>
      </c>
      <c r="B247" s="171" t="s">
        <v>26</v>
      </c>
      <c r="C247" s="172">
        <f t="shared" si="57"/>
        <v>3657</v>
      </c>
      <c r="D247" s="173">
        <f t="shared" si="45"/>
        <v>1449</v>
      </c>
      <c r="E247" s="173">
        <f t="shared" si="46"/>
        <v>2200</v>
      </c>
      <c r="F247" s="173">
        <f t="shared" si="47"/>
        <v>1035</v>
      </c>
      <c r="G247" s="174">
        <f t="shared" si="48"/>
        <v>8341</v>
      </c>
      <c r="H247" s="172">
        <f t="shared" si="58"/>
        <v>3657</v>
      </c>
      <c r="I247" s="173">
        <f t="shared" si="49"/>
        <v>1380</v>
      </c>
      <c r="J247" s="173">
        <f t="shared" si="50"/>
        <v>2131</v>
      </c>
      <c r="K247" s="173">
        <f t="shared" si="51"/>
        <v>1035</v>
      </c>
      <c r="L247" s="174">
        <f t="shared" si="52"/>
        <v>8203</v>
      </c>
      <c r="M247" s="172">
        <v>138</v>
      </c>
      <c r="N247" s="173"/>
      <c r="O247" s="173">
        <v>207</v>
      </c>
      <c r="P247" s="173">
        <v>345</v>
      </c>
      <c r="Q247" s="174">
        <v>690</v>
      </c>
      <c r="R247" s="172"/>
      <c r="S247" s="173"/>
      <c r="T247" s="173"/>
      <c r="U247" s="173"/>
      <c r="V247" s="174"/>
      <c r="W247" s="172"/>
      <c r="X247" s="173"/>
      <c r="Y247" s="173"/>
      <c r="Z247" s="173"/>
      <c r="AA247" s="174"/>
      <c r="AB247" s="172"/>
      <c r="AC247" s="173"/>
      <c r="AD247" s="173"/>
      <c r="AE247" s="173"/>
      <c r="AF247" s="174"/>
      <c r="AG247" s="172"/>
      <c r="AH247" s="173"/>
      <c r="AI247" s="173">
        <v>199</v>
      </c>
      <c r="AJ247" s="173"/>
      <c r="AK247" s="174">
        <v>199</v>
      </c>
      <c r="AL247" s="172"/>
      <c r="AM247" s="173"/>
      <c r="AN247" s="173"/>
      <c r="AO247" s="173"/>
      <c r="AP247" s="174"/>
      <c r="AQ247" s="172">
        <v>2346</v>
      </c>
      <c r="AR247" s="173">
        <v>276</v>
      </c>
      <c r="AS247" s="173">
        <v>207</v>
      </c>
      <c r="AT247" s="173">
        <v>138</v>
      </c>
      <c r="AU247" s="174">
        <v>2967</v>
      </c>
      <c r="AV247" s="172">
        <v>897</v>
      </c>
      <c r="AW247" s="173">
        <v>897</v>
      </c>
      <c r="AX247" s="173">
        <v>1380</v>
      </c>
      <c r="AY247" s="173">
        <v>552</v>
      </c>
      <c r="AZ247" s="174">
        <v>3726</v>
      </c>
      <c r="BA247" s="172">
        <v>276</v>
      </c>
      <c r="BB247" s="173">
        <v>207</v>
      </c>
      <c r="BC247" s="173">
        <v>138</v>
      </c>
      <c r="BD247" s="173"/>
      <c r="BE247" s="174">
        <v>621</v>
      </c>
      <c r="BF247" s="172">
        <f t="shared" si="59"/>
        <v>0</v>
      </c>
      <c r="BG247" s="173">
        <f t="shared" si="53"/>
        <v>69</v>
      </c>
      <c r="BH247" s="173">
        <f t="shared" si="54"/>
        <v>69</v>
      </c>
      <c r="BI247" s="173">
        <f t="shared" si="55"/>
        <v>0</v>
      </c>
      <c r="BJ247" s="174">
        <f t="shared" si="56"/>
        <v>138</v>
      </c>
      <c r="BK247" s="172"/>
      <c r="BL247" s="173"/>
      <c r="BM247" s="173"/>
      <c r="BN247" s="173"/>
      <c r="BO247" s="174"/>
      <c r="BP247" s="172"/>
      <c r="BQ247" s="173"/>
      <c r="BR247" s="173"/>
      <c r="BS247" s="173"/>
      <c r="BT247" s="174"/>
      <c r="BU247" s="172"/>
      <c r="BV247" s="173">
        <v>69</v>
      </c>
      <c r="BW247" s="173">
        <v>69</v>
      </c>
      <c r="BX247" s="173"/>
      <c r="BY247" s="174">
        <v>138</v>
      </c>
      <c r="BZ247" s="172"/>
      <c r="CA247" s="173"/>
      <c r="CB247" s="173"/>
      <c r="CC247" s="173"/>
      <c r="CD247" s="174"/>
      <c r="CE247" s="172"/>
      <c r="CF247" s="173"/>
      <c r="CG247" s="173"/>
      <c r="CH247" s="173"/>
      <c r="CI247" s="174"/>
    </row>
    <row r="248" s="147" customFormat="1" ht="14.6" spans="1:87">
      <c r="A248" s="175" t="s">
        <v>226</v>
      </c>
      <c r="B248" s="176"/>
      <c r="C248" s="177">
        <f t="shared" si="57"/>
        <v>3657</v>
      </c>
      <c r="D248" s="178">
        <f t="shared" si="45"/>
        <v>1449</v>
      </c>
      <c r="E248" s="178">
        <f t="shared" si="46"/>
        <v>2200</v>
      </c>
      <c r="F248" s="178">
        <f t="shared" si="47"/>
        <v>1035</v>
      </c>
      <c r="G248" s="179">
        <f t="shared" si="48"/>
        <v>8341</v>
      </c>
      <c r="H248" s="177">
        <f t="shared" si="58"/>
        <v>3657</v>
      </c>
      <c r="I248" s="178">
        <f t="shared" si="49"/>
        <v>1380</v>
      </c>
      <c r="J248" s="178">
        <f t="shared" si="50"/>
        <v>2131</v>
      </c>
      <c r="K248" s="178">
        <f t="shared" si="51"/>
        <v>1035</v>
      </c>
      <c r="L248" s="179">
        <f t="shared" si="52"/>
        <v>8203</v>
      </c>
      <c r="M248" s="177">
        <v>138</v>
      </c>
      <c r="N248" s="178"/>
      <c r="O248" s="178">
        <v>207</v>
      </c>
      <c r="P248" s="178">
        <v>345</v>
      </c>
      <c r="Q248" s="179">
        <v>690</v>
      </c>
      <c r="R248" s="177"/>
      <c r="S248" s="178"/>
      <c r="T248" s="178"/>
      <c r="U248" s="178"/>
      <c r="V248" s="179"/>
      <c r="W248" s="177"/>
      <c r="X248" s="178"/>
      <c r="Y248" s="178"/>
      <c r="Z248" s="178"/>
      <c r="AA248" s="179"/>
      <c r="AB248" s="177"/>
      <c r="AC248" s="178"/>
      <c r="AD248" s="178"/>
      <c r="AE248" s="178"/>
      <c r="AF248" s="179"/>
      <c r="AG248" s="177"/>
      <c r="AH248" s="178"/>
      <c r="AI248" s="178">
        <v>199</v>
      </c>
      <c r="AJ248" s="178"/>
      <c r="AK248" s="179">
        <v>199</v>
      </c>
      <c r="AL248" s="177"/>
      <c r="AM248" s="178"/>
      <c r="AN248" s="178"/>
      <c r="AO248" s="178"/>
      <c r="AP248" s="179"/>
      <c r="AQ248" s="177">
        <v>2346</v>
      </c>
      <c r="AR248" s="178">
        <v>276</v>
      </c>
      <c r="AS248" s="178">
        <v>207</v>
      </c>
      <c r="AT248" s="178">
        <v>138</v>
      </c>
      <c r="AU248" s="179">
        <v>2967</v>
      </c>
      <c r="AV248" s="177">
        <v>897</v>
      </c>
      <c r="AW248" s="178">
        <v>897</v>
      </c>
      <c r="AX248" s="178">
        <v>1380</v>
      </c>
      <c r="AY248" s="178">
        <v>552</v>
      </c>
      <c r="AZ248" s="179">
        <v>3726</v>
      </c>
      <c r="BA248" s="177">
        <v>276</v>
      </c>
      <c r="BB248" s="178">
        <v>207</v>
      </c>
      <c r="BC248" s="178">
        <v>138</v>
      </c>
      <c r="BD248" s="178"/>
      <c r="BE248" s="179">
        <v>621</v>
      </c>
      <c r="BF248" s="177">
        <f t="shared" si="59"/>
        <v>0</v>
      </c>
      <c r="BG248" s="178">
        <f t="shared" si="53"/>
        <v>69</v>
      </c>
      <c r="BH248" s="178">
        <f t="shared" si="54"/>
        <v>69</v>
      </c>
      <c r="BI248" s="178">
        <f t="shared" si="55"/>
        <v>0</v>
      </c>
      <c r="BJ248" s="179">
        <f t="shared" si="56"/>
        <v>138</v>
      </c>
      <c r="BK248" s="177"/>
      <c r="BL248" s="178"/>
      <c r="BM248" s="178"/>
      <c r="BN248" s="178"/>
      <c r="BO248" s="179"/>
      <c r="BP248" s="177"/>
      <c r="BQ248" s="178"/>
      <c r="BR248" s="178"/>
      <c r="BS248" s="178"/>
      <c r="BT248" s="179"/>
      <c r="BU248" s="177"/>
      <c r="BV248" s="178">
        <v>69</v>
      </c>
      <c r="BW248" s="178">
        <v>69</v>
      </c>
      <c r="BX248" s="178"/>
      <c r="BY248" s="179">
        <v>138</v>
      </c>
      <c r="BZ248" s="177"/>
      <c r="CA248" s="178"/>
      <c r="CB248" s="178"/>
      <c r="CC248" s="178"/>
      <c r="CD248" s="179"/>
      <c r="CE248" s="177"/>
      <c r="CF248" s="178"/>
      <c r="CG248" s="178"/>
      <c r="CH248" s="178"/>
      <c r="CI248" s="179"/>
    </row>
    <row r="249" spans="1:87">
      <c r="A249" s="170" t="s">
        <v>227</v>
      </c>
      <c r="B249" s="171" t="s">
        <v>26</v>
      </c>
      <c r="C249" s="172">
        <f t="shared" si="57"/>
        <v>2559</v>
      </c>
      <c r="D249" s="173">
        <f t="shared" si="45"/>
        <v>2559</v>
      </c>
      <c r="E249" s="173">
        <f t="shared" si="46"/>
        <v>1652</v>
      </c>
      <c r="F249" s="173">
        <f t="shared" si="47"/>
        <v>1497</v>
      </c>
      <c r="G249" s="174">
        <f t="shared" si="48"/>
        <v>8267</v>
      </c>
      <c r="H249" s="172">
        <f t="shared" si="58"/>
        <v>2264</v>
      </c>
      <c r="I249" s="173">
        <f t="shared" si="49"/>
        <v>2559</v>
      </c>
      <c r="J249" s="173">
        <f t="shared" si="50"/>
        <v>1652</v>
      </c>
      <c r="K249" s="173">
        <f t="shared" si="51"/>
        <v>1497</v>
      </c>
      <c r="L249" s="174">
        <f t="shared" si="52"/>
        <v>7972</v>
      </c>
      <c r="M249" s="172"/>
      <c r="N249" s="173"/>
      <c r="O249" s="173"/>
      <c r="P249" s="173"/>
      <c r="Q249" s="174"/>
      <c r="R249" s="172">
        <v>118</v>
      </c>
      <c r="S249" s="173"/>
      <c r="T249" s="173"/>
      <c r="U249" s="173"/>
      <c r="V249" s="174">
        <v>118</v>
      </c>
      <c r="W249" s="172"/>
      <c r="X249" s="173"/>
      <c r="Y249" s="173"/>
      <c r="Z249" s="173"/>
      <c r="AA249" s="174"/>
      <c r="AB249" s="172">
        <v>1121</v>
      </c>
      <c r="AC249" s="173">
        <v>1202</v>
      </c>
      <c r="AD249" s="173">
        <v>590</v>
      </c>
      <c r="AE249" s="173">
        <v>789</v>
      </c>
      <c r="AF249" s="174">
        <v>3702</v>
      </c>
      <c r="AG249" s="172"/>
      <c r="AH249" s="173"/>
      <c r="AI249" s="173"/>
      <c r="AJ249" s="173"/>
      <c r="AK249" s="174"/>
      <c r="AL249" s="172">
        <v>413</v>
      </c>
      <c r="AM249" s="173">
        <v>944</v>
      </c>
      <c r="AN249" s="173">
        <v>826</v>
      </c>
      <c r="AO249" s="173">
        <v>708</v>
      </c>
      <c r="AP249" s="174">
        <v>2891</v>
      </c>
      <c r="AQ249" s="172"/>
      <c r="AR249" s="173"/>
      <c r="AS249" s="173"/>
      <c r="AT249" s="173"/>
      <c r="AU249" s="174"/>
      <c r="AV249" s="172">
        <v>553</v>
      </c>
      <c r="AW249" s="173">
        <v>413</v>
      </c>
      <c r="AX249" s="173">
        <v>236</v>
      </c>
      <c r="AY249" s="173"/>
      <c r="AZ249" s="174">
        <v>1202</v>
      </c>
      <c r="BA249" s="172">
        <v>59</v>
      </c>
      <c r="BB249" s="173"/>
      <c r="BC249" s="173"/>
      <c r="BD249" s="173"/>
      <c r="BE249" s="174">
        <v>59</v>
      </c>
      <c r="BF249" s="172">
        <f t="shared" si="59"/>
        <v>295</v>
      </c>
      <c r="BG249" s="173">
        <f t="shared" si="53"/>
        <v>0</v>
      </c>
      <c r="BH249" s="173">
        <f t="shared" si="54"/>
        <v>0</v>
      </c>
      <c r="BI249" s="173">
        <f t="shared" si="55"/>
        <v>0</v>
      </c>
      <c r="BJ249" s="174">
        <f t="shared" si="56"/>
        <v>295</v>
      </c>
      <c r="BK249" s="172"/>
      <c r="BL249" s="173"/>
      <c r="BM249" s="173"/>
      <c r="BN249" s="173"/>
      <c r="BO249" s="174"/>
      <c r="BP249" s="172">
        <v>295</v>
      </c>
      <c r="BQ249" s="173"/>
      <c r="BR249" s="173"/>
      <c r="BS249" s="173"/>
      <c r="BT249" s="174">
        <v>295</v>
      </c>
      <c r="BU249" s="172"/>
      <c r="BV249" s="173"/>
      <c r="BW249" s="173"/>
      <c r="BX249" s="173"/>
      <c r="BY249" s="174"/>
      <c r="BZ249" s="172"/>
      <c r="CA249" s="173"/>
      <c r="CB249" s="173"/>
      <c r="CC249" s="173"/>
      <c r="CD249" s="174"/>
      <c r="CE249" s="172"/>
      <c r="CF249" s="173"/>
      <c r="CG249" s="173"/>
      <c r="CH249" s="173"/>
      <c r="CI249" s="174"/>
    </row>
    <row r="250" s="147" customFormat="1" ht="14.6" spans="1:87">
      <c r="A250" s="175" t="s">
        <v>228</v>
      </c>
      <c r="B250" s="176"/>
      <c r="C250" s="177">
        <f t="shared" si="57"/>
        <v>2559</v>
      </c>
      <c r="D250" s="178">
        <f t="shared" si="45"/>
        <v>2559</v>
      </c>
      <c r="E250" s="178">
        <f t="shared" si="46"/>
        <v>1652</v>
      </c>
      <c r="F250" s="178">
        <f t="shared" si="47"/>
        <v>1497</v>
      </c>
      <c r="G250" s="179">
        <f t="shared" si="48"/>
        <v>8267</v>
      </c>
      <c r="H250" s="177">
        <f t="shared" si="58"/>
        <v>2264</v>
      </c>
      <c r="I250" s="178">
        <f t="shared" si="49"/>
        <v>2559</v>
      </c>
      <c r="J250" s="178">
        <f t="shared" si="50"/>
        <v>1652</v>
      </c>
      <c r="K250" s="178">
        <f t="shared" si="51"/>
        <v>1497</v>
      </c>
      <c r="L250" s="179">
        <f t="shared" si="52"/>
        <v>7972</v>
      </c>
      <c r="M250" s="177"/>
      <c r="N250" s="178"/>
      <c r="O250" s="178"/>
      <c r="P250" s="178"/>
      <c r="Q250" s="179"/>
      <c r="R250" s="177">
        <v>118</v>
      </c>
      <c r="S250" s="178"/>
      <c r="T250" s="178"/>
      <c r="U250" s="178"/>
      <c r="V250" s="179">
        <v>118</v>
      </c>
      <c r="W250" s="177"/>
      <c r="X250" s="178"/>
      <c r="Y250" s="178"/>
      <c r="Z250" s="178"/>
      <c r="AA250" s="179"/>
      <c r="AB250" s="177">
        <v>1121</v>
      </c>
      <c r="AC250" s="178">
        <v>1202</v>
      </c>
      <c r="AD250" s="178">
        <v>590</v>
      </c>
      <c r="AE250" s="178">
        <v>789</v>
      </c>
      <c r="AF250" s="179">
        <v>3702</v>
      </c>
      <c r="AG250" s="177"/>
      <c r="AH250" s="178"/>
      <c r="AI250" s="178"/>
      <c r="AJ250" s="178"/>
      <c r="AK250" s="179"/>
      <c r="AL250" s="177">
        <v>413</v>
      </c>
      <c r="AM250" s="178">
        <v>944</v>
      </c>
      <c r="AN250" s="178">
        <v>826</v>
      </c>
      <c r="AO250" s="178">
        <v>708</v>
      </c>
      <c r="AP250" s="179">
        <v>2891</v>
      </c>
      <c r="AQ250" s="177"/>
      <c r="AR250" s="178"/>
      <c r="AS250" s="178"/>
      <c r="AT250" s="178"/>
      <c r="AU250" s="179"/>
      <c r="AV250" s="177">
        <v>553</v>
      </c>
      <c r="AW250" s="178">
        <v>413</v>
      </c>
      <c r="AX250" s="178">
        <v>236</v>
      </c>
      <c r="AY250" s="178"/>
      <c r="AZ250" s="179">
        <v>1202</v>
      </c>
      <c r="BA250" s="177">
        <v>59</v>
      </c>
      <c r="BB250" s="178"/>
      <c r="BC250" s="178"/>
      <c r="BD250" s="178"/>
      <c r="BE250" s="179">
        <v>59</v>
      </c>
      <c r="BF250" s="177">
        <f t="shared" si="59"/>
        <v>295</v>
      </c>
      <c r="BG250" s="178">
        <f t="shared" si="53"/>
        <v>0</v>
      </c>
      <c r="BH250" s="178">
        <f t="shared" si="54"/>
        <v>0</v>
      </c>
      <c r="BI250" s="178">
        <f t="shared" si="55"/>
        <v>0</v>
      </c>
      <c r="BJ250" s="179">
        <f t="shared" si="56"/>
        <v>295</v>
      </c>
      <c r="BK250" s="177"/>
      <c r="BL250" s="178"/>
      <c r="BM250" s="178"/>
      <c r="BN250" s="178"/>
      <c r="BO250" s="179"/>
      <c r="BP250" s="177">
        <v>295</v>
      </c>
      <c r="BQ250" s="178"/>
      <c r="BR250" s="178"/>
      <c r="BS250" s="178"/>
      <c r="BT250" s="179">
        <v>295</v>
      </c>
      <c r="BU250" s="177"/>
      <c r="BV250" s="178"/>
      <c r="BW250" s="178"/>
      <c r="BX250" s="178"/>
      <c r="BY250" s="179"/>
      <c r="BZ250" s="177"/>
      <c r="CA250" s="178"/>
      <c r="CB250" s="178"/>
      <c r="CC250" s="178"/>
      <c r="CD250" s="179"/>
      <c r="CE250" s="177"/>
      <c r="CF250" s="178"/>
      <c r="CG250" s="178"/>
      <c r="CH250" s="178"/>
      <c r="CI250" s="179"/>
    </row>
    <row r="251" spans="1:87">
      <c r="A251" s="170" t="s">
        <v>229</v>
      </c>
      <c r="B251" s="171" t="s">
        <v>26</v>
      </c>
      <c r="C251" s="172">
        <f t="shared" si="57"/>
        <v>6487</v>
      </c>
      <c r="D251" s="173">
        <f t="shared" si="45"/>
        <v>499</v>
      </c>
      <c r="E251" s="173">
        <f t="shared" si="46"/>
        <v>0</v>
      </c>
      <c r="F251" s="173">
        <f t="shared" si="47"/>
        <v>998</v>
      </c>
      <c r="G251" s="174">
        <f t="shared" si="48"/>
        <v>7984</v>
      </c>
      <c r="H251" s="172">
        <f t="shared" si="58"/>
        <v>2994</v>
      </c>
      <c r="I251" s="173">
        <f t="shared" si="49"/>
        <v>0</v>
      </c>
      <c r="J251" s="173">
        <f t="shared" si="50"/>
        <v>0</v>
      </c>
      <c r="K251" s="173">
        <f t="shared" si="51"/>
        <v>0</v>
      </c>
      <c r="L251" s="174">
        <f t="shared" si="52"/>
        <v>2994</v>
      </c>
      <c r="M251" s="172"/>
      <c r="N251" s="173"/>
      <c r="O251" s="173"/>
      <c r="P251" s="173"/>
      <c r="Q251" s="174"/>
      <c r="R251" s="172"/>
      <c r="S251" s="173"/>
      <c r="T251" s="173"/>
      <c r="U251" s="173"/>
      <c r="V251" s="174"/>
      <c r="W251" s="172"/>
      <c r="X251" s="173"/>
      <c r="Y251" s="173"/>
      <c r="Z251" s="173"/>
      <c r="AA251" s="174"/>
      <c r="AB251" s="172">
        <v>499</v>
      </c>
      <c r="AC251" s="173"/>
      <c r="AD251" s="173"/>
      <c r="AE251" s="173"/>
      <c r="AF251" s="174">
        <v>499</v>
      </c>
      <c r="AG251" s="172"/>
      <c r="AH251" s="173"/>
      <c r="AI251" s="173"/>
      <c r="AJ251" s="173"/>
      <c r="AK251" s="174"/>
      <c r="AL251" s="172"/>
      <c r="AM251" s="173"/>
      <c r="AN251" s="173"/>
      <c r="AO251" s="173"/>
      <c r="AP251" s="174"/>
      <c r="AQ251" s="172">
        <v>499</v>
      </c>
      <c r="AR251" s="173"/>
      <c r="AS251" s="173"/>
      <c r="AT251" s="173"/>
      <c r="AU251" s="174">
        <v>499</v>
      </c>
      <c r="AV251" s="172">
        <v>1996</v>
      </c>
      <c r="AW251" s="173"/>
      <c r="AX251" s="173"/>
      <c r="AY251" s="173"/>
      <c r="AZ251" s="174">
        <v>1996</v>
      </c>
      <c r="BA251" s="172"/>
      <c r="BB251" s="173"/>
      <c r="BC251" s="173"/>
      <c r="BD251" s="173"/>
      <c r="BE251" s="174"/>
      <c r="BF251" s="172">
        <f t="shared" si="59"/>
        <v>3493</v>
      </c>
      <c r="BG251" s="173">
        <f t="shared" si="53"/>
        <v>499</v>
      </c>
      <c r="BH251" s="173">
        <f t="shared" si="54"/>
        <v>0</v>
      </c>
      <c r="BI251" s="173">
        <f t="shared" si="55"/>
        <v>998</v>
      </c>
      <c r="BJ251" s="174">
        <f t="shared" si="56"/>
        <v>4990</v>
      </c>
      <c r="BK251" s="172"/>
      <c r="BL251" s="173"/>
      <c r="BM251" s="173"/>
      <c r="BN251" s="173"/>
      <c r="BO251" s="174"/>
      <c r="BP251" s="172">
        <v>1497</v>
      </c>
      <c r="BQ251" s="173"/>
      <c r="BR251" s="173"/>
      <c r="BS251" s="173">
        <v>998</v>
      </c>
      <c r="BT251" s="174">
        <v>2495</v>
      </c>
      <c r="BU251" s="172">
        <v>1996</v>
      </c>
      <c r="BV251" s="173">
        <v>499</v>
      </c>
      <c r="BW251" s="173"/>
      <c r="BX251" s="173"/>
      <c r="BY251" s="174">
        <v>2495</v>
      </c>
      <c r="BZ251" s="172"/>
      <c r="CA251" s="173"/>
      <c r="CB251" s="173"/>
      <c r="CC251" s="173"/>
      <c r="CD251" s="174"/>
      <c r="CE251" s="172"/>
      <c r="CF251" s="173"/>
      <c r="CG251" s="173"/>
      <c r="CH251" s="173"/>
      <c r="CI251" s="174"/>
    </row>
    <row r="252" s="147" customFormat="1" ht="14.6" spans="1:87">
      <c r="A252" s="175" t="s">
        <v>230</v>
      </c>
      <c r="B252" s="176"/>
      <c r="C252" s="177">
        <f t="shared" si="57"/>
        <v>6487</v>
      </c>
      <c r="D252" s="178">
        <f t="shared" si="45"/>
        <v>499</v>
      </c>
      <c r="E252" s="178">
        <f t="shared" si="46"/>
        <v>0</v>
      </c>
      <c r="F252" s="178">
        <f t="shared" si="47"/>
        <v>998</v>
      </c>
      <c r="G252" s="179">
        <f t="shared" si="48"/>
        <v>7984</v>
      </c>
      <c r="H252" s="177">
        <f t="shared" si="58"/>
        <v>2994</v>
      </c>
      <c r="I252" s="178">
        <f t="shared" si="49"/>
        <v>0</v>
      </c>
      <c r="J252" s="178">
        <f t="shared" si="50"/>
        <v>0</v>
      </c>
      <c r="K252" s="178">
        <f t="shared" si="51"/>
        <v>0</v>
      </c>
      <c r="L252" s="179">
        <f t="shared" si="52"/>
        <v>2994</v>
      </c>
      <c r="M252" s="177"/>
      <c r="N252" s="178"/>
      <c r="O252" s="178"/>
      <c r="P252" s="178"/>
      <c r="Q252" s="179"/>
      <c r="R252" s="177"/>
      <c r="S252" s="178"/>
      <c r="T252" s="178"/>
      <c r="U252" s="178"/>
      <c r="V252" s="179"/>
      <c r="W252" s="177"/>
      <c r="X252" s="178"/>
      <c r="Y252" s="178"/>
      <c r="Z252" s="178"/>
      <c r="AA252" s="179"/>
      <c r="AB252" s="177">
        <v>499</v>
      </c>
      <c r="AC252" s="178"/>
      <c r="AD252" s="178"/>
      <c r="AE252" s="178"/>
      <c r="AF252" s="179">
        <v>499</v>
      </c>
      <c r="AG252" s="177"/>
      <c r="AH252" s="178"/>
      <c r="AI252" s="178"/>
      <c r="AJ252" s="178"/>
      <c r="AK252" s="179"/>
      <c r="AL252" s="177"/>
      <c r="AM252" s="178"/>
      <c r="AN252" s="178"/>
      <c r="AO252" s="178"/>
      <c r="AP252" s="179"/>
      <c r="AQ252" s="177">
        <v>499</v>
      </c>
      <c r="AR252" s="178"/>
      <c r="AS252" s="178"/>
      <c r="AT252" s="178"/>
      <c r="AU252" s="179">
        <v>499</v>
      </c>
      <c r="AV252" s="177">
        <v>1996</v>
      </c>
      <c r="AW252" s="178"/>
      <c r="AX252" s="178"/>
      <c r="AY252" s="178"/>
      <c r="AZ252" s="179">
        <v>1996</v>
      </c>
      <c r="BA252" s="177"/>
      <c r="BB252" s="178"/>
      <c r="BC252" s="178"/>
      <c r="BD252" s="178"/>
      <c r="BE252" s="179"/>
      <c r="BF252" s="177">
        <f t="shared" si="59"/>
        <v>3493</v>
      </c>
      <c r="BG252" s="178">
        <f t="shared" si="53"/>
        <v>499</v>
      </c>
      <c r="BH252" s="178">
        <f t="shared" si="54"/>
        <v>0</v>
      </c>
      <c r="BI252" s="178">
        <f t="shared" si="55"/>
        <v>998</v>
      </c>
      <c r="BJ252" s="179">
        <f t="shared" si="56"/>
        <v>4990</v>
      </c>
      <c r="BK252" s="177"/>
      <c r="BL252" s="178"/>
      <c r="BM252" s="178"/>
      <c r="BN252" s="178"/>
      <c r="BO252" s="179"/>
      <c r="BP252" s="177">
        <v>1497</v>
      </c>
      <c r="BQ252" s="178"/>
      <c r="BR252" s="178"/>
      <c r="BS252" s="178">
        <v>998</v>
      </c>
      <c r="BT252" s="179">
        <v>2495</v>
      </c>
      <c r="BU252" s="177">
        <v>1996</v>
      </c>
      <c r="BV252" s="178">
        <v>499</v>
      </c>
      <c r="BW252" s="178"/>
      <c r="BX252" s="178"/>
      <c r="BY252" s="179">
        <v>2495</v>
      </c>
      <c r="BZ252" s="177"/>
      <c r="CA252" s="178"/>
      <c r="CB252" s="178"/>
      <c r="CC252" s="178"/>
      <c r="CD252" s="179"/>
      <c r="CE252" s="177"/>
      <c r="CF252" s="178"/>
      <c r="CG252" s="178"/>
      <c r="CH252" s="178"/>
      <c r="CI252" s="179"/>
    </row>
    <row r="253" spans="1:87">
      <c r="A253" s="170" t="s">
        <v>231</v>
      </c>
      <c r="B253" s="171" t="s">
        <v>26</v>
      </c>
      <c r="C253" s="172">
        <f t="shared" si="57"/>
        <v>5664</v>
      </c>
      <c r="D253" s="173">
        <f t="shared" si="45"/>
        <v>295</v>
      </c>
      <c r="E253" s="173">
        <f t="shared" si="46"/>
        <v>885</v>
      </c>
      <c r="F253" s="173">
        <f t="shared" si="47"/>
        <v>1121</v>
      </c>
      <c r="G253" s="174">
        <f t="shared" si="48"/>
        <v>7965</v>
      </c>
      <c r="H253" s="172">
        <f t="shared" si="58"/>
        <v>767</v>
      </c>
      <c r="I253" s="173">
        <f t="shared" si="49"/>
        <v>236</v>
      </c>
      <c r="J253" s="173">
        <f t="shared" si="50"/>
        <v>885</v>
      </c>
      <c r="K253" s="173">
        <f t="shared" si="51"/>
        <v>1003</v>
      </c>
      <c r="L253" s="174">
        <f t="shared" si="52"/>
        <v>2891</v>
      </c>
      <c r="M253" s="172"/>
      <c r="N253" s="173"/>
      <c r="O253" s="173"/>
      <c r="P253" s="173"/>
      <c r="Q253" s="174"/>
      <c r="R253" s="172"/>
      <c r="S253" s="173"/>
      <c r="T253" s="173">
        <v>118</v>
      </c>
      <c r="U253" s="173">
        <v>118</v>
      </c>
      <c r="V253" s="174">
        <v>236</v>
      </c>
      <c r="W253" s="172"/>
      <c r="X253" s="173"/>
      <c r="Y253" s="173"/>
      <c r="Z253" s="173"/>
      <c r="AA253" s="174"/>
      <c r="AB253" s="172">
        <v>649</v>
      </c>
      <c r="AC253" s="173">
        <v>236</v>
      </c>
      <c r="AD253" s="173">
        <v>708</v>
      </c>
      <c r="AE253" s="173">
        <v>885</v>
      </c>
      <c r="AF253" s="174">
        <v>2478</v>
      </c>
      <c r="AG253" s="172"/>
      <c r="AH253" s="173"/>
      <c r="AI253" s="173"/>
      <c r="AJ253" s="173"/>
      <c r="AK253" s="174"/>
      <c r="AL253" s="172"/>
      <c r="AM253" s="173"/>
      <c r="AN253" s="173"/>
      <c r="AO253" s="173"/>
      <c r="AP253" s="174"/>
      <c r="AQ253" s="172"/>
      <c r="AR253" s="173"/>
      <c r="AS253" s="173"/>
      <c r="AT253" s="173"/>
      <c r="AU253" s="174"/>
      <c r="AV253" s="172">
        <v>118</v>
      </c>
      <c r="AW253" s="173"/>
      <c r="AX253" s="173">
        <v>59</v>
      </c>
      <c r="AY253" s="173"/>
      <c r="AZ253" s="174">
        <v>177</v>
      </c>
      <c r="BA253" s="172"/>
      <c r="BB253" s="173"/>
      <c r="BC253" s="173"/>
      <c r="BD253" s="173"/>
      <c r="BE253" s="174"/>
      <c r="BF253" s="172">
        <f t="shared" si="59"/>
        <v>4897</v>
      </c>
      <c r="BG253" s="173">
        <f t="shared" si="53"/>
        <v>59</v>
      </c>
      <c r="BH253" s="173">
        <f t="shared" si="54"/>
        <v>0</v>
      </c>
      <c r="BI253" s="173">
        <f t="shared" si="55"/>
        <v>118</v>
      </c>
      <c r="BJ253" s="174">
        <f t="shared" si="56"/>
        <v>5074</v>
      </c>
      <c r="BK253" s="172"/>
      <c r="BL253" s="173"/>
      <c r="BM253" s="173"/>
      <c r="BN253" s="173"/>
      <c r="BO253" s="174"/>
      <c r="BP253" s="172">
        <v>4897</v>
      </c>
      <c r="BQ253" s="173">
        <v>59</v>
      </c>
      <c r="BR253" s="173"/>
      <c r="BS253" s="173">
        <v>118</v>
      </c>
      <c r="BT253" s="174">
        <v>5074</v>
      </c>
      <c r="BU253" s="172"/>
      <c r="BV253" s="173"/>
      <c r="BW253" s="173"/>
      <c r="BX253" s="173"/>
      <c r="BY253" s="174"/>
      <c r="BZ253" s="172"/>
      <c r="CA253" s="173"/>
      <c r="CB253" s="173"/>
      <c r="CC253" s="173"/>
      <c r="CD253" s="174"/>
      <c r="CE253" s="172"/>
      <c r="CF253" s="173"/>
      <c r="CG253" s="173"/>
      <c r="CH253" s="173"/>
      <c r="CI253" s="174"/>
    </row>
    <row r="254" s="147" customFormat="1" ht="14.6" spans="1:87">
      <c r="A254" s="175" t="s">
        <v>232</v>
      </c>
      <c r="B254" s="176"/>
      <c r="C254" s="177">
        <f t="shared" si="57"/>
        <v>5664</v>
      </c>
      <c r="D254" s="178">
        <f t="shared" si="45"/>
        <v>295</v>
      </c>
      <c r="E254" s="178">
        <f t="shared" si="46"/>
        <v>885</v>
      </c>
      <c r="F254" s="178">
        <f t="shared" si="47"/>
        <v>1121</v>
      </c>
      <c r="G254" s="179">
        <f t="shared" si="48"/>
        <v>7965</v>
      </c>
      <c r="H254" s="177">
        <f t="shared" si="58"/>
        <v>767</v>
      </c>
      <c r="I254" s="178">
        <f t="shared" si="49"/>
        <v>236</v>
      </c>
      <c r="J254" s="178">
        <f t="shared" si="50"/>
        <v>885</v>
      </c>
      <c r="K254" s="178">
        <f t="shared" si="51"/>
        <v>1003</v>
      </c>
      <c r="L254" s="179">
        <f t="shared" si="52"/>
        <v>2891</v>
      </c>
      <c r="M254" s="177"/>
      <c r="N254" s="178"/>
      <c r="O254" s="178"/>
      <c r="P254" s="178"/>
      <c r="Q254" s="179"/>
      <c r="R254" s="177"/>
      <c r="S254" s="178"/>
      <c r="T254" s="178">
        <v>118</v>
      </c>
      <c r="U254" s="178">
        <v>118</v>
      </c>
      <c r="V254" s="179">
        <v>236</v>
      </c>
      <c r="W254" s="177"/>
      <c r="X254" s="178"/>
      <c r="Y254" s="178"/>
      <c r="Z254" s="178"/>
      <c r="AA254" s="179"/>
      <c r="AB254" s="177">
        <v>649</v>
      </c>
      <c r="AC254" s="178">
        <v>236</v>
      </c>
      <c r="AD254" s="178">
        <v>708</v>
      </c>
      <c r="AE254" s="178">
        <v>885</v>
      </c>
      <c r="AF254" s="179">
        <v>2478</v>
      </c>
      <c r="AG254" s="177"/>
      <c r="AH254" s="178"/>
      <c r="AI254" s="178"/>
      <c r="AJ254" s="178"/>
      <c r="AK254" s="179"/>
      <c r="AL254" s="177"/>
      <c r="AM254" s="178"/>
      <c r="AN254" s="178"/>
      <c r="AO254" s="178"/>
      <c r="AP254" s="179"/>
      <c r="AQ254" s="177"/>
      <c r="AR254" s="178"/>
      <c r="AS254" s="178"/>
      <c r="AT254" s="178"/>
      <c r="AU254" s="179"/>
      <c r="AV254" s="177">
        <v>118</v>
      </c>
      <c r="AW254" s="178"/>
      <c r="AX254" s="178">
        <v>59</v>
      </c>
      <c r="AY254" s="178"/>
      <c r="AZ254" s="179">
        <v>177</v>
      </c>
      <c r="BA254" s="177"/>
      <c r="BB254" s="178"/>
      <c r="BC254" s="178"/>
      <c r="BD254" s="178"/>
      <c r="BE254" s="179"/>
      <c r="BF254" s="177">
        <f t="shared" si="59"/>
        <v>4897</v>
      </c>
      <c r="BG254" s="178">
        <f t="shared" si="53"/>
        <v>59</v>
      </c>
      <c r="BH254" s="178">
        <f t="shared" si="54"/>
        <v>0</v>
      </c>
      <c r="BI254" s="178">
        <f t="shared" si="55"/>
        <v>118</v>
      </c>
      <c r="BJ254" s="179">
        <f t="shared" si="56"/>
        <v>5074</v>
      </c>
      <c r="BK254" s="177"/>
      <c r="BL254" s="178"/>
      <c r="BM254" s="178"/>
      <c r="BN254" s="178"/>
      <c r="BO254" s="179"/>
      <c r="BP254" s="177">
        <v>4897</v>
      </c>
      <c r="BQ254" s="178">
        <v>59</v>
      </c>
      <c r="BR254" s="178"/>
      <c r="BS254" s="178">
        <v>118</v>
      </c>
      <c r="BT254" s="179">
        <v>5074</v>
      </c>
      <c r="BU254" s="177"/>
      <c r="BV254" s="178"/>
      <c r="BW254" s="178"/>
      <c r="BX254" s="178"/>
      <c r="BY254" s="179"/>
      <c r="BZ254" s="177"/>
      <c r="CA254" s="178"/>
      <c r="CB254" s="178"/>
      <c r="CC254" s="178"/>
      <c r="CD254" s="179"/>
      <c r="CE254" s="177"/>
      <c r="CF254" s="178"/>
      <c r="CG254" s="178"/>
      <c r="CH254" s="178"/>
      <c r="CI254" s="179"/>
    </row>
    <row r="255" spans="1:87">
      <c r="A255" s="170" t="s">
        <v>233</v>
      </c>
      <c r="B255" s="171" t="s">
        <v>26</v>
      </c>
      <c r="C255" s="172">
        <f t="shared" si="57"/>
        <v>4485</v>
      </c>
      <c r="D255" s="173">
        <f t="shared" si="45"/>
        <v>1449</v>
      </c>
      <c r="E255" s="173">
        <f t="shared" si="46"/>
        <v>276</v>
      </c>
      <c r="F255" s="173">
        <f t="shared" si="47"/>
        <v>138</v>
      </c>
      <c r="G255" s="174">
        <f t="shared" si="48"/>
        <v>6348</v>
      </c>
      <c r="H255" s="172">
        <f t="shared" si="58"/>
        <v>2691</v>
      </c>
      <c r="I255" s="173">
        <f t="shared" si="49"/>
        <v>138</v>
      </c>
      <c r="J255" s="173">
        <f t="shared" si="50"/>
        <v>207</v>
      </c>
      <c r="K255" s="173">
        <f t="shared" si="51"/>
        <v>138</v>
      </c>
      <c r="L255" s="174">
        <f t="shared" si="52"/>
        <v>3174</v>
      </c>
      <c r="M255" s="172"/>
      <c r="N255" s="173"/>
      <c r="O255" s="173"/>
      <c r="P255" s="173"/>
      <c r="Q255" s="174"/>
      <c r="R255" s="172"/>
      <c r="S255" s="173"/>
      <c r="T255" s="173"/>
      <c r="U255" s="173"/>
      <c r="V255" s="174"/>
      <c r="W255" s="172"/>
      <c r="X255" s="173"/>
      <c r="Y255" s="173"/>
      <c r="Z255" s="173"/>
      <c r="AA255" s="174"/>
      <c r="AB255" s="172">
        <v>2691</v>
      </c>
      <c r="AC255" s="173">
        <v>138</v>
      </c>
      <c r="AD255" s="173">
        <v>207</v>
      </c>
      <c r="AE255" s="173">
        <v>138</v>
      </c>
      <c r="AF255" s="174">
        <v>3174</v>
      </c>
      <c r="AG255" s="172"/>
      <c r="AH255" s="173"/>
      <c r="AI255" s="173"/>
      <c r="AJ255" s="173"/>
      <c r="AK255" s="174"/>
      <c r="AL255" s="172"/>
      <c r="AM255" s="173"/>
      <c r="AN255" s="173"/>
      <c r="AO255" s="173"/>
      <c r="AP255" s="174"/>
      <c r="AQ255" s="172"/>
      <c r="AR255" s="173"/>
      <c r="AS255" s="173"/>
      <c r="AT255" s="173"/>
      <c r="AU255" s="174"/>
      <c r="AV255" s="172"/>
      <c r="AW255" s="173"/>
      <c r="AX255" s="173"/>
      <c r="AY255" s="173"/>
      <c r="AZ255" s="174"/>
      <c r="BA255" s="172"/>
      <c r="BB255" s="173"/>
      <c r="BC255" s="173"/>
      <c r="BD255" s="173"/>
      <c r="BE255" s="174"/>
      <c r="BF255" s="172">
        <f t="shared" si="59"/>
        <v>1794</v>
      </c>
      <c r="BG255" s="173">
        <f t="shared" si="53"/>
        <v>1311</v>
      </c>
      <c r="BH255" s="173">
        <f t="shared" si="54"/>
        <v>69</v>
      </c>
      <c r="BI255" s="173">
        <f t="shared" si="55"/>
        <v>0</v>
      </c>
      <c r="BJ255" s="174">
        <f t="shared" si="56"/>
        <v>3174</v>
      </c>
      <c r="BK255" s="172"/>
      <c r="BL255" s="173"/>
      <c r="BM255" s="173"/>
      <c r="BN255" s="173"/>
      <c r="BO255" s="174"/>
      <c r="BP255" s="172"/>
      <c r="BQ255" s="173"/>
      <c r="BR255" s="173"/>
      <c r="BS255" s="173"/>
      <c r="BT255" s="174"/>
      <c r="BU255" s="172">
        <v>1794</v>
      </c>
      <c r="BV255" s="173">
        <v>1311</v>
      </c>
      <c r="BW255" s="173">
        <v>69</v>
      </c>
      <c r="BX255" s="173"/>
      <c r="BY255" s="174">
        <v>3174</v>
      </c>
      <c r="BZ255" s="172"/>
      <c r="CA255" s="173"/>
      <c r="CB255" s="173"/>
      <c r="CC255" s="173"/>
      <c r="CD255" s="174"/>
      <c r="CE255" s="172"/>
      <c r="CF255" s="173"/>
      <c r="CG255" s="173"/>
      <c r="CH255" s="173"/>
      <c r="CI255" s="174"/>
    </row>
    <row r="256" s="147" customFormat="1" ht="14.6" spans="1:87">
      <c r="A256" s="175" t="s">
        <v>234</v>
      </c>
      <c r="B256" s="176"/>
      <c r="C256" s="177">
        <f t="shared" si="57"/>
        <v>4485</v>
      </c>
      <c r="D256" s="178">
        <f t="shared" si="45"/>
        <v>1449</v>
      </c>
      <c r="E256" s="178">
        <f t="shared" si="46"/>
        <v>276</v>
      </c>
      <c r="F256" s="178">
        <f t="shared" si="47"/>
        <v>138</v>
      </c>
      <c r="G256" s="179">
        <f t="shared" si="48"/>
        <v>6348</v>
      </c>
      <c r="H256" s="177">
        <f t="shared" si="58"/>
        <v>2691</v>
      </c>
      <c r="I256" s="178">
        <f t="shared" si="49"/>
        <v>138</v>
      </c>
      <c r="J256" s="178">
        <f t="shared" si="50"/>
        <v>207</v>
      </c>
      <c r="K256" s="178">
        <f t="shared" si="51"/>
        <v>138</v>
      </c>
      <c r="L256" s="179">
        <f t="shared" si="52"/>
        <v>3174</v>
      </c>
      <c r="M256" s="177"/>
      <c r="N256" s="178"/>
      <c r="O256" s="178"/>
      <c r="P256" s="178"/>
      <c r="Q256" s="179"/>
      <c r="R256" s="177"/>
      <c r="S256" s="178"/>
      <c r="T256" s="178"/>
      <c r="U256" s="178"/>
      <c r="V256" s="179"/>
      <c r="W256" s="177"/>
      <c r="X256" s="178"/>
      <c r="Y256" s="178"/>
      <c r="Z256" s="178"/>
      <c r="AA256" s="179"/>
      <c r="AB256" s="177">
        <v>2691</v>
      </c>
      <c r="AC256" s="178">
        <v>138</v>
      </c>
      <c r="AD256" s="178">
        <v>207</v>
      </c>
      <c r="AE256" s="178">
        <v>138</v>
      </c>
      <c r="AF256" s="179">
        <v>3174</v>
      </c>
      <c r="AG256" s="177"/>
      <c r="AH256" s="178"/>
      <c r="AI256" s="178"/>
      <c r="AJ256" s="178"/>
      <c r="AK256" s="179"/>
      <c r="AL256" s="177"/>
      <c r="AM256" s="178"/>
      <c r="AN256" s="178"/>
      <c r="AO256" s="178"/>
      <c r="AP256" s="179"/>
      <c r="AQ256" s="177"/>
      <c r="AR256" s="178"/>
      <c r="AS256" s="178"/>
      <c r="AT256" s="178"/>
      <c r="AU256" s="179"/>
      <c r="AV256" s="177"/>
      <c r="AW256" s="178"/>
      <c r="AX256" s="178"/>
      <c r="AY256" s="178"/>
      <c r="AZ256" s="179"/>
      <c r="BA256" s="177"/>
      <c r="BB256" s="178"/>
      <c r="BC256" s="178"/>
      <c r="BD256" s="178"/>
      <c r="BE256" s="179"/>
      <c r="BF256" s="177">
        <f t="shared" si="59"/>
        <v>1794</v>
      </c>
      <c r="BG256" s="178">
        <f t="shared" si="53"/>
        <v>1311</v>
      </c>
      <c r="BH256" s="178">
        <f t="shared" si="54"/>
        <v>69</v>
      </c>
      <c r="BI256" s="178">
        <f t="shared" si="55"/>
        <v>0</v>
      </c>
      <c r="BJ256" s="179">
        <f t="shared" si="56"/>
        <v>3174</v>
      </c>
      <c r="BK256" s="177"/>
      <c r="BL256" s="178"/>
      <c r="BM256" s="178"/>
      <c r="BN256" s="178"/>
      <c r="BO256" s="179"/>
      <c r="BP256" s="177"/>
      <c r="BQ256" s="178"/>
      <c r="BR256" s="178"/>
      <c r="BS256" s="178"/>
      <c r="BT256" s="179"/>
      <c r="BU256" s="177">
        <v>1794</v>
      </c>
      <c r="BV256" s="178">
        <v>1311</v>
      </c>
      <c r="BW256" s="178">
        <v>69</v>
      </c>
      <c r="BX256" s="178"/>
      <c r="BY256" s="179">
        <v>3174</v>
      </c>
      <c r="BZ256" s="177"/>
      <c r="CA256" s="178"/>
      <c r="CB256" s="178"/>
      <c r="CC256" s="178"/>
      <c r="CD256" s="179"/>
      <c r="CE256" s="177"/>
      <c r="CF256" s="178"/>
      <c r="CG256" s="178"/>
      <c r="CH256" s="178"/>
      <c r="CI256" s="179"/>
    </row>
    <row r="257" spans="1:87">
      <c r="A257" s="170" t="s">
        <v>235</v>
      </c>
      <c r="B257" s="171" t="s">
        <v>26</v>
      </c>
      <c r="C257" s="172">
        <f t="shared" si="57"/>
        <v>3540</v>
      </c>
      <c r="D257" s="173">
        <f t="shared" si="45"/>
        <v>885</v>
      </c>
      <c r="E257" s="173">
        <f t="shared" si="46"/>
        <v>826</v>
      </c>
      <c r="F257" s="173">
        <f t="shared" si="47"/>
        <v>885</v>
      </c>
      <c r="G257" s="174">
        <f t="shared" si="48"/>
        <v>6136</v>
      </c>
      <c r="H257" s="172">
        <f t="shared" si="58"/>
        <v>2183</v>
      </c>
      <c r="I257" s="173">
        <f t="shared" si="49"/>
        <v>590</v>
      </c>
      <c r="J257" s="173">
        <f t="shared" si="50"/>
        <v>767</v>
      </c>
      <c r="K257" s="173">
        <f t="shared" si="51"/>
        <v>531</v>
      </c>
      <c r="L257" s="174">
        <f t="shared" si="52"/>
        <v>4071</v>
      </c>
      <c r="M257" s="172"/>
      <c r="N257" s="173"/>
      <c r="O257" s="173"/>
      <c r="P257" s="173"/>
      <c r="Q257" s="174"/>
      <c r="R257" s="172"/>
      <c r="S257" s="173"/>
      <c r="T257" s="173"/>
      <c r="U257" s="173"/>
      <c r="V257" s="174"/>
      <c r="W257" s="172"/>
      <c r="X257" s="173"/>
      <c r="Y257" s="173"/>
      <c r="Z257" s="173"/>
      <c r="AA257" s="174"/>
      <c r="AB257" s="172">
        <v>2124</v>
      </c>
      <c r="AC257" s="173">
        <v>472</v>
      </c>
      <c r="AD257" s="173">
        <v>708</v>
      </c>
      <c r="AE257" s="173">
        <v>531</v>
      </c>
      <c r="AF257" s="174">
        <v>3835</v>
      </c>
      <c r="AG257" s="172"/>
      <c r="AH257" s="173"/>
      <c r="AI257" s="173"/>
      <c r="AJ257" s="173"/>
      <c r="AK257" s="174"/>
      <c r="AL257" s="172"/>
      <c r="AM257" s="173"/>
      <c r="AN257" s="173"/>
      <c r="AO257" s="173"/>
      <c r="AP257" s="174"/>
      <c r="AQ257" s="172"/>
      <c r="AR257" s="173"/>
      <c r="AS257" s="173"/>
      <c r="AT257" s="173"/>
      <c r="AU257" s="174"/>
      <c r="AV257" s="172"/>
      <c r="AW257" s="173"/>
      <c r="AX257" s="173"/>
      <c r="AY257" s="173"/>
      <c r="AZ257" s="174"/>
      <c r="BA257" s="172">
        <v>59</v>
      </c>
      <c r="BB257" s="173">
        <v>118</v>
      </c>
      <c r="BC257" s="173">
        <v>59</v>
      </c>
      <c r="BD257" s="173"/>
      <c r="BE257" s="174">
        <v>236</v>
      </c>
      <c r="BF257" s="172">
        <f t="shared" si="59"/>
        <v>1357</v>
      </c>
      <c r="BG257" s="173">
        <f t="shared" si="53"/>
        <v>295</v>
      </c>
      <c r="BH257" s="173">
        <f t="shared" si="54"/>
        <v>59</v>
      </c>
      <c r="BI257" s="173">
        <f t="shared" si="55"/>
        <v>354</v>
      </c>
      <c r="BJ257" s="174">
        <f t="shared" si="56"/>
        <v>2065</v>
      </c>
      <c r="BK257" s="172"/>
      <c r="BL257" s="173"/>
      <c r="BM257" s="173"/>
      <c r="BN257" s="173"/>
      <c r="BO257" s="174"/>
      <c r="BP257" s="172">
        <v>1357</v>
      </c>
      <c r="BQ257" s="173">
        <v>295</v>
      </c>
      <c r="BR257" s="173">
        <v>59</v>
      </c>
      <c r="BS257" s="173">
        <v>354</v>
      </c>
      <c r="BT257" s="174">
        <v>2065</v>
      </c>
      <c r="BU257" s="172"/>
      <c r="BV257" s="173"/>
      <c r="BW257" s="173"/>
      <c r="BX257" s="173"/>
      <c r="BY257" s="174"/>
      <c r="BZ257" s="172"/>
      <c r="CA257" s="173"/>
      <c r="CB257" s="173"/>
      <c r="CC257" s="173"/>
      <c r="CD257" s="174"/>
      <c r="CE257" s="172"/>
      <c r="CF257" s="173"/>
      <c r="CG257" s="173"/>
      <c r="CH257" s="173"/>
      <c r="CI257" s="174"/>
    </row>
    <row r="258" s="147" customFormat="1" ht="14.6" spans="1:87">
      <c r="A258" s="175" t="s">
        <v>236</v>
      </c>
      <c r="B258" s="176"/>
      <c r="C258" s="177">
        <f t="shared" si="57"/>
        <v>3540</v>
      </c>
      <c r="D258" s="178">
        <f t="shared" si="45"/>
        <v>885</v>
      </c>
      <c r="E258" s="178">
        <f t="shared" si="46"/>
        <v>826</v>
      </c>
      <c r="F258" s="178">
        <f t="shared" si="47"/>
        <v>885</v>
      </c>
      <c r="G258" s="179">
        <f t="shared" si="48"/>
        <v>6136</v>
      </c>
      <c r="H258" s="177">
        <f t="shared" si="58"/>
        <v>2183</v>
      </c>
      <c r="I258" s="178">
        <f t="shared" si="49"/>
        <v>590</v>
      </c>
      <c r="J258" s="178">
        <f t="shared" si="50"/>
        <v>767</v>
      </c>
      <c r="K258" s="178">
        <f t="shared" si="51"/>
        <v>531</v>
      </c>
      <c r="L258" s="179">
        <f t="shared" si="52"/>
        <v>4071</v>
      </c>
      <c r="M258" s="177"/>
      <c r="N258" s="178"/>
      <c r="O258" s="178"/>
      <c r="P258" s="178"/>
      <c r="Q258" s="179"/>
      <c r="R258" s="177"/>
      <c r="S258" s="178"/>
      <c r="T258" s="178"/>
      <c r="U258" s="178"/>
      <c r="V258" s="179"/>
      <c r="W258" s="177"/>
      <c r="X258" s="178"/>
      <c r="Y258" s="178"/>
      <c r="Z258" s="178"/>
      <c r="AA258" s="179"/>
      <c r="AB258" s="177">
        <v>2124</v>
      </c>
      <c r="AC258" s="178">
        <v>472</v>
      </c>
      <c r="AD258" s="178">
        <v>708</v>
      </c>
      <c r="AE258" s="178">
        <v>531</v>
      </c>
      <c r="AF258" s="179">
        <v>3835</v>
      </c>
      <c r="AG258" s="177"/>
      <c r="AH258" s="178"/>
      <c r="AI258" s="178"/>
      <c r="AJ258" s="178"/>
      <c r="AK258" s="179"/>
      <c r="AL258" s="177"/>
      <c r="AM258" s="178"/>
      <c r="AN258" s="178"/>
      <c r="AO258" s="178"/>
      <c r="AP258" s="179"/>
      <c r="AQ258" s="177"/>
      <c r="AR258" s="178"/>
      <c r="AS258" s="178"/>
      <c r="AT258" s="178"/>
      <c r="AU258" s="179"/>
      <c r="AV258" s="177"/>
      <c r="AW258" s="178"/>
      <c r="AX258" s="178"/>
      <c r="AY258" s="178"/>
      <c r="AZ258" s="179"/>
      <c r="BA258" s="177">
        <v>59</v>
      </c>
      <c r="BB258" s="178">
        <v>118</v>
      </c>
      <c r="BC258" s="178">
        <v>59</v>
      </c>
      <c r="BD258" s="178"/>
      <c r="BE258" s="179">
        <v>236</v>
      </c>
      <c r="BF258" s="177">
        <f t="shared" si="59"/>
        <v>1357</v>
      </c>
      <c r="BG258" s="178">
        <f t="shared" si="53"/>
        <v>295</v>
      </c>
      <c r="BH258" s="178">
        <f t="shared" si="54"/>
        <v>59</v>
      </c>
      <c r="BI258" s="178">
        <f t="shared" si="55"/>
        <v>354</v>
      </c>
      <c r="BJ258" s="179">
        <f t="shared" si="56"/>
        <v>2065</v>
      </c>
      <c r="BK258" s="177"/>
      <c r="BL258" s="178"/>
      <c r="BM258" s="178"/>
      <c r="BN258" s="178"/>
      <c r="BO258" s="179"/>
      <c r="BP258" s="177">
        <v>1357</v>
      </c>
      <c r="BQ258" s="178">
        <v>295</v>
      </c>
      <c r="BR258" s="178">
        <v>59</v>
      </c>
      <c r="BS258" s="178">
        <v>354</v>
      </c>
      <c r="BT258" s="179">
        <v>2065</v>
      </c>
      <c r="BU258" s="177"/>
      <c r="BV258" s="178"/>
      <c r="BW258" s="178"/>
      <c r="BX258" s="178"/>
      <c r="BY258" s="179"/>
      <c r="BZ258" s="177"/>
      <c r="CA258" s="178"/>
      <c r="CB258" s="178"/>
      <c r="CC258" s="178"/>
      <c r="CD258" s="179"/>
      <c r="CE258" s="177"/>
      <c r="CF258" s="178"/>
      <c r="CG258" s="178"/>
      <c r="CH258" s="178"/>
      <c r="CI258" s="179"/>
    </row>
    <row r="259" spans="1:87">
      <c r="A259" s="170" t="s">
        <v>237</v>
      </c>
      <c r="B259" s="171" t="s">
        <v>26</v>
      </c>
      <c r="C259" s="172">
        <f t="shared" si="57"/>
        <v>2070</v>
      </c>
      <c r="D259" s="173">
        <f t="shared" ref="D259:D321" si="60">I259+BG259</f>
        <v>1725</v>
      </c>
      <c r="E259" s="173">
        <f t="shared" ref="E259:E321" si="61">J259+BH259</f>
        <v>1035</v>
      </c>
      <c r="F259" s="173">
        <f t="shared" ref="F259:F321" si="62">K259+BI259</f>
        <v>759</v>
      </c>
      <c r="G259" s="174">
        <f t="shared" ref="G259:G321" si="63">L259+BJ259</f>
        <v>5589</v>
      </c>
      <c r="H259" s="172">
        <f t="shared" si="58"/>
        <v>2070</v>
      </c>
      <c r="I259" s="173">
        <f t="shared" ref="I259:I321" si="64">N259+S259+X259+AC259+AH259+AM259+AR259+AW259+BB259</f>
        <v>1725</v>
      </c>
      <c r="J259" s="173">
        <f t="shared" ref="J259:J321" si="65">O259+T259+Y259+AD259+AI259+AN259+AS259+AX259+BC259</f>
        <v>1035</v>
      </c>
      <c r="K259" s="173">
        <f t="shared" ref="K259:K321" si="66">P259+U259+Z259+AE259+AJ259+AO259+AT259+AY259+BD259</f>
        <v>759</v>
      </c>
      <c r="L259" s="174">
        <f t="shared" ref="L259:L321" si="67">Q259+V259+AA259+AF259+AK259+AP259+AU259+AZ259+BE259</f>
        <v>5589</v>
      </c>
      <c r="M259" s="172"/>
      <c r="N259" s="173"/>
      <c r="O259" s="173"/>
      <c r="P259" s="173"/>
      <c r="Q259" s="174"/>
      <c r="R259" s="172"/>
      <c r="S259" s="173"/>
      <c r="T259" s="173"/>
      <c r="U259" s="173"/>
      <c r="V259" s="174"/>
      <c r="W259" s="172"/>
      <c r="X259" s="173"/>
      <c r="Y259" s="173"/>
      <c r="Z259" s="173"/>
      <c r="AA259" s="174"/>
      <c r="AB259" s="172">
        <v>897</v>
      </c>
      <c r="AC259" s="173">
        <v>552</v>
      </c>
      <c r="AD259" s="173"/>
      <c r="AE259" s="173"/>
      <c r="AF259" s="174">
        <v>1449</v>
      </c>
      <c r="AG259" s="172"/>
      <c r="AH259" s="173"/>
      <c r="AI259" s="173"/>
      <c r="AJ259" s="173"/>
      <c r="AK259" s="174"/>
      <c r="AL259" s="172"/>
      <c r="AM259" s="173"/>
      <c r="AN259" s="173"/>
      <c r="AO259" s="173"/>
      <c r="AP259" s="174"/>
      <c r="AQ259" s="172">
        <v>828</v>
      </c>
      <c r="AR259" s="173">
        <v>759</v>
      </c>
      <c r="AS259" s="173">
        <v>828</v>
      </c>
      <c r="AT259" s="173">
        <v>345</v>
      </c>
      <c r="AU259" s="174">
        <v>2760</v>
      </c>
      <c r="AV259" s="172"/>
      <c r="AW259" s="173"/>
      <c r="AX259" s="173">
        <v>69</v>
      </c>
      <c r="AY259" s="173">
        <v>207</v>
      </c>
      <c r="AZ259" s="174">
        <v>276</v>
      </c>
      <c r="BA259" s="172">
        <v>345</v>
      </c>
      <c r="BB259" s="173">
        <v>414</v>
      </c>
      <c r="BC259" s="173">
        <v>138</v>
      </c>
      <c r="BD259" s="173">
        <v>207</v>
      </c>
      <c r="BE259" s="174">
        <v>1104</v>
      </c>
      <c r="BF259" s="172">
        <f t="shared" si="59"/>
        <v>0</v>
      </c>
      <c r="BG259" s="173">
        <f t="shared" ref="BG259:BG321" si="68">BL259+BQ259+BV259+CA259+CF259</f>
        <v>0</v>
      </c>
      <c r="BH259" s="173">
        <f t="shared" ref="BH259:BH321" si="69">BM259+BR259+BW259+CB259+CG259</f>
        <v>0</v>
      </c>
      <c r="BI259" s="173">
        <f t="shared" ref="BI259:BI321" si="70">BN259+BS259+BX259+CC259+CH259</f>
        <v>0</v>
      </c>
      <c r="BJ259" s="174">
        <f t="shared" ref="BJ259:BJ321" si="71">BO259+BT259+BY259+CD259+CI259</f>
        <v>0</v>
      </c>
      <c r="BK259" s="172"/>
      <c r="BL259" s="173"/>
      <c r="BM259" s="173"/>
      <c r="BN259" s="173"/>
      <c r="BO259" s="174"/>
      <c r="BP259" s="172"/>
      <c r="BQ259" s="173"/>
      <c r="BR259" s="173"/>
      <c r="BS259" s="173"/>
      <c r="BT259" s="174"/>
      <c r="BU259" s="172"/>
      <c r="BV259" s="173"/>
      <c r="BW259" s="173"/>
      <c r="BX259" s="173"/>
      <c r="BY259" s="174"/>
      <c r="BZ259" s="172"/>
      <c r="CA259" s="173"/>
      <c r="CB259" s="173"/>
      <c r="CC259" s="173"/>
      <c r="CD259" s="174"/>
      <c r="CE259" s="172"/>
      <c r="CF259" s="173"/>
      <c r="CG259" s="173"/>
      <c r="CH259" s="173"/>
      <c r="CI259" s="174"/>
    </row>
    <row r="260" s="147" customFormat="1" ht="14.6" spans="1:87">
      <c r="A260" s="175" t="s">
        <v>238</v>
      </c>
      <c r="B260" s="176"/>
      <c r="C260" s="177">
        <f t="shared" ref="C260:C321" si="72">H260+BF260</f>
        <v>2070</v>
      </c>
      <c r="D260" s="178">
        <f t="shared" si="60"/>
        <v>1725</v>
      </c>
      <c r="E260" s="178">
        <f t="shared" si="61"/>
        <v>1035</v>
      </c>
      <c r="F260" s="178">
        <f t="shared" si="62"/>
        <v>759</v>
      </c>
      <c r="G260" s="179">
        <f t="shared" si="63"/>
        <v>5589</v>
      </c>
      <c r="H260" s="177">
        <f t="shared" ref="H260:H321" si="73">M260+R260+W260+AB260+AG260+AL260+AQ260+AV260+BA260</f>
        <v>2070</v>
      </c>
      <c r="I260" s="178">
        <f t="shared" si="64"/>
        <v>1725</v>
      </c>
      <c r="J260" s="178">
        <f t="shared" si="65"/>
        <v>1035</v>
      </c>
      <c r="K260" s="178">
        <f t="shared" si="66"/>
        <v>759</v>
      </c>
      <c r="L260" s="179">
        <f t="shared" si="67"/>
        <v>5589</v>
      </c>
      <c r="M260" s="177"/>
      <c r="N260" s="178"/>
      <c r="O260" s="178"/>
      <c r="P260" s="178"/>
      <c r="Q260" s="179"/>
      <c r="R260" s="177"/>
      <c r="S260" s="178"/>
      <c r="T260" s="178"/>
      <c r="U260" s="178"/>
      <c r="V260" s="179"/>
      <c r="W260" s="177"/>
      <c r="X260" s="178"/>
      <c r="Y260" s="178"/>
      <c r="Z260" s="178"/>
      <c r="AA260" s="179"/>
      <c r="AB260" s="177">
        <v>897</v>
      </c>
      <c r="AC260" s="178">
        <v>552</v>
      </c>
      <c r="AD260" s="178"/>
      <c r="AE260" s="178"/>
      <c r="AF260" s="179">
        <v>1449</v>
      </c>
      <c r="AG260" s="177"/>
      <c r="AH260" s="178"/>
      <c r="AI260" s="178"/>
      <c r="AJ260" s="178"/>
      <c r="AK260" s="179"/>
      <c r="AL260" s="177"/>
      <c r="AM260" s="178"/>
      <c r="AN260" s="178"/>
      <c r="AO260" s="178"/>
      <c r="AP260" s="179"/>
      <c r="AQ260" s="177">
        <v>828</v>
      </c>
      <c r="AR260" s="178">
        <v>759</v>
      </c>
      <c r="AS260" s="178">
        <v>828</v>
      </c>
      <c r="AT260" s="178">
        <v>345</v>
      </c>
      <c r="AU260" s="179">
        <v>2760</v>
      </c>
      <c r="AV260" s="177"/>
      <c r="AW260" s="178"/>
      <c r="AX260" s="178">
        <v>69</v>
      </c>
      <c r="AY260" s="178">
        <v>207</v>
      </c>
      <c r="AZ260" s="179">
        <v>276</v>
      </c>
      <c r="BA260" s="177">
        <v>345</v>
      </c>
      <c r="BB260" s="178">
        <v>414</v>
      </c>
      <c r="BC260" s="178">
        <v>138</v>
      </c>
      <c r="BD260" s="178">
        <v>207</v>
      </c>
      <c r="BE260" s="179">
        <v>1104</v>
      </c>
      <c r="BF260" s="177">
        <f t="shared" ref="BF260:BF321" si="74">BK260+BP260+BU260+BZ260+CE260</f>
        <v>0</v>
      </c>
      <c r="BG260" s="178">
        <f t="shared" si="68"/>
        <v>0</v>
      </c>
      <c r="BH260" s="178">
        <f t="shared" si="69"/>
        <v>0</v>
      </c>
      <c r="BI260" s="178">
        <f t="shared" si="70"/>
        <v>0</v>
      </c>
      <c r="BJ260" s="179">
        <f t="shared" si="71"/>
        <v>0</v>
      </c>
      <c r="BK260" s="177"/>
      <c r="BL260" s="178"/>
      <c r="BM260" s="178"/>
      <c r="BN260" s="178"/>
      <c r="BO260" s="179"/>
      <c r="BP260" s="177"/>
      <c r="BQ260" s="178"/>
      <c r="BR260" s="178"/>
      <c r="BS260" s="178"/>
      <c r="BT260" s="179"/>
      <c r="BU260" s="177"/>
      <c r="BV260" s="178"/>
      <c r="BW260" s="178"/>
      <c r="BX260" s="178"/>
      <c r="BY260" s="179"/>
      <c r="BZ260" s="177"/>
      <c r="CA260" s="178"/>
      <c r="CB260" s="178"/>
      <c r="CC260" s="178"/>
      <c r="CD260" s="179"/>
      <c r="CE260" s="177"/>
      <c r="CF260" s="178"/>
      <c r="CG260" s="178"/>
      <c r="CH260" s="178"/>
      <c r="CI260" s="179"/>
    </row>
    <row r="261" spans="1:87">
      <c r="A261" s="170" t="s">
        <v>239</v>
      </c>
      <c r="B261" s="171" t="s">
        <v>26</v>
      </c>
      <c r="C261" s="172">
        <f t="shared" si="72"/>
        <v>498</v>
      </c>
      <c r="D261" s="173">
        <f t="shared" si="60"/>
        <v>747</v>
      </c>
      <c r="E261" s="173">
        <f t="shared" si="61"/>
        <v>249</v>
      </c>
      <c r="F261" s="173">
        <f t="shared" si="62"/>
        <v>498</v>
      </c>
      <c r="G261" s="174">
        <f t="shared" si="63"/>
        <v>1992</v>
      </c>
      <c r="H261" s="172">
        <f t="shared" si="73"/>
        <v>498</v>
      </c>
      <c r="I261" s="173">
        <f t="shared" si="64"/>
        <v>747</v>
      </c>
      <c r="J261" s="173">
        <f t="shared" si="65"/>
        <v>249</v>
      </c>
      <c r="K261" s="173">
        <f t="shared" si="66"/>
        <v>498</v>
      </c>
      <c r="L261" s="174">
        <f t="shared" si="67"/>
        <v>1992</v>
      </c>
      <c r="M261" s="172"/>
      <c r="N261" s="173"/>
      <c r="O261" s="173"/>
      <c r="P261" s="173"/>
      <c r="Q261" s="174"/>
      <c r="R261" s="172">
        <v>498</v>
      </c>
      <c r="S261" s="173">
        <v>747</v>
      </c>
      <c r="T261" s="173">
        <v>249</v>
      </c>
      <c r="U261" s="173">
        <v>249</v>
      </c>
      <c r="V261" s="174">
        <v>1743</v>
      </c>
      <c r="W261" s="172"/>
      <c r="X261" s="173"/>
      <c r="Y261" s="173"/>
      <c r="Z261" s="173"/>
      <c r="AA261" s="174"/>
      <c r="AB261" s="172"/>
      <c r="AC261" s="173"/>
      <c r="AD261" s="173"/>
      <c r="AE261" s="173">
        <v>249</v>
      </c>
      <c r="AF261" s="174">
        <v>249</v>
      </c>
      <c r="AG261" s="172"/>
      <c r="AH261" s="173"/>
      <c r="AI261" s="173"/>
      <c r="AJ261" s="173"/>
      <c r="AK261" s="174"/>
      <c r="AL261" s="172"/>
      <c r="AM261" s="173"/>
      <c r="AN261" s="173"/>
      <c r="AO261" s="173"/>
      <c r="AP261" s="174"/>
      <c r="AQ261" s="172"/>
      <c r="AR261" s="173"/>
      <c r="AS261" s="173"/>
      <c r="AT261" s="173"/>
      <c r="AU261" s="174"/>
      <c r="AV261" s="172"/>
      <c r="AW261" s="173"/>
      <c r="AX261" s="173"/>
      <c r="AY261" s="173"/>
      <c r="AZ261" s="174"/>
      <c r="BA261" s="172"/>
      <c r="BB261" s="173"/>
      <c r="BC261" s="173"/>
      <c r="BD261" s="173"/>
      <c r="BE261" s="174"/>
      <c r="BF261" s="172">
        <f t="shared" si="74"/>
        <v>0</v>
      </c>
      <c r="BG261" s="173">
        <f t="shared" si="68"/>
        <v>0</v>
      </c>
      <c r="BH261" s="173">
        <f t="shared" si="69"/>
        <v>0</v>
      </c>
      <c r="BI261" s="173">
        <f t="shared" si="70"/>
        <v>0</v>
      </c>
      <c r="BJ261" s="174">
        <f t="shared" si="71"/>
        <v>0</v>
      </c>
      <c r="BK261" s="172"/>
      <c r="BL261" s="173"/>
      <c r="BM261" s="173"/>
      <c r="BN261" s="173"/>
      <c r="BO261" s="174"/>
      <c r="BP261" s="172"/>
      <c r="BQ261" s="173"/>
      <c r="BR261" s="173"/>
      <c r="BS261" s="173"/>
      <c r="BT261" s="174"/>
      <c r="BU261" s="172"/>
      <c r="BV261" s="173"/>
      <c r="BW261" s="173"/>
      <c r="BX261" s="173"/>
      <c r="BY261" s="174"/>
      <c r="BZ261" s="172"/>
      <c r="CA261" s="173"/>
      <c r="CB261" s="173"/>
      <c r="CC261" s="173"/>
      <c r="CD261" s="174"/>
      <c r="CE261" s="172"/>
      <c r="CF261" s="173"/>
      <c r="CG261" s="173"/>
      <c r="CH261" s="173"/>
      <c r="CI261" s="174"/>
    </row>
    <row r="262" spans="1:87">
      <c r="A262" s="170"/>
      <c r="B262" s="171" t="s">
        <v>27</v>
      </c>
      <c r="C262" s="172">
        <f t="shared" si="72"/>
        <v>1568</v>
      </c>
      <c r="D262" s="173">
        <f t="shared" si="60"/>
        <v>588</v>
      </c>
      <c r="E262" s="173">
        <f t="shared" si="61"/>
        <v>882</v>
      </c>
      <c r="F262" s="173">
        <f t="shared" si="62"/>
        <v>539</v>
      </c>
      <c r="G262" s="174">
        <f t="shared" si="63"/>
        <v>3577</v>
      </c>
      <c r="H262" s="172">
        <f t="shared" si="73"/>
        <v>1568</v>
      </c>
      <c r="I262" s="173">
        <f t="shared" si="64"/>
        <v>588</v>
      </c>
      <c r="J262" s="173">
        <f t="shared" si="65"/>
        <v>882</v>
      </c>
      <c r="K262" s="173">
        <f t="shared" si="66"/>
        <v>539</v>
      </c>
      <c r="L262" s="174">
        <f t="shared" si="67"/>
        <v>3577</v>
      </c>
      <c r="M262" s="172"/>
      <c r="N262" s="173"/>
      <c r="O262" s="173"/>
      <c r="P262" s="173"/>
      <c r="Q262" s="174"/>
      <c r="R262" s="172">
        <v>490</v>
      </c>
      <c r="S262" s="173"/>
      <c r="T262" s="173"/>
      <c r="U262" s="173"/>
      <c r="V262" s="174">
        <v>490</v>
      </c>
      <c r="W262" s="172"/>
      <c r="X262" s="173"/>
      <c r="Y262" s="173"/>
      <c r="Z262" s="173"/>
      <c r="AA262" s="174"/>
      <c r="AB262" s="172">
        <v>686</v>
      </c>
      <c r="AC262" s="173">
        <v>392</v>
      </c>
      <c r="AD262" s="173">
        <v>490</v>
      </c>
      <c r="AE262" s="173">
        <v>392</v>
      </c>
      <c r="AF262" s="174">
        <v>1960</v>
      </c>
      <c r="AG262" s="172"/>
      <c r="AH262" s="173"/>
      <c r="AI262" s="173"/>
      <c r="AJ262" s="173"/>
      <c r="AK262" s="174"/>
      <c r="AL262" s="172">
        <v>49</v>
      </c>
      <c r="AM262" s="173"/>
      <c r="AN262" s="173">
        <v>147</v>
      </c>
      <c r="AO262" s="173"/>
      <c r="AP262" s="174">
        <v>196</v>
      </c>
      <c r="AQ262" s="172">
        <v>343</v>
      </c>
      <c r="AR262" s="173">
        <v>196</v>
      </c>
      <c r="AS262" s="173">
        <v>245</v>
      </c>
      <c r="AT262" s="173">
        <v>147</v>
      </c>
      <c r="AU262" s="174">
        <v>931</v>
      </c>
      <c r="AV262" s="172"/>
      <c r="AW262" s="173"/>
      <c r="AX262" s="173"/>
      <c r="AY262" s="173"/>
      <c r="AZ262" s="174"/>
      <c r="BA262" s="172"/>
      <c r="BB262" s="173"/>
      <c r="BC262" s="173"/>
      <c r="BD262" s="173"/>
      <c r="BE262" s="174"/>
      <c r="BF262" s="172">
        <f t="shared" si="74"/>
        <v>0</v>
      </c>
      <c r="BG262" s="173">
        <f t="shared" si="68"/>
        <v>0</v>
      </c>
      <c r="BH262" s="173">
        <f t="shared" si="69"/>
        <v>0</v>
      </c>
      <c r="BI262" s="173">
        <f t="shared" si="70"/>
        <v>0</v>
      </c>
      <c r="BJ262" s="174">
        <f t="shared" si="71"/>
        <v>0</v>
      </c>
      <c r="BK262" s="172"/>
      <c r="BL262" s="173"/>
      <c r="BM262" s="173"/>
      <c r="BN262" s="173"/>
      <c r="BO262" s="174"/>
      <c r="BP262" s="172"/>
      <c r="BQ262" s="173"/>
      <c r="BR262" s="173"/>
      <c r="BS262" s="173"/>
      <c r="BT262" s="174"/>
      <c r="BU262" s="172"/>
      <c r="BV262" s="173"/>
      <c r="BW262" s="173"/>
      <c r="BX262" s="173"/>
      <c r="BY262" s="174"/>
      <c r="BZ262" s="172"/>
      <c r="CA262" s="173"/>
      <c r="CB262" s="173"/>
      <c r="CC262" s="173"/>
      <c r="CD262" s="174"/>
      <c r="CE262" s="172"/>
      <c r="CF262" s="173"/>
      <c r="CG262" s="173"/>
      <c r="CH262" s="173"/>
      <c r="CI262" s="174"/>
    </row>
    <row r="263" s="147" customFormat="1" ht="14.6" spans="1:87">
      <c r="A263" s="175" t="s">
        <v>240</v>
      </c>
      <c r="B263" s="176"/>
      <c r="C263" s="177">
        <f t="shared" si="72"/>
        <v>2066</v>
      </c>
      <c r="D263" s="178">
        <f t="shared" si="60"/>
        <v>1335</v>
      </c>
      <c r="E263" s="178">
        <f t="shared" si="61"/>
        <v>1131</v>
      </c>
      <c r="F263" s="178">
        <f t="shared" si="62"/>
        <v>1037</v>
      </c>
      <c r="G263" s="179">
        <f t="shared" si="63"/>
        <v>5569</v>
      </c>
      <c r="H263" s="177">
        <f t="shared" si="73"/>
        <v>2066</v>
      </c>
      <c r="I263" s="178">
        <f t="shared" si="64"/>
        <v>1335</v>
      </c>
      <c r="J263" s="178">
        <f t="shared" si="65"/>
        <v>1131</v>
      </c>
      <c r="K263" s="178">
        <f t="shared" si="66"/>
        <v>1037</v>
      </c>
      <c r="L263" s="179">
        <f t="shared" si="67"/>
        <v>5569</v>
      </c>
      <c r="M263" s="177"/>
      <c r="N263" s="178"/>
      <c r="O263" s="178"/>
      <c r="P263" s="178"/>
      <c r="Q263" s="179"/>
      <c r="R263" s="177">
        <v>988</v>
      </c>
      <c r="S263" s="178">
        <v>747</v>
      </c>
      <c r="T263" s="178">
        <v>249</v>
      </c>
      <c r="U263" s="178">
        <v>249</v>
      </c>
      <c r="V263" s="179">
        <v>2233</v>
      </c>
      <c r="W263" s="177"/>
      <c r="X263" s="178"/>
      <c r="Y263" s="178"/>
      <c r="Z263" s="178"/>
      <c r="AA263" s="179"/>
      <c r="AB263" s="177">
        <v>686</v>
      </c>
      <c r="AC263" s="178">
        <v>392</v>
      </c>
      <c r="AD263" s="178">
        <v>490</v>
      </c>
      <c r="AE263" s="178">
        <v>641</v>
      </c>
      <c r="AF263" s="179">
        <v>2209</v>
      </c>
      <c r="AG263" s="177"/>
      <c r="AH263" s="178"/>
      <c r="AI263" s="178"/>
      <c r="AJ263" s="178"/>
      <c r="AK263" s="179"/>
      <c r="AL263" s="177">
        <v>49</v>
      </c>
      <c r="AM263" s="178"/>
      <c r="AN263" s="178">
        <v>147</v>
      </c>
      <c r="AO263" s="178"/>
      <c r="AP263" s="179">
        <v>196</v>
      </c>
      <c r="AQ263" s="177">
        <v>343</v>
      </c>
      <c r="AR263" s="178">
        <v>196</v>
      </c>
      <c r="AS263" s="178">
        <v>245</v>
      </c>
      <c r="AT263" s="178">
        <v>147</v>
      </c>
      <c r="AU263" s="179">
        <v>931</v>
      </c>
      <c r="AV263" s="177"/>
      <c r="AW263" s="178"/>
      <c r="AX263" s="178"/>
      <c r="AY263" s="178"/>
      <c r="AZ263" s="179"/>
      <c r="BA263" s="177"/>
      <c r="BB263" s="178"/>
      <c r="BC263" s="178"/>
      <c r="BD263" s="178"/>
      <c r="BE263" s="179"/>
      <c r="BF263" s="177">
        <f t="shared" si="74"/>
        <v>0</v>
      </c>
      <c r="BG263" s="178">
        <f t="shared" si="68"/>
        <v>0</v>
      </c>
      <c r="BH263" s="178">
        <f t="shared" si="69"/>
        <v>0</v>
      </c>
      <c r="BI263" s="178">
        <f t="shared" si="70"/>
        <v>0</v>
      </c>
      <c r="BJ263" s="179">
        <f t="shared" si="71"/>
        <v>0</v>
      </c>
      <c r="BK263" s="177"/>
      <c r="BL263" s="178"/>
      <c r="BM263" s="178"/>
      <c r="BN263" s="178"/>
      <c r="BO263" s="179"/>
      <c r="BP263" s="177"/>
      <c r="BQ263" s="178"/>
      <c r="BR263" s="178"/>
      <c r="BS263" s="178"/>
      <c r="BT263" s="179"/>
      <c r="BU263" s="177"/>
      <c r="BV263" s="178"/>
      <c r="BW263" s="178"/>
      <c r="BX263" s="178"/>
      <c r="BY263" s="179"/>
      <c r="BZ263" s="177"/>
      <c r="CA263" s="178"/>
      <c r="CB263" s="178"/>
      <c r="CC263" s="178"/>
      <c r="CD263" s="179"/>
      <c r="CE263" s="177"/>
      <c r="CF263" s="178"/>
      <c r="CG263" s="178"/>
      <c r="CH263" s="178"/>
      <c r="CI263" s="179"/>
    </row>
    <row r="264" spans="1:87">
      <c r="A264" s="170" t="s">
        <v>241</v>
      </c>
      <c r="B264" s="171" t="s">
        <v>26</v>
      </c>
      <c r="C264" s="172">
        <f t="shared" si="72"/>
        <v>2596</v>
      </c>
      <c r="D264" s="173">
        <f t="shared" si="60"/>
        <v>0</v>
      </c>
      <c r="E264" s="173">
        <f t="shared" si="61"/>
        <v>2596</v>
      </c>
      <c r="F264" s="173">
        <f t="shared" si="62"/>
        <v>0</v>
      </c>
      <c r="G264" s="174">
        <f t="shared" si="63"/>
        <v>5192</v>
      </c>
      <c r="H264" s="172">
        <f t="shared" si="73"/>
        <v>1398</v>
      </c>
      <c r="I264" s="173">
        <f t="shared" si="64"/>
        <v>0</v>
      </c>
      <c r="J264" s="173">
        <f t="shared" si="65"/>
        <v>1997</v>
      </c>
      <c r="K264" s="173">
        <f t="shared" si="66"/>
        <v>0</v>
      </c>
      <c r="L264" s="174">
        <f t="shared" si="67"/>
        <v>3395</v>
      </c>
      <c r="M264" s="172"/>
      <c r="N264" s="173"/>
      <c r="O264" s="173"/>
      <c r="P264" s="173"/>
      <c r="Q264" s="174"/>
      <c r="R264" s="172"/>
      <c r="S264" s="173"/>
      <c r="T264" s="173"/>
      <c r="U264" s="173"/>
      <c r="V264" s="174"/>
      <c r="W264" s="172"/>
      <c r="X264" s="173"/>
      <c r="Y264" s="173"/>
      <c r="Z264" s="173"/>
      <c r="AA264" s="174"/>
      <c r="AB264" s="172">
        <v>699</v>
      </c>
      <c r="AC264" s="173"/>
      <c r="AD264" s="173">
        <v>1298</v>
      </c>
      <c r="AE264" s="173"/>
      <c r="AF264" s="174">
        <v>1997</v>
      </c>
      <c r="AG264" s="172"/>
      <c r="AH264" s="173"/>
      <c r="AI264" s="173"/>
      <c r="AJ264" s="173"/>
      <c r="AK264" s="174"/>
      <c r="AL264" s="172"/>
      <c r="AM264" s="173"/>
      <c r="AN264" s="173"/>
      <c r="AO264" s="173"/>
      <c r="AP264" s="174"/>
      <c r="AQ264" s="172"/>
      <c r="AR264" s="173"/>
      <c r="AS264" s="173"/>
      <c r="AT264" s="173"/>
      <c r="AU264" s="174"/>
      <c r="AV264" s="172">
        <v>699</v>
      </c>
      <c r="AW264" s="173"/>
      <c r="AX264" s="173">
        <v>699</v>
      </c>
      <c r="AY264" s="173"/>
      <c r="AZ264" s="174">
        <v>1398</v>
      </c>
      <c r="BA264" s="172"/>
      <c r="BB264" s="173"/>
      <c r="BC264" s="173"/>
      <c r="BD264" s="173"/>
      <c r="BE264" s="174"/>
      <c r="BF264" s="172">
        <f t="shared" si="74"/>
        <v>1198</v>
      </c>
      <c r="BG264" s="173">
        <f t="shared" si="68"/>
        <v>0</v>
      </c>
      <c r="BH264" s="173">
        <f t="shared" si="69"/>
        <v>599</v>
      </c>
      <c r="BI264" s="173">
        <f t="shared" si="70"/>
        <v>0</v>
      </c>
      <c r="BJ264" s="174">
        <f t="shared" si="71"/>
        <v>1797</v>
      </c>
      <c r="BK264" s="172"/>
      <c r="BL264" s="173"/>
      <c r="BM264" s="173"/>
      <c r="BN264" s="173"/>
      <c r="BO264" s="174"/>
      <c r="BP264" s="172">
        <v>599</v>
      </c>
      <c r="BQ264" s="173"/>
      <c r="BR264" s="173">
        <v>599</v>
      </c>
      <c r="BS264" s="173"/>
      <c r="BT264" s="174">
        <v>1198</v>
      </c>
      <c r="BU264" s="172">
        <v>599</v>
      </c>
      <c r="BV264" s="173"/>
      <c r="BW264" s="173"/>
      <c r="BX264" s="173"/>
      <c r="BY264" s="174">
        <v>599</v>
      </c>
      <c r="BZ264" s="172"/>
      <c r="CA264" s="173"/>
      <c r="CB264" s="173"/>
      <c r="CC264" s="173"/>
      <c r="CD264" s="174"/>
      <c r="CE264" s="172"/>
      <c r="CF264" s="173"/>
      <c r="CG264" s="173"/>
      <c r="CH264" s="173"/>
      <c r="CI264" s="174"/>
    </row>
    <row r="265" s="147" customFormat="1" ht="14.6" spans="1:87">
      <c r="A265" s="175" t="s">
        <v>242</v>
      </c>
      <c r="B265" s="176"/>
      <c r="C265" s="177">
        <f t="shared" si="72"/>
        <v>2596</v>
      </c>
      <c r="D265" s="178">
        <f t="shared" si="60"/>
        <v>0</v>
      </c>
      <c r="E265" s="178">
        <f t="shared" si="61"/>
        <v>2596</v>
      </c>
      <c r="F265" s="178">
        <f t="shared" si="62"/>
        <v>0</v>
      </c>
      <c r="G265" s="179">
        <f t="shared" si="63"/>
        <v>5192</v>
      </c>
      <c r="H265" s="177">
        <f t="shared" si="73"/>
        <v>1398</v>
      </c>
      <c r="I265" s="178">
        <f t="shared" si="64"/>
        <v>0</v>
      </c>
      <c r="J265" s="178">
        <f t="shared" si="65"/>
        <v>1997</v>
      </c>
      <c r="K265" s="178">
        <f t="shared" si="66"/>
        <v>0</v>
      </c>
      <c r="L265" s="179">
        <f t="shared" si="67"/>
        <v>3395</v>
      </c>
      <c r="M265" s="177"/>
      <c r="N265" s="178"/>
      <c r="O265" s="178"/>
      <c r="P265" s="178"/>
      <c r="Q265" s="179"/>
      <c r="R265" s="177"/>
      <c r="S265" s="178"/>
      <c r="T265" s="178"/>
      <c r="U265" s="178"/>
      <c r="V265" s="179"/>
      <c r="W265" s="177"/>
      <c r="X265" s="178"/>
      <c r="Y265" s="178"/>
      <c r="Z265" s="178"/>
      <c r="AA265" s="179"/>
      <c r="AB265" s="177">
        <v>699</v>
      </c>
      <c r="AC265" s="178"/>
      <c r="AD265" s="178">
        <v>1298</v>
      </c>
      <c r="AE265" s="178"/>
      <c r="AF265" s="179">
        <v>1997</v>
      </c>
      <c r="AG265" s="177"/>
      <c r="AH265" s="178"/>
      <c r="AI265" s="178"/>
      <c r="AJ265" s="178"/>
      <c r="AK265" s="179"/>
      <c r="AL265" s="177"/>
      <c r="AM265" s="178"/>
      <c r="AN265" s="178"/>
      <c r="AO265" s="178"/>
      <c r="AP265" s="179"/>
      <c r="AQ265" s="177"/>
      <c r="AR265" s="178"/>
      <c r="AS265" s="178"/>
      <c r="AT265" s="178"/>
      <c r="AU265" s="179"/>
      <c r="AV265" s="177">
        <v>699</v>
      </c>
      <c r="AW265" s="178"/>
      <c r="AX265" s="178">
        <v>699</v>
      </c>
      <c r="AY265" s="178"/>
      <c r="AZ265" s="179">
        <v>1398</v>
      </c>
      <c r="BA265" s="177"/>
      <c r="BB265" s="178"/>
      <c r="BC265" s="178"/>
      <c r="BD265" s="178"/>
      <c r="BE265" s="179"/>
      <c r="BF265" s="177">
        <f t="shared" si="74"/>
        <v>1198</v>
      </c>
      <c r="BG265" s="178">
        <f t="shared" si="68"/>
        <v>0</v>
      </c>
      <c r="BH265" s="178">
        <f t="shared" si="69"/>
        <v>599</v>
      </c>
      <c r="BI265" s="178">
        <f t="shared" si="70"/>
        <v>0</v>
      </c>
      <c r="BJ265" s="179">
        <f t="shared" si="71"/>
        <v>1797</v>
      </c>
      <c r="BK265" s="177"/>
      <c r="BL265" s="178"/>
      <c r="BM265" s="178"/>
      <c r="BN265" s="178"/>
      <c r="BO265" s="179"/>
      <c r="BP265" s="177">
        <v>599</v>
      </c>
      <c r="BQ265" s="178"/>
      <c r="BR265" s="178">
        <v>599</v>
      </c>
      <c r="BS265" s="178"/>
      <c r="BT265" s="179">
        <v>1198</v>
      </c>
      <c r="BU265" s="177">
        <v>599</v>
      </c>
      <c r="BV265" s="178"/>
      <c r="BW265" s="178"/>
      <c r="BX265" s="178"/>
      <c r="BY265" s="179">
        <v>599</v>
      </c>
      <c r="BZ265" s="177"/>
      <c r="CA265" s="178"/>
      <c r="CB265" s="178"/>
      <c r="CC265" s="178"/>
      <c r="CD265" s="179"/>
      <c r="CE265" s="177"/>
      <c r="CF265" s="178"/>
      <c r="CG265" s="178"/>
      <c r="CH265" s="178"/>
      <c r="CI265" s="179"/>
    </row>
    <row r="266" spans="1:87">
      <c r="A266" s="170" t="s">
        <v>243</v>
      </c>
      <c r="B266" s="171" t="s">
        <v>26</v>
      </c>
      <c r="C266" s="172">
        <f t="shared" si="72"/>
        <v>1587</v>
      </c>
      <c r="D266" s="173">
        <f t="shared" si="60"/>
        <v>2484</v>
      </c>
      <c r="E266" s="173">
        <f t="shared" si="61"/>
        <v>345</v>
      </c>
      <c r="F266" s="173">
        <f t="shared" si="62"/>
        <v>483</v>
      </c>
      <c r="G266" s="174">
        <f t="shared" si="63"/>
        <v>4899</v>
      </c>
      <c r="H266" s="172">
        <f t="shared" si="73"/>
        <v>1587</v>
      </c>
      <c r="I266" s="173">
        <f t="shared" si="64"/>
        <v>2484</v>
      </c>
      <c r="J266" s="173">
        <f t="shared" si="65"/>
        <v>345</v>
      </c>
      <c r="K266" s="173">
        <f t="shared" si="66"/>
        <v>345</v>
      </c>
      <c r="L266" s="174">
        <f t="shared" si="67"/>
        <v>4761</v>
      </c>
      <c r="M266" s="172"/>
      <c r="N266" s="173"/>
      <c r="O266" s="173"/>
      <c r="P266" s="173"/>
      <c r="Q266" s="174"/>
      <c r="R266" s="172">
        <v>69</v>
      </c>
      <c r="S266" s="173">
        <v>207</v>
      </c>
      <c r="T266" s="173">
        <v>69</v>
      </c>
      <c r="U266" s="173"/>
      <c r="V266" s="174">
        <v>345</v>
      </c>
      <c r="W266" s="172"/>
      <c r="X266" s="173"/>
      <c r="Y266" s="173"/>
      <c r="Z266" s="173"/>
      <c r="AA266" s="174"/>
      <c r="AB266" s="172">
        <v>276</v>
      </c>
      <c r="AC266" s="173">
        <v>1311</v>
      </c>
      <c r="AD266" s="173">
        <v>69</v>
      </c>
      <c r="AE266" s="173"/>
      <c r="AF266" s="174">
        <v>1656</v>
      </c>
      <c r="AG266" s="172"/>
      <c r="AH266" s="173"/>
      <c r="AI266" s="173"/>
      <c r="AJ266" s="173"/>
      <c r="AK266" s="174"/>
      <c r="AL266" s="172"/>
      <c r="AM266" s="173"/>
      <c r="AN266" s="173"/>
      <c r="AO266" s="173"/>
      <c r="AP266" s="174"/>
      <c r="AQ266" s="172">
        <v>483</v>
      </c>
      <c r="AR266" s="173">
        <v>69</v>
      </c>
      <c r="AS266" s="173"/>
      <c r="AT266" s="173"/>
      <c r="AU266" s="174">
        <v>552</v>
      </c>
      <c r="AV266" s="172">
        <v>69</v>
      </c>
      <c r="AW266" s="173">
        <v>69</v>
      </c>
      <c r="AX266" s="173">
        <v>69</v>
      </c>
      <c r="AY266" s="173">
        <v>345</v>
      </c>
      <c r="AZ266" s="174">
        <v>552</v>
      </c>
      <c r="BA266" s="172">
        <v>690</v>
      </c>
      <c r="BB266" s="173">
        <v>828</v>
      </c>
      <c r="BC266" s="173">
        <v>138</v>
      </c>
      <c r="BD266" s="173"/>
      <c r="BE266" s="174">
        <v>1656</v>
      </c>
      <c r="BF266" s="172">
        <f t="shared" si="74"/>
        <v>0</v>
      </c>
      <c r="BG266" s="173">
        <f t="shared" si="68"/>
        <v>0</v>
      </c>
      <c r="BH266" s="173">
        <f t="shared" si="69"/>
        <v>0</v>
      </c>
      <c r="BI266" s="173">
        <f t="shared" si="70"/>
        <v>138</v>
      </c>
      <c r="BJ266" s="174">
        <f t="shared" si="71"/>
        <v>138</v>
      </c>
      <c r="BK266" s="172"/>
      <c r="BL266" s="173"/>
      <c r="BM266" s="173"/>
      <c r="BN266" s="173"/>
      <c r="BO266" s="174"/>
      <c r="BP266" s="172"/>
      <c r="BQ266" s="173"/>
      <c r="BR266" s="173"/>
      <c r="BS266" s="173"/>
      <c r="BT266" s="174"/>
      <c r="BU266" s="172"/>
      <c r="BV266" s="173"/>
      <c r="BW266" s="173"/>
      <c r="BX266" s="173">
        <v>138</v>
      </c>
      <c r="BY266" s="174">
        <v>138</v>
      </c>
      <c r="BZ266" s="172"/>
      <c r="CA266" s="173"/>
      <c r="CB266" s="173"/>
      <c r="CC266" s="173"/>
      <c r="CD266" s="174"/>
      <c r="CE266" s="172"/>
      <c r="CF266" s="173"/>
      <c r="CG266" s="173"/>
      <c r="CH266" s="173"/>
      <c r="CI266" s="174"/>
    </row>
    <row r="267" s="147" customFormat="1" ht="14.6" spans="1:87">
      <c r="A267" s="175" t="s">
        <v>244</v>
      </c>
      <c r="B267" s="176"/>
      <c r="C267" s="177">
        <f t="shared" si="72"/>
        <v>1587</v>
      </c>
      <c r="D267" s="178">
        <f t="shared" si="60"/>
        <v>2484</v>
      </c>
      <c r="E267" s="178">
        <f t="shared" si="61"/>
        <v>345</v>
      </c>
      <c r="F267" s="178">
        <f t="shared" si="62"/>
        <v>483</v>
      </c>
      <c r="G267" s="179">
        <f t="shared" si="63"/>
        <v>4899</v>
      </c>
      <c r="H267" s="177">
        <f t="shared" si="73"/>
        <v>1587</v>
      </c>
      <c r="I267" s="178">
        <f t="shared" si="64"/>
        <v>2484</v>
      </c>
      <c r="J267" s="178">
        <f t="shared" si="65"/>
        <v>345</v>
      </c>
      <c r="K267" s="178">
        <f t="shared" si="66"/>
        <v>345</v>
      </c>
      <c r="L267" s="179">
        <f t="shared" si="67"/>
        <v>4761</v>
      </c>
      <c r="M267" s="177"/>
      <c r="N267" s="178"/>
      <c r="O267" s="178"/>
      <c r="P267" s="178"/>
      <c r="Q267" s="179"/>
      <c r="R267" s="177">
        <v>69</v>
      </c>
      <c r="S267" s="178">
        <v>207</v>
      </c>
      <c r="T267" s="178">
        <v>69</v>
      </c>
      <c r="U267" s="178"/>
      <c r="V267" s="179">
        <v>345</v>
      </c>
      <c r="W267" s="177"/>
      <c r="X267" s="178"/>
      <c r="Y267" s="178"/>
      <c r="Z267" s="178"/>
      <c r="AA267" s="179"/>
      <c r="AB267" s="177">
        <v>276</v>
      </c>
      <c r="AC267" s="178">
        <v>1311</v>
      </c>
      <c r="AD267" s="178">
        <v>69</v>
      </c>
      <c r="AE267" s="178"/>
      <c r="AF267" s="179">
        <v>1656</v>
      </c>
      <c r="AG267" s="177"/>
      <c r="AH267" s="178"/>
      <c r="AI267" s="178"/>
      <c r="AJ267" s="178"/>
      <c r="AK267" s="179"/>
      <c r="AL267" s="177"/>
      <c r="AM267" s="178"/>
      <c r="AN267" s="178"/>
      <c r="AO267" s="178"/>
      <c r="AP267" s="179"/>
      <c r="AQ267" s="177">
        <v>483</v>
      </c>
      <c r="AR267" s="178">
        <v>69</v>
      </c>
      <c r="AS267" s="178"/>
      <c r="AT267" s="178"/>
      <c r="AU267" s="179">
        <v>552</v>
      </c>
      <c r="AV267" s="177">
        <v>69</v>
      </c>
      <c r="AW267" s="178">
        <v>69</v>
      </c>
      <c r="AX267" s="178">
        <v>69</v>
      </c>
      <c r="AY267" s="178">
        <v>345</v>
      </c>
      <c r="AZ267" s="179">
        <v>552</v>
      </c>
      <c r="BA267" s="177">
        <v>690</v>
      </c>
      <c r="BB267" s="178">
        <v>828</v>
      </c>
      <c r="BC267" s="178">
        <v>138</v>
      </c>
      <c r="BD267" s="178"/>
      <c r="BE267" s="179">
        <v>1656</v>
      </c>
      <c r="BF267" s="177">
        <f t="shared" si="74"/>
        <v>0</v>
      </c>
      <c r="BG267" s="178">
        <f t="shared" si="68"/>
        <v>0</v>
      </c>
      <c r="BH267" s="178">
        <f t="shared" si="69"/>
        <v>0</v>
      </c>
      <c r="BI267" s="178">
        <f t="shared" si="70"/>
        <v>138</v>
      </c>
      <c r="BJ267" s="179">
        <f t="shared" si="71"/>
        <v>138</v>
      </c>
      <c r="BK267" s="177"/>
      <c r="BL267" s="178"/>
      <c r="BM267" s="178"/>
      <c r="BN267" s="178"/>
      <c r="BO267" s="179"/>
      <c r="BP267" s="177"/>
      <c r="BQ267" s="178"/>
      <c r="BR267" s="178"/>
      <c r="BS267" s="178"/>
      <c r="BT267" s="179"/>
      <c r="BU267" s="177"/>
      <c r="BV267" s="178"/>
      <c r="BW267" s="178"/>
      <c r="BX267" s="178">
        <v>138</v>
      </c>
      <c r="BY267" s="179">
        <v>138</v>
      </c>
      <c r="BZ267" s="177"/>
      <c r="CA267" s="178"/>
      <c r="CB267" s="178"/>
      <c r="CC267" s="178"/>
      <c r="CD267" s="179"/>
      <c r="CE267" s="177"/>
      <c r="CF267" s="178"/>
      <c r="CG267" s="178"/>
      <c r="CH267" s="178"/>
      <c r="CI267" s="179"/>
    </row>
    <row r="268" spans="1:87">
      <c r="A268" s="170" t="s">
        <v>245</v>
      </c>
      <c r="B268" s="171" t="s">
        <v>26</v>
      </c>
      <c r="C268" s="172">
        <f t="shared" si="72"/>
        <v>1518</v>
      </c>
      <c r="D268" s="173">
        <f t="shared" si="60"/>
        <v>2829</v>
      </c>
      <c r="E268" s="173">
        <f t="shared" si="61"/>
        <v>69</v>
      </c>
      <c r="F268" s="173">
        <f t="shared" si="62"/>
        <v>276</v>
      </c>
      <c r="G268" s="174">
        <f t="shared" si="63"/>
        <v>4692</v>
      </c>
      <c r="H268" s="172">
        <f t="shared" si="73"/>
        <v>1518</v>
      </c>
      <c r="I268" s="173">
        <f t="shared" si="64"/>
        <v>2829</v>
      </c>
      <c r="J268" s="173">
        <f t="shared" si="65"/>
        <v>69</v>
      </c>
      <c r="K268" s="173">
        <f t="shared" si="66"/>
        <v>276</v>
      </c>
      <c r="L268" s="174">
        <f t="shared" si="67"/>
        <v>4692</v>
      </c>
      <c r="M268" s="172">
        <v>138</v>
      </c>
      <c r="N268" s="173"/>
      <c r="O268" s="173"/>
      <c r="P268" s="173"/>
      <c r="Q268" s="174">
        <v>138</v>
      </c>
      <c r="R268" s="172"/>
      <c r="S268" s="173"/>
      <c r="T268" s="173"/>
      <c r="U268" s="173"/>
      <c r="V268" s="174"/>
      <c r="W268" s="172"/>
      <c r="X268" s="173"/>
      <c r="Y268" s="173"/>
      <c r="Z268" s="173"/>
      <c r="AA268" s="174"/>
      <c r="AB268" s="172">
        <v>345</v>
      </c>
      <c r="AC268" s="173">
        <v>2346</v>
      </c>
      <c r="AD268" s="173">
        <v>69</v>
      </c>
      <c r="AE268" s="173">
        <v>69</v>
      </c>
      <c r="AF268" s="174">
        <v>2829</v>
      </c>
      <c r="AG268" s="172"/>
      <c r="AH268" s="173"/>
      <c r="AI268" s="173"/>
      <c r="AJ268" s="173"/>
      <c r="AK268" s="174"/>
      <c r="AL268" s="172"/>
      <c r="AM268" s="173"/>
      <c r="AN268" s="173"/>
      <c r="AO268" s="173"/>
      <c r="AP268" s="174"/>
      <c r="AQ268" s="172">
        <v>1035</v>
      </c>
      <c r="AR268" s="173">
        <v>483</v>
      </c>
      <c r="AS268" s="173"/>
      <c r="AT268" s="173">
        <v>207</v>
      </c>
      <c r="AU268" s="174">
        <v>1725</v>
      </c>
      <c r="AV268" s="172"/>
      <c r="AW268" s="173"/>
      <c r="AX268" s="173"/>
      <c r="AY268" s="173"/>
      <c r="AZ268" s="174"/>
      <c r="BA268" s="172"/>
      <c r="BB268" s="173"/>
      <c r="BC268" s="173"/>
      <c r="BD268" s="173"/>
      <c r="BE268" s="174"/>
      <c r="BF268" s="172">
        <f t="shared" si="74"/>
        <v>0</v>
      </c>
      <c r="BG268" s="173">
        <f t="shared" si="68"/>
        <v>0</v>
      </c>
      <c r="BH268" s="173">
        <f t="shared" si="69"/>
        <v>0</v>
      </c>
      <c r="BI268" s="173">
        <f t="shared" si="70"/>
        <v>0</v>
      </c>
      <c r="BJ268" s="174">
        <f t="shared" si="71"/>
        <v>0</v>
      </c>
      <c r="BK268" s="172"/>
      <c r="BL268" s="173"/>
      <c r="BM268" s="173"/>
      <c r="BN268" s="173"/>
      <c r="BO268" s="174"/>
      <c r="BP268" s="172"/>
      <c r="BQ268" s="173"/>
      <c r="BR268" s="173"/>
      <c r="BS268" s="173"/>
      <c r="BT268" s="174"/>
      <c r="BU268" s="172"/>
      <c r="BV268" s="173"/>
      <c r="BW268" s="173"/>
      <c r="BX268" s="173"/>
      <c r="BY268" s="174"/>
      <c r="BZ268" s="172"/>
      <c r="CA268" s="173"/>
      <c r="CB268" s="173"/>
      <c r="CC268" s="173"/>
      <c r="CD268" s="174"/>
      <c r="CE268" s="172"/>
      <c r="CF268" s="173"/>
      <c r="CG268" s="173"/>
      <c r="CH268" s="173"/>
      <c r="CI268" s="174"/>
    </row>
    <row r="269" s="147" customFormat="1" ht="14.6" spans="1:87">
      <c r="A269" s="175" t="s">
        <v>246</v>
      </c>
      <c r="B269" s="176"/>
      <c r="C269" s="177">
        <f t="shared" si="72"/>
        <v>1518</v>
      </c>
      <c r="D269" s="178">
        <f t="shared" si="60"/>
        <v>2829</v>
      </c>
      <c r="E269" s="178">
        <f t="shared" si="61"/>
        <v>69</v>
      </c>
      <c r="F269" s="178">
        <f t="shared" si="62"/>
        <v>276</v>
      </c>
      <c r="G269" s="179">
        <f t="shared" si="63"/>
        <v>4692</v>
      </c>
      <c r="H269" s="177">
        <f t="shared" si="73"/>
        <v>1518</v>
      </c>
      <c r="I269" s="178">
        <f t="shared" si="64"/>
        <v>2829</v>
      </c>
      <c r="J269" s="178">
        <f t="shared" si="65"/>
        <v>69</v>
      </c>
      <c r="K269" s="178">
        <f t="shared" si="66"/>
        <v>276</v>
      </c>
      <c r="L269" s="179">
        <f t="shared" si="67"/>
        <v>4692</v>
      </c>
      <c r="M269" s="177">
        <v>138</v>
      </c>
      <c r="N269" s="178"/>
      <c r="O269" s="178"/>
      <c r="P269" s="178"/>
      <c r="Q269" s="179">
        <v>138</v>
      </c>
      <c r="R269" s="177"/>
      <c r="S269" s="178"/>
      <c r="T269" s="178"/>
      <c r="U269" s="178"/>
      <c r="V269" s="179"/>
      <c r="W269" s="177"/>
      <c r="X269" s="178"/>
      <c r="Y269" s="178"/>
      <c r="Z269" s="178"/>
      <c r="AA269" s="179"/>
      <c r="AB269" s="177">
        <v>345</v>
      </c>
      <c r="AC269" s="178">
        <v>2346</v>
      </c>
      <c r="AD269" s="178">
        <v>69</v>
      </c>
      <c r="AE269" s="178">
        <v>69</v>
      </c>
      <c r="AF269" s="179">
        <v>2829</v>
      </c>
      <c r="AG269" s="177"/>
      <c r="AH269" s="178"/>
      <c r="AI269" s="178"/>
      <c r="AJ269" s="178"/>
      <c r="AK269" s="179"/>
      <c r="AL269" s="177"/>
      <c r="AM269" s="178"/>
      <c r="AN269" s="178"/>
      <c r="AO269" s="178"/>
      <c r="AP269" s="179"/>
      <c r="AQ269" s="177">
        <v>1035</v>
      </c>
      <c r="AR269" s="178">
        <v>483</v>
      </c>
      <c r="AS269" s="178"/>
      <c r="AT269" s="178">
        <v>207</v>
      </c>
      <c r="AU269" s="179">
        <v>1725</v>
      </c>
      <c r="AV269" s="177"/>
      <c r="AW269" s="178"/>
      <c r="AX269" s="178"/>
      <c r="AY269" s="178"/>
      <c r="AZ269" s="179"/>
      <c r="BA269" s="177"/>
      <c r="BB269" s="178"/>
      <c r="BC269" s="178"/>
      <c r="BD269" s="178"/>
      <c r="BE269" s="179"/>
      <c r="BF269" s="177">
        <f t="shared" si="74"/>
        <v>0</v>
      </c>
      <c r="BG269" s="178">
        <f t="shared" si="68"/>
        <v>0</v>
      </c>
      <c r="BH269" s="178">
        <f t="shared" si="69"/>
        <v>0</v>
      </c>
      <c r="BI269" s="178">
        <f t="shared" si="70"/>
        <v>0</v>
      </c>
      <c r="BJ269" s="179">
        <f t="shared" si="71"/>
        <v>0</v>
      </c>
      <c r="BK269" s="177"/>
      <c r="BL269" s="178"/>
      <c r="BM269" s="178"/>
      <c r="BN269" s="178"/>
      <c r="BO269" s="179"/>
      <c r="BP269" s="177"/>
      <c r="BQ269" s="178"/>
      <c r="BR269" s="178"/>
      <c r="BS269" s="178"/>
      <c r="BT269" s="179"/>
      <c r="BU269" s="177"/>
      <c r="BV269" s="178"/>
      <c r="BW269" s="178"/>
      <c r="BX269" s="178"/>
      <c r="BY269" s="179"/>
      <c r="BZ269" s="177"/>
      <c r="CA269" s="178"/>
      <c r="CB269" s="178"/>
      <c r="CC269" s="178"/>
      <c r="CD269" s="179"/>
      <c r="CE269" s="177"/>
      <c r="CF269" s="178"/>
      <c r="CG269" s="178"/>
      <c r="CH269" s="178"/>
      <c r="CI269" s="179"/>
    </row>
    <row r="270" spans="1:87">
      <c r="A270" s="170" t="s">
        <v>247</v>
      </c>
      <c r="B270" s="171" t="s">
        <v>26</v>
      </c>
      <c r="C270" s="172">
        <f t="shared" si="72"/>
        <v>759</v>
      </c>
      <c r="D270" s="173">
        <f t="shared" si="60"/>
        <v>966</v>
      </c>
      <c r="E270" s="173">
        <f t="shared" si="61"/>
        <v>2208</v>
      </c>
      <c r="F270" s="173">
        <f t="shared" si="62"/>
        <v>759</v>
      </c>
      <c r="G270" s="174">
        <f t="shared" si="63"/>
        <v>4692</v>
      </c>
      <c r="H270" s="172">
        <f t="shared" si="73"/>
        <v>759</v>
      </c>
      <c r="I270" s="173">
        <f t="shared" si="64"/>
        <v>966</v>
      </c>
      <c r="J270" s="173">
        <f t="shared" si="65"/>
        <v>2208</v>
      </c>
      <c r="K270" s="173">
        <f t="shared" si="66"/>
        <v>759</v>
      </c>
      <c r="L270" s="174">
        <f t="shared" si="67"/>
        <v>4692</v>
      </c>
      <c r="M270" s="172"/>
      <c r="N270" s="173"/>
      <c r="O270" s="173"/>
      <c r="P270" s="173"/>
      <c r="Q270" s="174"/>
      <c r="R270" s="172"/>
      <c r="S270" s="173"/>
      <c r="T270" s="173"/>
      <c r="U270" s="173"/>
      <c r="V270" s="174"/>
      <c r="W270" s="172"/>
      <c r="X270" s="173"/>
      <c r="Y270" s="173"/>
      <c r="Z270" s="173"/>
      <c r="AA270" s="174"/>
      <c r="AB270" s="172">
        <v>690</v>
      </c>
      <c r="AC270" s="173">
        <v>828</v>
      </c>
      <c r="AD270" s="173">
        <v>966</v>
      </c>
      <c r="AE270" s="173">
        <v>345</v>
      </c>
      <c r="AF270" s="174">
        <v>2829</v>
      </c>
      <c r="AG270" s="172"/>
      <c r="AH270" s="173"/>
      <c r="AI270" s="173"/>
      <c r="AJ270" s="173"/>
      <c r="AK270" s="174"/>
      <c r="AL270" s="172"/>
      <c r="AM270" s="173"/>
      <c r="AN270" s="173"/>
      <c r="AO270" s="173"/>
      <c r="AP270" s="174"/>
      <c r="AQ270" s="172"/>
      <c r="AR270" s="173"/>
      <c r="AS270" s="173"/>
      <c r="AT270" s="173"/>
      <c r="AU270" s="174"/>
      <c r="AV270" s="172"/>
      <c r="AW270" s="173">
        <v>138</v>
      </c>
      <c r="AX270" s="173"/>
      <c r="AY270" s="173">
        <v>69</v>
      </c>
      <c r="AZ270" s="174">
        <v>207</v>
      </c>
      <c r="BA270" s="172">
        <v>69</v>
      </c>
      <c r="BB270" s="173"/>
      <c r="BC270" s="173">
        <v>1242</v>
      </c>
      <c r="BD270" s="173">
        <v>345</v>
      </c>
      <c r="BE270" s="174">
        <v>1656</v>
      </c>
      <c r="BF270" s="172">
        <f t="shared" si="74"/>
        <v>0</v>
      </c>
      <c r="BG270" s="173">
        <f t="shared" si="68"/>
        <v>0</v>
      </c>
      <c r="BH270" s="173">
        <f t="shared" si="69"/>
        <v>0</v>
      </c>
      <c r="BI270" s="173">
        <f t="shared" si="70"/>
        <v>0</v>
      </c>
      <c r="BJ270" s="174">
        <f t="shared" si="71"/>
        <v>0</v>
      </c>
      <c r="BK270" s="172"/>
      <c r="BL270" s="173"/>
      <c r="BM270" s="173"/>
      <c r="BN270" s="173"/>
      <c r="BO270" s="174"/>
      <c r="BP270" s="172"/>
      <c r="BQ270" s="173"/>
      <c r="BR270" s="173"/>
      <c r="BS270" s="173"/>
      <c r="BT270" s="174"/>
      <c r="BU270" s="172"/>
      <c r="BV270" s="173"/>
      <c r="BW270" s="173"/>
      <c r="BX270" s="173"/>
      <c r="BY270" s="174"/>
      <c r="BZ270" s="172"/>
      <c r="CA270" s="173"/>
      <c r="CB270" s="173"/>
      <c r="CC270" s="173"/>
      <c r="CD270" s="174"/>
      <c r="CE270" s="172"/>
      <c r="CF270" s="173"/>
      <c r="CG270" s="173"/>
      <c r="CH270" s="173"/>
      <c r="CI270" s="174"/>
    </row>
    <row r="271" s="147" customFormat="1" ht="14.6" spans="1:87">
      <c r="A271" s="175" t="s">
        <v>248</v>
      </c>
      <c r="B271" s="176"/>
      <c r="C271" s="177">
        <f t="shared" si="72"/>
        <v>759</v>
      </c>
      <c r="D271" s="178">
        <f t="shared" si="60"/>
        <v>966</v>
      </c>
      <c r="E271" s="178">
        <f t="shared" si="61"/>
        <v>2208</v>
      </c>
      <c r="F271" s="178">
        <f t="shared" si="62"/>
        <v>759</v>
      </c>
      <c r="G271" s="179">
        <f t="shared" si="63"/>
        <v>4692</v>
      </c>
      <c r="H271" s="177">
        <f t="shared" si="73"/>
        <v>759</v>
      </c>
      <c r="I271" s="178">
        <f t="shared" si="64"/>
        <v>966</v>
      </c>
      <c r="J271" s="178">
        <f t="shared" si="65"/>
        <v>2208</v>
      </c>
      <c r="K271" s="178">
        <f t="shared" si="66"/>
        <v>759</v>
      </c>
      <c r="L271" s="179">
        <f t="shared" si="67"/>
        <v>4692</v>
      </c>
      <c r="M271" s="177"/>
      <c r="N271" s="178"/>
      <c r="O271" s="178"/>
      <c r="P271" s="178"/>
      <c r="Q271" s="179"/>
      <c r="R271" s="177"/>
      <c r="S271" s="178"/>
      <c r="T271" s="178"/>
      <c r="U271" s="178"/>
      <c r="V271" s="179"/>
      <c r="W271" s="177"/>
      <c r="X271" s="178"/>
      <c r="Y271" s="178"/>
      <c r="Z271" s="178"/>
      <c r="AA271" s="179"/>
      <c r="AB271" s="177">
        <v>690</v>
      </c>
      <c r="AC271" s="178">
        <v>828</v>
      </c>
      <c r="AD271" s="178">
        <v>966</v>
      </c>
      <c r="AE271" s="178">
        <v>345</v>
      </c>
      <c r="AF271" s="179">
        <v>2829</v>
      </c>
      <c r="AG271" s="177"/>
      <c r="AH271" s="178"/>
      <c r="AI271" s="178"/>
      <c r="AJ271" s="178"/>
      <c r="AK271" s="179"/>
      <c r="AL271" s="177"/>
      <c r="AM271" s="178"/>
      <c r="AN271" s="178"/>
      <c r="AO271" s="178"/>
      <c r="AP271" s="179"/>
      <c r="AQ271" s="177"/>
      <c r="AR271" s="178"/>
      <c r="AS271" s="178"/>
      <c r="AT271" s="178"/>
      <c r="AU271" s="179"/>
      <c r="AV271" s="177"/>
      <c r="AW271" s="178">
        <v>138</v>
      </c>
      <c r="AX271" s="178"/>
      <c r="AY271" s="178">
        <v>69</v>
      </c>
      <c r="AZ271" s="179">
        <v>207</v>
      </c>
      <c r="BA271" s="177">
        <v>69</v>
      </c>
      <c r="BB271" s="178"/>
      <c r="BC271" s="178">
        <v>1242</v>
      </c>
      <c r="BD271" s="178">
        <v>345</v>
      </c>
      <c r="BE271" s="179">
        <v>1656</v>
      </c>
      <c r="BF271" s="177">
        <f t="shared" si="74"/>
        <v>0</v>
      </c>
      <c r="BG271" s="178">
        <f t="shared" si="68"/>
        <v>0</v>
      </c>
      <c r="BH271" s="178">
        <f t="shared" si="69"/>
        <v>0</v>
      </c>
      <c r="BI271" s="178">
        <f t="shared" si="70"/>
        <v>0</v>
      </c>
      <c r="BJ271" s="179">
        <f t="shared" si="71"/>
        <v>0</v>
      </c>
      <c r="BK271" s="177"/>
      <c r="BL271" s="178"/>
      <c r="BM271" s="178"/>
      <c r="BN271" s="178"/>
      <c r="BO271" s="179"/>
      <c r="BP271" s="177"/>
      <c r="BQ271" s="178"/>
      <c r="BR271" s="178"/>
      <c r="BS271" s="178"/>
      <c r="BT271" s="179"/>
      <c r="BU271" s="177"/>
      <c r="BV271" s="178"/>
      <c r="BW271" s="178"/>
      <c r="BX271" s="178"/>
      <c r="BY271" s="179"/>
      <c r="BZ271" s="177"/>
      <c r="CA271" s="178"/>
      <c r="CB271" s="178"/>
      <c r="CC271" s="178"/>
      <c r="CD271" s="179"/>
      <c r="CE271" s="177"/>
      <c r="CF271" s="178"/>
      <c r="CG271" s="178"/>
      <c r="CH271" s="178"/>
      <c r="CI271" s="179"/>
    </row>
    <row r="272" spans="1:87">
      <c r="A272" s="170" t="s">
        <v>249</v>
      </c>
      <c r="B272" s="171" t="s">
        <v>26</v>
      </c>
      <c r="C272" s="172">
        <f t="shared" si="72"/>
        <v>3381</v>
      </c>
      <c r="D272" s="173">
        <f t="shared" si="60"/>
        <v>828</v>
      </c>
      <c r="E272" s="173">
        <f t="shared" si="61"/>
        <v>138</v>
      </c>
      <c r="F272" s="173">
        <f t="shared" si="62"/>
        <v>207</v>
      </c>
      <c r="G272" s="174">
        <f t="shared" si="63"/>
        <v>4554</v>
      </c>
      <c r="H272" s="172">
        <f t="shared" si="73"/>
        <v>3105</v>
      </c>
      <c r="I272" s="173">
        <f t="shared" si="64"/>
        <v>828</v>
      </c>
      <c r="J272" s="173">
        <f t="shared" si="65"/>
        <v>138</v>
      </c>
      <c r="K272" s="173">
        <f t="shared" si="66"/>
        <v>207</v>
      </c>
      <c r="L272" s="174">
        <f t="shared" si="67"/>
        <v>4278</v>
      </c>
      <c r="M272" s="172"/>
      <c r="N272" s="173"/>
      <c r="O272" s="173"/>
      <c r="P272" s="173"/>
      <c r="Q272" s="174"/>
      <c r="R272" s="172"/>
      <c r="S272" s="173"/>
      <c r="T272" s="173"/>
      <c r="U272" s="173"/>
      <c r="V272" s="174"/>
      <c r="W272" s="172"/>
      <c r="X272" s="173"/>
      <c r="Y272" s="173"/>
      <c r="Z272" s="173"/>
      <c r="AA272" s="174"/>
      <c r="AB272" s="172">
        <v>2829</v>
      </c>
      <c r="AC272" s="173">
        <v>552</v>
      </c>
      <c r="AD272" s="173"/>
      <c r="AE272" s="173">
        <v>69</v>
      </c>
      <c r="AF272" s="174">
        <v>3450</v>
      </c>
      <c r="AG272" s="172"/>
      <c r="AH272" s="173"/>
      <c r="AI272" s="173"/>
      <c r="AJ272" s="173"/>
      <c r="AK272" s="174"/>
      <c r="AL272" s="172"/>
      <c r="AM272" s="173"/>
      <c r="AN272" s="173"/>
      <c r="AO272" s="173"/>
      <c r="AP272" s="174"/>
      <c r="AQ272" s="172"/>
      <c r="AR272" s="173"/>
      <c r="AS272" s="173"/>
      <c r="AT272" s="173"/>
      <c r="AU272" s="174"/>
      <c r="AV272" s="172">
        <v>276</v>
      </c>
      <c r="AW272" s="173">
        <v>276</v>
      </c>
      <c r="AX272" s="173">
        <v>138</v>
      </c>
      <c r="AY272" s="173">
        <v>138</v>
      </c>
      <c r="AZ272" s="174">
        <v>828</v>
      </c>
      <c r="BA272" s="172"/>
      <c r="BB272" s="173"/>
      <c r="BC272" s="173"/>
      <c r="BD272" s="173"/>
      <c r="BE272" s="174"/>
      <c r="BF272" s="172">
        <f t="shared" si="74"/>
        <v>276</v>
      </c>
      <c r="BG272" s="173">
        <f t="shared" si="68"/>
        <v>0</v>
      </c>
      <c r="BH272" s="173">
        <f t="shared" si="69"/>
        <v>0</v>
      </c>
      <c r="BI272" s="173">
        <f t="shared" si="70"/>
        <v>0</v>
      </c>
      <c r="BJ272" s="174">
        <f t="shared" si="71"/>
        <v>276</v>
      </c>
      <c r="BK272" s="172"/>
      <c r="BL272" s="173"/>
      <c r="BM272" s="173"/>
      <c r="BN272" s="173"/>
      <c r="BO272" s="174"/>
      <c r="BP272" s="172">
        <v>207</v>
      </c>
      <c r="BQ272" s="173"/>
      <c r="BR272" s="173"/>
      <c r="BS272" s="173"/>
      <c r="BT272" s="174">
        <v>207</v>
      </c>
      <c r="BU272" s="172">
        <v>69</v>
      </c>
      <c r="BV272" s="173"/>
      <c r="BW272" s="173"/>
      <c r="BX272" s="173"/>
      <c r="BY272" s="174">
        <v>69</v>
      </c>
      <c r="BZ272" s="172"/>
      <c r="CA272" s="173"/>
      <c r="CB272" s="173"/>
      <c r="CC272" s="173"/>
      <c r="CD272" s="174"/>
      <c r="CE272" s="172"/>
      <c r="CF272" s="173"/>
      <c r="CG272" s="173"/>
      <c r="CH272" s="173"/>
      <c r="CI272" s="174"/>
    </row>
    <row r="273" s="147" customFormat="1" ht="14.6" spans="1:87">
      <c r="A273" s="175" t="s">
        <v>250</v>
      </c>
      <c r="B273" s="176"/>
      <c r="C273" s="177">
        <f t="shared" si="72"/>
        <v>3381</v>
      </c>
      <c r="D273" s="178">
        <f t="shared" si="60"/>
        <v>828</v>
      </c>
      <c r="E273" s="178">
        <f t="shared" si="61"/>
        <v>138</v>
      </c>
      <c r="F273" s="178">
        <f t="shared" si="62"/>
        <v>207</v>
      </c>
      <c r="G273" s="179">
        <f t="shared" si="63"/>
        <v>4554</v>
      </c>
      <c r="H273" s="177">
        <f t="shared" si="73"/>
        <v>3105</v>
      </c>
      <c r="I273" s="178">
        <f t="shared" si="64"/>
        <v>828</v>
      </c>
      <c r="J273" s="178">
        <f t="shared" si="65"/>
        <v>138</v>
      </c>
      <c r="K273" s="178">
        <f t="shared" si="66"/>
        <v>207</v>
      </c>
      <c r="L273" s="179">
        <f t="shared" si="67"/>
        <v>4278</v>
      </c>
      <c r="M273" s="177"/>
      <c r="N273" s="178"/>
      <c r="O273" s="178"/>
      <c r="P273" s="178"/>
      <c r="Q273" s="179"/>
      <c r="R273" s="177"/>
      <c r="S273" s="178"/>
      <c r="T273" s="178"/>
      <c r="U273" s="178"/>
      <c r="V273" s="179"/>
      <c r="W273" s="177"/>
      <c r="X273" s="178"/>
      <c r="Y273" s="178"/>
      <c r="Z273" s="178"/>
      <c r="AA273" s="179"/>
      <c r="AB273" s="177">
        <v>2829</v>
      </c>
      <c r="AC273" s="178">
        <v>552</v>
      </c>
      <c r="AD273" s="178"/>
      <c r="AE273" s="178">
        <v>69</v>
      </c>
      <c r="AF273" s="179">
        <v>3450</v>
      </c>
      <c r="AG273" s="177"/>
      <c r="AH273" s="178"/>
      <c r="AI273" s="178"/>
      <c r="AJ273" s="178"/>
      <c r="AK273" s="179"/>
      <c r="AL273" s="177"/>
      <c r="AM273" s="178"/>
      <c r="AN273" s="178"/>
      <c r="AO273" s="178"/>
      <c r="AP273" s="179"/>
      <c r="AQ273" s="177"/>
      <c r="AR273" s="178"/>
      <c r="AS273" s="178"/>
      <c r="AT273" s="178"/>
      <c r="AU273" s="179"/>
      <c r="AV273" s="177">
        <v>276</v>
      </c>
      <c r="AW273" s="178">
        <v>276</v>
      </c>
      <c r="AX273" s="178">
        <v>138</v>
      </c>
      <c r="AY273" s="178">
        <v>138</v>
      </c>
      <c r="AZ273" s="179">
        <v>828</v>
      </c>
      <c r="BA273" s="177"/>
      <c r="BB273" s="178"/>
      <c r="BC273" s="178"/>
      <c r="BD273" s="178"/>
      <c r="BE273" s="179"/>
      <c r="BF273" s="177">
        <f t="shared" si="74"/>
        <v>276</v>
      </c>
      <c r="BG273" s="178">
        <f t="shared" si="68"/>
        <v>0</v>
      </c>
      <c r="BH273" s="178">
        <f t="shared" si="69"/>
        <v>0</v>
      </c>
      <c r="BI273" s="178">
        <f t="shared" si="70"/>
        <v>0</v>
      </c>
      <c r="BJ273" s="179">
        <f t="shared" si="71"/>
        <v>276</v>
      </c>
      <c r="BK273" s="177"/>
      <c r="BL273" s="178"/>
      <c r="BM273" s="178"/>
      <c r="BN273" s="178"/>
      <c r="BO273" s="179"/>
      <c r="BP273" s="177">
        <v>207</v>
      </c>
      <c r="BQ273" s="178"/>
      <c r="BR273" s="178"/>
      <c r="BS273" s="178"/>
      <c r="BT273" s="179">
        <v>207</v>
      </c>
      <c r="BU273" s="177">
        <v>69</v>
      </c>
      <c r="BV273" s="178"/>
      <c r="BW273" s="178"/>
      <c r="BX273" s="178"/>
      <c r="BY273" s="179">
        <v>69</v>
      </c>
      <c r="BZ273" s="177"/>
      <c r="CA273" s="178"/>
      <c r="CB273" s="178"/>
      <c r="CC273" s="178"/>
      <c r="CD273" s="179"/>
      <c r="CE273" s="177"/>
      <c r="CF273" s="178"/>
      <c r="CG273" s="178"/>
      <c r="CH273" s="178"/>
      <c r="CI273" s="179"/>
    </row>
    <row r="274" spans="1:87">
      <c r="A274" s="170" t="s">
        <v>251</v>
      </c>
      <c r="B274" s="171" t="s">
        <v>26</v>
      </c>
      <c r="C274" s="172">
        <f t="shared" si="72"/>
        <v>1157</v>
      </c>
      <c r="D274" s="173">
        <f t="shared" si="60"/>
        <v>979</v>
      </c>
      <c r="E274" s="173">
        <f t="shared" si="61"/>
        <v>534</v>
      </c>
      <c r="F274" s="173">
        <f t="shared" si="62"/>
        <v>1780</v>
      </c>
      <c r="G274" s="174">
        <f t="shared" si="63"/>
        <v>4450</v>
      </c>
      <c r="H274" s="172">
        <f t="shared" si="73"/>
        <v>1157</v>
      </c>
      <c r="I274" s="173">
        <f t="shared" si="64"/>
        <v>979</v>
      </c>
      <c r="J274" s="173">
        <f t="shared" si="65"/>
        <v>534</v>
      </c>
      <c r="K274" s="173">
        <f t="shared" si="66"/>
        <v>1780</v>
      </c>
      <c r="L274" s="174">
        <f t="shared" si="67"/>
        <v>4450</v>
      </c>
      <c r="M274" s="172"/>
      <c r="N274" s="173"/>
      <c r="O274" s="173"/>
      <c r="P274" s="173"/>
      <c r="Q274" s="174"/>
      <c r="R274" s="172"/>
      <c r="S274" s="173"/>
      <c r="T274" s="173"/>
      <c r="U274" s="173"/>
      <c r="V274" s="174"/>
      <c r="W274" s="172"/>
      <c r="X274" s="173"/>
      <c r="Y274" s="173"/>
      <c r="Z274" s="173"/>
      <c r="AA274" s="174"/>
      <c r="AB274" s="172"/>
      <c r="AC274" s="173">
        <v>178</v>
      </c>
      <c r="AD274" s="173">
        <v>267</v>
      </c>
      <c r="AE274" s="173">
        <v>623</v>
      </c>
      <c r="AF274" s="174">
        <v>1068</v>
      </c>
      <c r="AG274" s="172"/>
      <c r="AH274" s="173"/>
      <c r="AI274" s="173"/>
      <c r="AJ274" s="173"/>
      <c r="AK274" s="174"/>
      <c r="AL274" s="172"/>
      <c r="AM274" s="173"/>
      <c r="AN274" s="173"/>
      <c r="AO274" s="173"/>
      <c r="AP274" s="174"/>
      <c r="AQ274" s="172"/>
      <c r="AR274" s="173"/>
      <c r="AS274" s="173"/>
      <c r="AT274" s="173"/>
      <c r="AU274" s="174"/>
      <c r="AV274" s="172">
        <v>1157</v>
      </c>
      <c r="AW274" s="173">
        <v>801</v>
      </c>
      <c r="AX274" s="173">
        <v>267</v>
      </c>
      <c r="AY274" s="173">
        <v>1157</v>
      </c>
      <c r="AZ274" s="174">
        <v>3382</v>
      </c>
      <c r="BA274" s="172"/>
      <c r="BB274" s="173"/>
      <c r="BC274" s="173"/>
      <c r="BD274" s="173"/>
      <c r="BE274" s="174"/>
      <c r="BF274" s="172">
        <f t="shared" si="74"/>
        <v>0</v>
      </c>
      <c r="BG274" s="173">
        <f t="shared" si="68"/>
        <v>0</v>
      </c>
      <c r="BH274" s="173">
        <f t="shared" si="69"/>
        <v>0</v>
      </c>
      <c r="BI274" s="173">
        <f t="shared" si="70"/>
        <v>0</v>
      </c>
      <c r="BJ274" s="174">
        <f t="shared" si="71"/>
        <v>0</v>
      </c>
      <c r="BK274" s="172"/>
      <c r="BL274" s="173"/>
      <c r="BM274" s="173"/>
      <c r="BN274" s="173"/>
      <c r="BO274" s="174"/>
      <c r="BP274" s="172"/>
      <c r="BQ274" s="173"/>
      <c r="BR274" s="173"/>
      <c r="BS274" s="173"/>
      <c r="BT274" s="174"/>
      <c r="BU274" s="172"/>
      <c r="BV274" s="173"/>
      <c r="BW274" s="173"/>
      <c r="BX274" s="173"/>
      <c r="BY274" s="174"/>
      <c r="BZ274" s="172"/>
      <c r="CA274" s="173"/>
      <c r="CB274" s="173"/>
      <c r="CC274" s="173"/>
      <c r="CD274" s="174"/>
      <c r="CE274" s="172"/>
      <c r="CF274" s="173"/>
      <c r="CG274" s="173"/>
      <c r="CH274" s="173"/>
      <c r="CI274" s="174"/>
    </row>
    <row r="275" s="147" customFormat="1" ht="14.6" spans="1:87">
      <c r="A275" s="175" t="s">
        <v>252</v>
      </c>
      <c r="B275" s="176"/>
      <c r="C275" s="177">
        <f t="shared" si="72"/>
        <v>1157</v>
      </c>
      <c r="D275" s="178">
        <f t="shared" si="60"/>
        <v>979</v>
      </c>
      <c r="E275" s="178">
        <f t="shared" si="61"/>
        <v>534</v>
      </c>
      <c r="F275" s="178">
        <f t="shared" si="62"/>
        <v>1780</v>
      </c>
      <c r="G275" s="179">
        <f t="shared" si="63"/>
        <v>4450</v>
      </c>
      <c r="H275" s="177">
        <f t="shared" si="73"/>
        <v>1157</v>
      </c>
      <c r="I275" s="178">
        <f t="shared" si="64"/>
        <v>979</v>
      </c>
      <c r="J275" s="178">
        <f t="shared" si="65"/>
        <v>534</v>
      </c>
      <c r="K275" s="178">
        <f t="shared" si="66"/>
        <v>1780</v>
      </c>
      <c r="L275" s="179">
        <f t="shared" si="67"/>
        <v>4450</v>
      </c>
      <c r="M275" s="177"/>
      <c r="N275" s="178"/>
      <c r="O275" s="178"/>
      <c r="P275" s="178"/>
      <c r="Q275" s="179"/>
      <c r="R275" s="177"/>
      <c r="S275" s="178"/>
      <c r="T275" s="178"/>
      <c r="U275" s="178"/>
      <c r="V275" s="179"/>
      <c r="W275" s="177"/>
      <c r="X275" s="178"/>
      <c r="Y275" s="178"/>
      <c r="Z275" s="178"/>
      <c r="AA275" s="179"/>
      <c r="AB275" s="177"/>
      <c r="AC275" s="178">
        <v>178</v>
      </c>
      <c r="AD275" s="178">
        <v>267</v>
      </c>
      <c r="AE275" s="178">
        <v>623</v>
      </c>
      <c r="AF275" s="179">
        <v>1068</v>
      </c>
      <c r="AG275" s="177"/>
      <c r="AH275" s="178"/>
      <c r="AI275" s="178"/>
      <c r="AJ275" s="178"/>
      <c r="AK275" s="179"/>
      <c r="AL275" s="177"/>
      <c r="AM275" s="178"/>
      <c r="AN275" s="178"/>
      <c r="AO275" s="178"/>
      <c r="AP275" s="179"/>
      <c r="AQ275" s="177"/>
      <c r="AR275" s="178"/>
      <c r="AS275" s="178"/>
      <c r="AT275" s="178"/>
      <c r="AU275" s="179"/>
      <c r="AV275" s="177">
        <v>1157</v>
      </c>
      <c r="AW275" s="178">
        <v>801</v>
      </c>
      <c r="AX275" s="178">
        <v>267</v>
      </c>
      <c r="AY275" s="178">
        <v>1157</v>
      </c>
      <c r="AZ275" s="179">
        <v>3382</v>
      </c>
      <c r="BA275" s="177"/>
      <c r="BB275" s="178"/>
      <c r="BC275" s="178"/>
      <c r="BD275" s="178"/>
      <c r="BE275" s="179"/>
      <c r="BF275" s="177">
        <f t="shared" si="74"/>
        <v>0</v>
      </c>
      <c r="BG275" s="178">
        <f t="shared" si="68"/>
        <v>0</v>
      </c>
      <c r="BH275" s="178">
        <f t="shared" si="69"/>
        <v>0</v>
      </c>
      <c r="BI275" s="178">
        <f t="shared" si="70"/>
        <v>0</v>
      </c>
      <c r="BJ275" s="179">
        <f t="shared" si="71"/>
        <v>0</v>
      </c>
      <c r="BK275" s="177"/>
      <c r="BL275" s="178"/>
      <c r="BM275" s="178"/>
      <c r="BN275" s="178"/>
      <c r="BO275" s="179"/>
      <c r="BP275" s="177"/>
      <c r="BQ275" s="178"/>
      <c r="BR275" s="178"/>
      <c r="BS275" s="178"/>
      <c r="BT275" s="179"/>
      <c r="BU275" s="177"/>
      <c r="BV275" s="178"/>
      <c r="BW275" s="178"/>
      <c r="BX275" s="178"/>
      <c r="BY275" s="179"/>
      <c r="BZ275" s="177"/>
      <c r="CA275" s="178"/>
      <c r="CB275" s="178"/>
      <c r="CC275" s="178"/>
      <c r="CD275" s="179"/>
      <c r="CE275" s="177"/>
      <c r="CF275" s="178"/>
      <c r="CG275" s="178"/>
      <c r="CH275" s="178"/>
      <c r="CI275" s="179"/>
    </row>
    <row r="276" spans="1:87">
      <c r="A276" s="170" t="s">
        <v>253</v>
      </c>
      <c r="B276" s="171" t="s">
        <v>26</v>
      </c>
      <c r="C276" s="172">
        <f t="shared" si="72"/>
        <v>1518</v>
      </c>
      <c r="D276" s="173">
        <f t="shared" si="60"/>
        <v>2139</v>
      </c>
      <c r="E276" s="173">
        <f t="shared" si="61"/>
        <v>621</v>
      </c>
      <c r="F276" s="173">
        <f t="shared" si="62"/>
        <v>138</v>
      </c>
      <c r="G276" s="174">
        <f t="shared" si="63"/>
        <v>4416</v>
      </c>
      <c r="H276" s="172">
        <f t="shared" si="73"/>
        <v>1518</v>
      </c>
      <c r="I276" s="173">
        <f t="shared" si="64"/>
        <v>2139</v>
      </c>
      <c r="J276" s="173">
        <f t="shared" si="65"/>
        <v>621</v>
      </c>
      <c r="K276" s="173">
        <f t="shared" si="66"/>
        <v>138</v>
      </c>
      <c r="L276" s="174">
        <f t="shared" si="67"/>
        <v>4416</v>
      </c>
      <c r="M276" s="172">
        <v>69</v>
      </c>
      <c r="N276" s="173"/>
      <c r="O276" s="173"/>
      <c r="P276" s="173"/>
      <c r="Q276" s="174">
        <v>69</v>
      </c>
      <c r="R276" s="172">
        <v>69</v>
      </c>
      <c r="S276" s="173">
        <v>207</v>
      </c>
      <c r="T276" s="173">
        <v>276</v>
      </c>
      <c r="U276" s="173">
        <v>138</v>
      </c>
      <c r="V276" s="174">
        <v>690</v>
      </c>
      <c r="W276" s="172"/>
      <c r="X276" s="173"/>
      <c r="Y276" s="173"/>
      <c r="Z276" s="173"/>
      <c r="AA276" s="174"/>
      <c r="AB276" s="172">
        <v>759</v>
      </c>
      <c r="AC276" s="173">
        <v>1104</v>
      </c>
      <c r="AD276" s="173">
        <v>345</v>
      </c>
      <c r="AE276" s="173"/>
      <c r="AF276" s="174">
        <v>2208</v>
      </c>
      <c r="AG276" s="172"/>
      <c r="AH276" s="173"/>
      <c r="AI276" s="173"/>
      <c r="AJ276" s="173"/>
      <c r="AK276" s="174"/>
      <c r="AL276" s="172"/>
      <c r="AM276" s="173"/>
      <c r="AN276" s="173"/>
      <c r="AO276" s="173"/>
      <c r="AP276" s="174"/>
      <c r="AQ276" s="172">
        <v>345</v>
      </c>
      <c r="AR276" s="173">
        <v>759</v>
      </c>
      <c r="AS276" s="173"/>
      <c r="AT276" s="173"/>
      <c r="AU276" s="174">
        <v>1104</v>
      </c>
      <c r="AV276" s="172">
        <v>69</v>
      </c>
      <c r="AW276" s="173"/>
      <c r="AX276" s="173"/>
      <c r="AY276" s="173"/>
      <c r="AZ276" s="174">
        <v>69</v>
      </c>
      <c r="BA276" s="172">
        <v>207</v>
      </c>
      <c r="BB276" s="173">
        <v>69</v>
      </c>
      <c r="BC276" s="173"/>
      <c r="BD276" s="173"/>
      <c r="BE276" s="174">
        <v>276</v>
      </c>
      <c r="BF276" s="172">
        <f t="shared" si="74"/>
        <v>0</v>
      </c>
      <c r="BG276" s="173">
        <f t="shared" si="68"/>
        <v>0</v>
      </c>
      <c r="BH276" s="173">
        <f t="shared" si="69"/>
        <v>0</v>
      </c>
      <c r="BI276" s="173">
        <f t="shared" si="70"/>
        <v>0</v>
      </c>
      <c r="BJ276" s="174">
        <f t="shared" si="71"/>
        <v>0</v>
      </c>
      <c r="BK276" s="172"/>
      <c r="BL276" s="173"/>
      <c r="BM276" s="173"/>
      <c r="BN276" s="173"/>
      <c r="BO276" s="174"/>
      <c r="BP276" s="172"/>
      <c r="BQ276" s="173"/>
      <c r="BR276" s="173"/>
      <c r="BS276" s="173"/>
      <c r="BT276" s="174"/>
      <c r="BU276" s="172"/>
      <c r="BV276" s="173"/>
      <c r="BW276" s="173"/>
      <c r="BX276" s="173"/>
      <c r="BY276" s="174"/>
      <c r="BZ276" s="172"/>
      <c r="CA276" s="173"/>
      <c r="CB276" s="173"/>
      <c r="CC276" s="173"/>
      <c r="CD276" s="174"/>
      <c r="CE276" s="172"/>
      <c r="CF276" s="173"/>
      <c r="CG276" s="173"/>
      <c r="CH276" s="173"/>
      <c r="CI276" s="174"/>
    </row>
    <row r="277" s="147" customFormat="1" ht="14.6" spans="1:87">
      <c r="A277" s="175" t="s">
        <v>254</v>
      </c>
      <c r="B277" s="176"/>
      <c r="C277" s="177">
        <f t="shared" si="72"/>
        <v>1518</v>
      </c>
      <c r="D277" s="178">
        <f t="shared" si="60"/>
        <v>2139</v>
      </c>
      <c r="E277" s="178">
        <f t="shared" si="61"/>
        <v>621</v>
      </c>
      <c r="F277" s="178">
        <f t="shared" si="62"/>
        <v>138</v>
      </c>
      <c r="G277" s="179">
        <f t="shared" si="63"/>
        <v>4416</v>
      </c>
      <c r="H277" s="177">
        <f t="shared" si="73"/>
        <v>1518</v>
      </c>
      <c r="I277" s="178">
        <f t="shared" si="64"/>
        <v>2139</v>
      </c>
      <c r="J277" s="178">
        <f t="shared" si="65"/>
        <v>621</v>
      </c>
      <c r="K277" s="178">
        <f t="shared" si="66"/>
        <v>138</v>
      </c>
      <c r="L277" s="179">
        <f t="shared" si="67"/>
        <v>4416</v>
      </c>
      <c r="M277" s="177">
        <v>69</v>
      </c>
      <c r="N277" s="178"/>
      <c r="O277" s="178"/>
      <c r="P277" s="178"/>
      <c r="Q277" s="179">
        <v>69</v>
      </c>
      <c r="R277" s="177">
        <v>69</v>
      </c>
      <c r="S277" s="178">
        <v>207</v>
      </c>
      <c r="T277" s="178">
        <v>276</v>
      </c>
      <c r="U277" s="178">
        <v>138</v>
      </c>
      <c r="V277" s="179">
        <v>690</v>
      </c>
      <c r="W277" s="177"/>
      <c r="X277" s="178"/>
      <c r="Y277" s="178"/>
      <c r="Z277" s="178"/>
      <c r="AA277" s="179"/>
      <c r="AB277" s="177">
        <v>759</v>
      </c>
      <c r="AC277" s="178">
        <v>1104</v>
      </c>
      <c r="AD277" s="178">
        <v>345</v>
      </c>
      <c r="AE277" s="178"/>
      <c r="AF277" s="179">
        <v>2208</v>
      </c>
      <c r="AG277" s="177"/>
      <c r="AH277" s="178"/>
      <c r="AI277" s="178"/>
      <c r="AJ277" s="178"/>
      <c r="AK277" s="179"/>
      <c r="AL277" s="177"/>
      <c r="AM277" s="178"/>
      <c r="AN277" s="178"/>
      <c r="AO277" s="178"/>
      <c r="AP277" s="179"/>
      <c r="AQ277" s="177">
        <v>345</v>
      </c>
      <c r="AR277" s="178">
        <v>759</v>
      </c>
      <c r="AS277" s="178"/>
      <c r="AT277" s="178"/>
      <c r="AU277" s="179">
        <v>1104</v>
      </c>
      <c r="AV277" s="177">
        <v>69</v>
      </c>
      <c r="AW277" s="178"/>
      <c r="AX277" s="178"/>
      <c r="AY277" s="178"/>
      <c r="AZ277" s="179">
        <v>69</v>
      </c>
      <c r="BA277" s="177">
        <v>207</v>
      </c>
      <c r="BB277" s="178">
        <v>69</v>
      </c>
      <c r="BC277" s="178"/>
      <c r="BD277" s="178"/>
      <c r="BE277" s="179">
        <v>276</v>
      </c>
      <c r="BF277" s="177">
        <f t="shared" si="74"/>
        <v>0</v>
      </c>
      <c r="BG277" s="178">
        <f t="shared" si="68"/>
        <v>0</v>
      </c>
      <c r="BH277" s="178">
        <f t="shared" si="69"/>
        <v>0</v>
      </c>
      <c r="BI277" s="178">
        <f t="shared" si="70"/>
        <v>0</v>
      </c>
      <c r="BJ277" s="179">
        <f t="shared" si="71"/>
        <v>0</v>
      </c>
      <c r="BK277" s="177"/>
      <c r="BL277" s="178"/>
      <c r="BM277" s="178"/>
      <c r="BN277" s="178"/>
      <c r="BO277" s="179"/>
      <c r="BP277" s="177"/>
      <c r="BQ277" s="178"/>
      <c r="BR277" s="178"/>
      <c r="BS277" s="178"/>
      <c r="BT277" s="179"/>
      <c r="BU277" s="177"/>
      <c r="BV277" s="178"/>
      <c r="BW277" s="178"/>
      <c r="BX277" s="178"/>
      <c r="BY277" s="179"/>
      <c r="BZ277" s="177"/>
      <c r="CA277" s="178"/>
      <c r="CB277" s="178"/>
      <c r="CC277" s="178"/>
      <c r="CD277" s="179"/>
      <c r="CE277" s="177"/>
      <c r="CF277" s="178"/>
      <c r="CG277" s="178"/>
      <c r="CH277" s="178"/>
      <c r="CI277" s="179"/>
    </row>
    <row r="278" spans="1:87">
      <c r="A278" s="170" t="s">
        <v>255</v>
      </c>
      <c r="B278" s="171" t="s">
        <v>26</v>
      </c>
      <c r="C278" s="172">
        <f t="shared" si="72"/>
        <v>995</v>
      </c>
      <c r="D278" s="173">
        <f t="shared" si="60"/>
        <v>1990</v>
      </c>
      <c r="E278" s="173">
        <f t="shared" si="61"/>
        <v>597</v>
      </c>
      <c r="F278" s="173">
        <f t="shared" si="62"/>
        <v>796</v>
      </c>
      <c r="G278" s="174">
        <f t="shared" si="63"/>
        <v>4378</v>
      </c>
      <c r="H278" s="172">
        <f t="shared" si="73"/>
        <v>199</v>
      </c>
      <c r="I278" s="173">
        <f t="shared" si="64"/>
        <v>995</v>
      </c>
      <c r="J278" s="173">
        <f t="shared" si="65"/>
        <v>199</v>
      </c>
      <c r="K278" s="173">
        <f t="shared" si="66"/>
        <v>199</v>
      </c>
      <c r="L278" s="174">
        <f t="shared" si="67"/>
        <v>1592</v>
      </c>
      <c r="M278" s="172"/>
      <c r="N278" s="173"/>
      <c r="O278" s="173"/>
      <c r="P278" s="173"/>
      <c r="Q278" s="174"/>
      <c r="R278" s="172"/>
      <c r="S278" s="173"/>
      <c r="T278" s="173"/>
      <c r="U278" s="173"/>
      <c r="V278" s="174"/>
      <c r="W278" s="172"/>
      <c r="X278" s="173"/>
      <c r="Y278" s="173"/>
      <c r="Z278" s="173"/>
      <c r="AA278" s="174"/>
      <c r="AB278" s="172"/>
      <c r="AC278" s="173">
        <v>796</v>
      </c>
      <c r="AD278" s="173">
        <v>199</v>
      </c>
      <c r="AE278" s="173"/>
      <c r="AF278" s="174">
        <v>995</v>
      </c>
      <c r="AG278" s="172"/>
      <c r="AH278" s="173"/>
      <c r="AI278" s="173"/>
      <c r="AJ278" s="173"/>
      <c r="AK278" s="174"/>
      <c r="AL278" s="172"/>
      <c r="AM278" s="173"/>
      <c r="AN278" s="173"/>
      <c r="AO278" s="173"/>
      <c r="AP278" s="174"/>
      <c r="AQ278" s="172"/>
      <c r="AR278" s="173"/>
      <c r="AS278" s="173"/>
      <c r="AT278" s="173"/>
      <c r="AU278" s="174"/>
      <c r="AV278" s="172"/>
      <c r="AW278" s="173"/>
      <c r="AX278" s="173"/>
      <c r="AY278" s="173"/>
      <c r="AZ278" s="174"/>
      <c r="BA278" s="172">
        <v>199</v>
      </c>
      <c r="BB278" s="173">
        <v>199</v>
      </c>
      <c r="BC278" s="173"/>
      <c r="BD278" s="173">
        <v>199</v>
      </c>
      <c r="BE278" s="174">
        <v>597</v>
      </c>
      <c r="BF278" s="172">
        <f t="shared" si="74"/>
        <v>796</v>
      </c>
      <c r="BG278" s="173">
        <f t="shared" si="68"/>
        <v>995</v>
      </c>
      <c r="BH278" s="173">
        <f t="shared" si="69"/>
        <v>398</v>
      </c>
      <c r="BI278" s="173">
        <f t="shared" si="70"/>
        <v>597</v>
      </c>
      <c r="BJ278" s="174">
        <f t="shared" si="71"/>
        <v>2786</v>
      </c>
      <c r="BK278" s="172"/>
      <c r="BL278" s="173"/>
      <c r="BM278" s="173"/>
      <c r="BN278" s="173"/>
      <c r="BO278" s="174"/>
      <c r="BP278" s="172"/>
      <c r="BQ278" s="173"/>
      <c r="BR278" s="173"/>
      <c r="BS278" s="173"/>
      <c r="BT278" s="174"/>
      <c r="BU278" s="172">
        <v>796</v>
      </c>
      <c r="BV278" s="173">
        <v>995</v>
      </c>
      <c r="BW278" s="173">
        <v>398</v>
      </c>
      <c r="BX278" s="173">
        <v>597</v>
      </c>
      <c r="BY278" s="174">
        <v>2786</v>
      </c>
      <c r="BZ278" s="172"/>
      <c r="CA278" s="173"/>
      <c r="CB278" s="173"/>
      <c r="CC278" s="173"/>
      <c r="CD278" s="174"/>
      <c r="CE278" s="172"/>
      <c r="CF278" s="173"/>
      <c r="CG278" s="173"/>
      <c r="CH278" s="173"/>
      <c r="CI278" s="174"/>
    </row>
    <row r="279" s="147" customFormat="1" ht="14.6" spans="1:87">
      <c r="A279" s="175" t="s">
        <v>256</v>
      </c>
      <c r="B279" s="176"/>
      <c r="C279" s="177">
        <f t="shared" si="72"/>
        <v>995</v>
      </c>
      <c r="D279" s="178">
        <f t="shared" si="60"/>
        <v>1990</v>
      </c>
      <c r="E279" s="178">
        <f t="shared" si="61"/>
        <v>597</v>
      </c>
      <c r="F279" s="178">
        <f t="shared" si="62"/>
        <v>796</v>
      </c>
      <c r="G279" s="179">
        <f t="shared" si="63"/>
        <v>4378</v>
      </c>
      <c r="H279" s="177">
        <f t="shared" si="73"/>
        <v>199</v>
      </c>
      <c r="I279" s="178">
        <f t="shared" si="64"/>
        <v>995</v>
      </c>
      <c r="J279" s="178">
        <f t="shared" si="65"/>
        <v>199</v>
      </c>
      <c r="K279" s="178">
        <f t="shared" si="66"/>
        <v>199</v>
      </c>
      <c r="L279" s="179">
        <f t="shared" si="67"/>
        <v>1592</v>
      </c>
      <c r="M279" s="177"/>
      <c r="N279" s="178"/>
      <c r="O279" s="178"/>
      <c r="P279" s="178"/>
      <c r="Q279" s="179"/>
      <c r="R279" s="177"/>
      <c r="S279" s="178"/>
      <c r="T279" s="178"/>
      <c r="U279" s="178"/>
      <c r="V279" s="179"/>
      <c r="W279" s="177"/>
      <c r="X279" s="178"/>
      <c r="Y279" s="178"/>
      <c r="Z279" s="178"/>
      <c r="AA279" s="179"/>
      <c r="AB279" s="177"/>
      <c r="AC279" s="178">
        <v>796</v>
      </c>
      <c r="AD279" s="178">
        <v>199</v>
      </c>
      <c r="AE279" s="178"/>
      <c r="AF279" s="179">
        <v>995</v>
      </c>
      <c r="AG279" s="177"/>
      <c r="AH279" s="178"/>
      <c r="AI279" s="178"/>
      <c r="AJ279" s="178"/>
      <c r="AK279" s="179"/>
      <c r="AL279" s="177"/>
      <c r="AM279" s="178"/>
      <c r="AN279" s="178"/>
      <c r="AO279" s="178"/>
      <c r="AP279" s="179"/>
      <c r="AQ279" s="177"/>
      <c r="AR279" s="178"/>
      <c r="AS279" s="178"/>
      <c r="AT279" s="178"/>
      <c r="AU279" s="179"/>
      <c r="AV279" s="177"/>
      <c r="AW279" s="178"/>
      <c r="AX279" s="178"/>
      <c r="AY279" s="178"/>
      <c r="AZ279" s="179"/>
      <c r="BA279" s="177">
        <v>199</v>
      </c>
      <c r="BB279" s="178">
        <v>199</v>
      </c>
      <c r="BC279" s="178"/>
      <c r="BD279" s="178">
        <v>199</v>
      </c>
      <c r="BE279" s="179">
        <v>597</v>
      </c>
      <c r="BF279" s="177">
        <f t="shared" si="74"/>
        <v>796</v>
      </c>
      <c r="BG279" s="178">
        <f t="shared" si="68"/>
        <v>995</v>
      </c>
      <c r="BH279" s="178">
        <f t="shared" si="69"/>
        <v>398</v>
      </c>
      <c r="BI279" s="178">
        <f t="shared" si="70"/>
        <v>597</v>
      </c>
      <c r="BJ279" s="179">
        <f t="shared" si="71"/>
        <v>2786</v>
      </c>
      <c r="BK279" s="177"/>
      <c r="BL279" s="178"/>
      <c r="BM279" s="178"/>
      <c r="BN279" s="178"/>
      <c r="BO279" s="179"/>
      <c r="BP279" s="177"/>
      <c r="BQ279" s="178"/>
      <c r="BR279" s="178"/>
      <c r="BS279" s="178"/>
      <c r="BT279" s="179"/>
      <c r="BU279" s="177">
        <v>796</v>
      </c>
      <c r="BV279" s="178">
        <v>995</v>
      </c>
      <c r="BW279" s="178">
        <v>398</v>
      </c>
      <c r="BX279" s="178">
        <v>597</v>
      </c>
      <c r="BY279" s="179">
        <v>2786</v>
      </c>
      <c r="BZ279" s="177"/>
      <c r="CA279" s="178"/>
      <c r="CB279" s="178"/>
      <c r="CC279" s="178"/>
      <c r="CD279" s="179"/>
      <c r="CE279" s="177"/>
      <c r="CF279" s="178"/>
      <c r="CG279" s="178"/>
      <c r="CH279" s="178"/>
      <c r="CI279" s="179"/>
    </row>
    <row r="280" spans="1:87">
      <c r="A280" s="170" t="s">
        <v>257</v>
      </c>
      <c r="B280" s="171" t="s">
        <v>26</v>
      </c>
      <c r="C280" s="172">
        <f t="shared" si="72"/>
        <v>2478</v>
      </c>
      <c r="D280" s="173">
        <f t="shared" si="60"/>
        <v>1534</v>
      </c>
      <c r="E280" s="173">
        <f t="shared" si="61"/>
        <v>177</v>
      </c>
      <c r="F280" s="173">
        <f t="shared" si="62"/>
        <v>0</v>
      </c>
      <c r="G280" s="174">
        <f t="shared" si="63"/>
        <v>4189</v>
      </c>
      <c r="H280" s="172">
        <f t="shared" si="73"/>
        <v>2478</v>
      </c>
      <c r="I280" s="173">
        <f t="shared" si="64"/>
        <v>1534</v>
      </c>
      <c r="J280" s="173">
        <f t="shared" si="65"/>
        <v>177</v>
      </c>
      <c r="K280" s="173">
        <f t="shared" si="66"/>
        <v>0</v>
      </c>
      <c r="L280" s="174">
        <f t="shared" si="67"/>
        <v>4189</v>
      </c>
      <c r="M280" s="172"/>
      <c r="N280" s="173"/>
      <c r="O280" s="173"/>
      <c r="P280" s="173"/>
      <c r="Q280" s="174"/>
      <c r="R280" s="172"/>
      <c r="S280" s="173"/>
      <c r="T280" s="173"/>
      <c r="U280" s="173"/>
      <c r="V280" s="174"/>
      <c r="W280" s="172"/>
      <c r="X280" s="173"/>
      <c r="Y280" s="173"/>
      <c r="Z280" s="173"/>
      <c r="AA280" s="174"/>
      <c r="AB280" s="172">
        <v>2478</v>
      </c>
      <c r="AC280" s="173">
        <v>1534</v>
      </c>
      <c r="AD280" s="173">
        <v>177</v>
      </c>
      <c r="AE280" s="173"/>
      <c r="AF280" s="174">
        <v>4189</v>
      </c>
      <c r="AG280" s="172"/>
      <c r="AH280" s="173"/>
      <c r="AI280" s="173"/>
      <c r="AJ280" s="173"/>
      <c r="AK280" s="174"/>
      <c r="AL280" s="172"/>
      <c r="AM280" s="173"/>
      <c r="AN280" s="173"/>
      <c r="AO280" s="173"/>
      <c r="AP280" s="174"/>
      <c r="AQ280" s="172"/>
      <c r="AR280" s="173"/>
      <c r="AS280" s="173"/>
      <c r="AT280" s="173"/>
      <c r="AU280" s="174"/>
      <c r="AV280" s="172"/>
      <c r="AW280" s="173"/>
      <c r="AX280" s="173"/>
      <c r="AY280" s="173"/>
      <c r="AZ280" s="174"/>
      <c r="BA280" s="172"/>
      <c r="BB280" s="173"/>
      <c r="BC280" s="173"/>
      <c r="BD280" s="173"/>
      <c r="BE280" s="174"/>
      <c r="BF280" s="172">
        <f t="shared" si="74"/>
        <v>0</v>
      </c>
      <c r="BG280" s="173">
        <f t="shared" si="68"/>
        <v>0</v>
      </c>
      <c r="BH280" s="173">
        <f t="shared" si="69"/>
        <v>0</v>
      </c>
      <c r="BI280" s="173">
        <f t="shared" si="70"/>
        <v>0</v>
      </c>
      <c r="BJ280" s="174">
        <f t="shared" si="71"/>
        <v>0</v>
      </c>
      <c r="BK280" s="172"/>
      <c r="BL280" s="173"/>
      <c r="BM280" s="173"/>
      <c r="BN280" s="173"/>
      <c r="BO280" s="174"/>
      <c r="BP280" s="172"/>
      <c r="BQ280" s="173"/>
      <c r="BR280" s="173"/>
      <c r="BS280" s="173"/>
      <c r="BT280" s="174"/>
      <c r="BU280" s="172"/>
      <c r="BV280" s="173"/>
      <c r="BW280" s="173"/>
      <c r="BX280" s="173"/>
      <c r="BY280" s="174"/>
      <c r="BZ280" s="172"/>
      <c r="CA280" s="173"/>
      <c r="CB280" s="173"/>
      <c r="CC280" s="173"/>
      <c r="CD280" s="174"/>
      <c r="CE280" s="172"/>
      <c r="CF280" s="173"/>
      <c r="CG280" s="173"/>
      <c r="CH280" s="173"/>
      <c r="CI280" s="174"/>
    </row>
    <row r="281" s="147" customFormat="1" ht="14.6" spans="1:87">
      <c r="A281" s="175" t="s">
        <v>258</v>
      </c>
      <c r="B281" s="176"/>
      <c r="C281" s="177">
        <f t="shared" si="72"/>
        <v>2478</v>
      </c>
      <c r="D281" s="178">
        <f t="shared" si="60"/>
        <v>1534</v>
      </c>
      <c r="E281" s="178">
        <f t="shared" si="61"/>
        <v>177</v>
      </c>
      <c r="F281" s="178">
        <f t="shared" si="62"/>
        <v>0</v>
      </c>
      <c r="G281" s="179">
        <f t="shared" si="63"/>
        <v>4189</v>
      </c>
      <c r="H281" s="177">
        <f t="shared" si="73"/>
        <v>2478</v>
      </c>
      <c r="I281" s="178">
        <f t="shared" si="64"/>
        <v>1534</v>
      </c>
      <c r="J281" s="178">
        <f t="shared" si="65"/>
        <v>177</v>
      </c>
      <c r="K281" s="178">
        <f t="shared" si="66"/>
        <v>0</v>
      </c>
      <c r="L281" s="179">
        <f t="shared" si="67"/>
        <v>4189</v>
      </c>
      <c r="M281" s="177"/>
      <c r="N281" s="178"/>
      <c r="O281" s="178"/>
      <c r="P281" s="178"/>
      <c r="Q281" s="179"/>
      <c r="R281" s="177"/>
      <c r="S281" s="178"/>
      <c r="T281" s="178"/>
      <c r="U281" s="178"/>
      <c r="V281" s="179"/>
      <c r="W281" s="177"/>
      <c r="X281" s="178"/>
      <c r="Y281" s="178"/>
      <c r="Z281" s="178"/>
      <c r="AA281" s="179"/>
      <c r="AB281" s="177">
        <v>2478</v>
      </c>
      <c r="AC281" s="178">
        <v>1534</v>
      </c>
      <c r="AD281" s="178">
        <v>177</v>
      </c>
      <c r="AE281" s="178"/>
      <c r="AF281" s="179">
        <v>4189</v>
      </c>
      <c r="AG281" s="177"/>
      <c r="AH281" s="178"/>
      <c r="AI281" s="178"/>
      <c r="AJ281" s="178"/>
      <c r="AK281" s="179"/>
      <c r="AL281" s="177"/>
      <c r="AM281" s="178"/>
      <c r="AN281" s="178"/>
      <c r="AO281" s="178"/>
      <c r="AP281" s="179"/>
      <c r="AQ281" s="177"/>
      <c r="AR281" s="178"/>
      <c r="AS281" s="178"/>
      <c r="AT281" s="178"/>
      <c r="AU281" s="179"/>
      <c r="AV281" s="177"/>
      <c r="AW281" s="178"/>
      <c r="AX281" s="178"/>
      <c r="AY281" s="178"/>
      <c r="AZ281" s="179"/>
      <c r="BA281" s="177"/>
      <c r="BB281" s="178"/>
      <c r="BC281" s="178"/>
      <c r="BD281" s="178"/>
      <c r="BE281" s="179"/>
      <c r="BF281" s="177">
        <f t="shared" si="74"/>
        <v>0</v>
      </c>
      <c r="BG281" s="178">
        <f t="shared" si="68"/>
        <v>0</v>
      </c>
      <c r="BH281" s="178">
        <f t="shared" si="69"/>
        <v>0</v>
      </c>
      <c r="BI281" s="178">
        <f t="shared" si="70"/>
        <v>0</v>
      </c>
      <c r="BJ281" s="179">
        <f t="shared" si="71"/>
        <v>0</v>
      </c>
      <c r="BK281" s="177"/>
      <c r="BL281" s="178"/>
      <c r="BM281" s="178"/>
      <c r="BN281" s="178"/>
      <c r="BO281" s="179"/>
      <c r="BP281" s="177"/>
      <c r="BQ281" s="178"/>
      <c r="BR281" s="178"/>
      <c r="BS281" s="178"/>
      <c r="BT281" s="179"/>
      <c r="BU281" s="177"/>
      <c r="BV281" s="178"/>
      <c r="BW281" s="178"/>
      <c r="BX281" s="178"/>
      <c r="BY281" s="179"/>
      <c r="BZ281" s="177"/>
      <c r="CA281" s="178"/>
      <c r="CB281" s="178"/>
      <c r="CC281" s="178"/>
      <c r="CD281" s="179"/>
      <c r="CE281" s="177"/>
      <c r="CF281" s="178"/>
      <c r="CG281" s="178"/>
      <c r="CH281" s="178"/>
      <c r="CI281" s="179"/>
    </row>
    <row r="282" spans="1:87">
      <c r="A282" s="170" t="s">
        <v>259</v>
      </c>
      <c r="B282" s="171" t="s">
        <v>26</v>
      </c>
      <c r="C282" s="172">
        <f t="shared" si="72"/>
        <v>2193</v>
      </c>
      <c r="D282" s="173">
        <f t="shared" si="60"/>
        <v>414</v>
      </c>
      <c r="E282" s="173">
        <f t="shared" si="61"/>
        <v>966</v>
      </c>
      <c r="F282" s="173">
        <f t="shared" si="62"/>
        <v>414</v>
      </c>
      <c r="G282" s="174">
        <f t="shared" si="63"/>
        <v>3987</v>
      </c>
      <c r="H282" s="172">
        <f t="shared" si="73"/>
        <v>951</v>
      </c>
      <c r="I282" s="173">
        <f t="shared" si="64"/>
        <v>207</v>
      </c>
      <c r="J282" s="173">
        <f t="shared" si="65"/>
        <v>966</v>
      </c>
      <c r="K282" s="173">
        <f t="shared" si="66"/>
        <v>345</v>
      </c>
      <c r="L282" s="174">
        <f t="shared" si="67"/>
        <v>2469</v>
      </c>
      <c r="M282" s="172"/>
      <c r="N282" s="173"/>
      <c r="O282" s="173"/>
      <c r="P282" s="173"/>
      <c r="Q282" s="174"/>
      <c r="R282" s="172">
        <v>345</v>
      </c>
      <c r="S282" s="173">
        <v>207</v>
      </c>
      <c r="T282" s="173">
        <v>966</v>
      </c>
      <c r="U282" s="173">
        <v>276</v>
      </c>
      <c r="V282" s="174">
        <v>1794</v>
      </c>
      <c r="W282" s="172"/>
      <c r="X282" s="173"/>
      <c r="Y282" s="173"/>
      <c r="Z282" s="173"/>
      <c r="AA282" s="174"/>
      <c r="AB282" s="172">
        <v>399</v>
      </c>
      <c r="AC282" s="173"/>
      <c r="AD282" s="173"/>
      <c r="AE282" s="173">
        <v>69</v>
      </c>
      <c r="AF282" s="174">
        <v>468</v>
      </c>
      <c r="AG282" s="172"/>
      <c r="AH282" s="173"/>
      <c r="AI282" s="173"/>
      <c r="AJ282" s="173"/>
      <c r="AK282" s="174"/>
      <c r="AL282" s="172"/>
      <c r="AM282" s="173"/>
      <c r="AN282" s="173"/>
      <c r="AO282" s="173"/>
      <c r="AP282" s="174"/>
      <c r="AQ282" s="172"/>
      <c r="AR282" s="173"/>
      <c r="AS282" s="173"/>
      <c r="AT282" s="173"/>
      <c r="AU282" s="174"/>
      <c r="AV282" s="172"/>
      <c r="AW282" s="173"/>
      <c r="AX282" s="173"/>
      <c r="AY282" s="173"/>
      <c r="AZ282" s="174"/>
      <c r="BA282" s="172">
        <v>207</v>
      </c>
      <c r="BB282" s="173"/>
      <c r="BC282" s="173">
        <v>0</v>
      </c>
      <c r="BD282" s="173"/>
      <c r="BE282" s="174">
        <v>207</v>
      </c>
      <c r="BF282" s="172">
        <f t="shared" si="74"/>
        <v>1242</v>
      </c>
      <c r="BG282" s="173">
        <f t="shared" si="68"/>
        <v>207</v>
      </c>
      <c r="BH282" s="173">
        <f t="shared" si="69"/>
        <v>0</v>
      </c>
      <c r="BI282" s="173">
        <f t="shared" si="70"/>
        <v>69</v>
      </c>
      <c r="BJ282" s="174">
        <f t="shared" si="71"/>
        <v>1518</v>
      </c>
      <c r="BK282" s="172"/>
      <c r="BL282" s="173"/>
      <c r="BM282" s="173"/>
      <c r="BN282" s="173"/>
      <c r="BO282" s="174"/>
      <c r="BP282" s="172">
        <v>1242</v>
      </c>
      <c r="BQ282" s="173">
        <v>207</v>
      </c>
      <c r="BR282" s="173"/>
      <c r="BS282" s="173">
        <v>69</v>
      </c>
      <c r="BT282" s="174">
        <v>1518</v>
      </c>
      <c r="BU282" s="172"/>
      <c r="BV282" s="173"/>
      <c r="BW282" s="173"/>
      <c r="BX282" s="173"/>
      <c r="BY282" s="174"/>
      <c r="BZ282" s="172"/>
      <c r="CA282" s="173"/>
      <c r="CB282" s="173"/>
      <c r="CC282" s="173"/>
      <c r="CD282" s="174"/>
      <c r="CE282" s="172"/>
      <c r="CF282" s="173"/>
      <c r="CG282" s="173"/>
      <c r="CH282" s="173"/>
      <c r="CI282" s="174"/>
    </row>
    <row r="283" s="147" customFormat="1" ht="14.6" spans="1:87">
      <c r="A283" s="175" t="s">
        <v>260</v>
      </c>
      <c r="B283" s="176"/>
      <c r="C283" s="177">
        <f t="shared" si="72"/>
        <v>2193</v>
      </c>
      <c r="D283" s="178">
        <f t="shared" si="60"/>
        <v>414</v>
      </c>
      <c r="E283" s="178">
        <f t="shared" si="61"/>
        <v>966</v>
      </c>
      <c r="F283" s="178">
        <f t="shared" si="62"/>
        <v>414</v>
      </c>
      <c r="G283" s="179">
        <f t="shared" si="63"/>
        <v>3987</v>
      </c>
      <c r="H283" s="177">
        <f t="shared" si="73"/>
        <v>951</v>
      </c>
      <c r="I283" s="178">
        <f t="shared" si="64"/>
        <v>207</v>
      </c>
      <c r="J283" s="178">
        <f t="shared" si="65"/>
        <v>966</v>
      </c>
      <c r="K283" s="178">
        <f t="shared" si="66"/>
        <v>345</v>
      </c>
      <c r="L283" s="179">
        <f t="shared" si="67"/>
        <v>2469</v>
      </c>
      <c r="M283" s="177"/>
      <c r="N283" s="178"/>
      <c r="O283" s="178"/>
      <c r="P283" s="178"/>
      <c r="Q283" s="179"/>
      <c r="R283" s="177">
        <v>345</v>
      </c>
      <c r="S283" s="178">
        <v>207</v>
      </c>
      <c r="T283" s="178">
        <v>966</v>
      </c>
      <c r="U283" s="178">
        <v>276</v>
      </c>
      <c r="V283" s="179">
        <v>1794</v>
      </c>
      <c r="W283" s="177"/>
      <c r="X283" s="178"/>
      <c r="Y283" s="178"/>
      <c r="Z283" s="178"/>
      <c r="AA283" s="179"/>
      <c r="AB283" s="177">
        <v>399</v>
      </c>
      <c r="AC283" s="178"/>
      <c r="AD283" s="178"/>
      <c r="AE283" s="178">
        <v>69</v>
      </c>
      <c r="AF283" s="179">
        <v>468</v>
      </c>
      <c r="AG283" s="177"/>
      <c r="AH283" s="178"/>
      <c r="AI283" s="178"/>
      <c r="AJ283" s="178"/>
      <c r="AK283" s="179"/>
      <c r="AL283" s="177"/>
      <c r="AM283" s="178"/>
      <c r="AN283" s="178"/>
      <c r="AO283" s="178"/>
      <c r="AP283" s="179"/>
      <c r="AQ283" s="177"/>
      <c r="AR283" s="178"/>
      <c r="AS283" s="178"/>
      <c r="AT283" s="178"/>
      <c r="AU283" s="179"/>
      <c r="AV283" s="177"/>
      <c r="AW283" s="178"/>
      <c r="AX283" s="178"/>
      <c r="AY283" s="178"/>
      <c r="AZ283" s="179"/>
      <c r="BA283" s="177">
        <v>207</v>
      </c>
      <c r="BB283" s="178"/>
      <c r="BC283" s="178">
        <v>0</v>
      </c>
      <c r="BD283" s="178"/>
      <c r="BE283" s="179">
        <v>207</v>
      </c>
      <c r="BF283" s="177">
        <f t="shared" si="74"/>
        <v>1242</v>
      </c>
      <c r="BG283" s="178">
        <f t="shared" si="68"/>
        <v>207</v>
      </c>
      <c r="BH283" s="178">
        <f t="shared" si="69"/>
        <v>0</v>
      </c>
      <c r="BI283" s="178">
        <f t="shared" si="70"/>
        <v>69</v>
      </c>
      <c r="BJ283" s="179">
        <f t="shared" si="71"/>
        <v>1518</v>
      </c>
      <c r="BK283" s="177"/>
      <c r="BL283" s="178"/>
      <c r="BM283" s="178"/>
      <c r="BN283" s="178"/>
      <c r="BO283" s="179"/>
      <c r="BP283" s="177">
        <v>1242</v>
      </c>
      <c r="BQ283" s="178">
        <v>207</v>
      </c>
      <c r="BR283" s="178"/>
      <c r="BS283" s="178">
        <v>69</v>
      </c>
      <c r="BT283" s="179">
        <v>1518</v>
      </c>
      <c r="BU283" s="177"/>
      <c r="BV283" s="178"/>
      <c r="BW283" s="178"/>
      <c r="BX283" s="178"/>
      <c r="BY283" s="179"/>
      <c r="BZ283" s="177"/>
      <c r="CA283" s="178"/>
      <c r="CB283" s="178"/>
      <c r="CC283" s="178"/>
      <c r="CD283" s="179"/>
      <c r="CE283" s="177"/>
      <c r="CF283" s="178"/>
      <c r="CG283" s="178"/>
      <c r="CH283" s="178"/>
      <c r="CI283" s="179"/>
    </row>
    <row r="284" spans="1:87">
      <c r="A284" s="170" t="s">
        <v>261</v>
      </c>
      <c r="B284" s="171" t="s">
        <v>26</v>
      </c>
      <c r="C284" s="172">
        <f t="shared" si="72"/>
        <v>2832</v>
      </c>
      <c r="D284" s="173">
        <f t="shared" si="60"/>
        <v>118</v>
      </c>
      <c r="E284" s="173">
        <f t="shared" si="61"/>
        <v>590</v>
      </c>
      <c r="F284" s="173">
        <f t="shared" si="62"/>
        <v>0</v>
      </c>
      <c r="G284" s="174">
        <f t="shared" si="63"/>
        <v>3540</v>
      </c>
      <c r="H284" s="172">
        <f t="shared" si="73"/>
        <v>2832</v>
      </c>
      <c r="I284" s="173">
        <f t="shared" si="64"/>
        <v>118</v>
      </c>
      <c r="J284" s="173">
        <f t="shared" si="65"/>
        <v>590</v>
      </c>
      <c r="K284" s="173">
        <f t="shared" si="66"/>
        <v>0</v>
      </c>
      <c r="L284" s="174">
        <f t="shared" si="67"/>
        <v>3540</v>
      </c>
      <c r="M284" s="172"/>
      <c r="N284" s="173"/>
      <c r="O284" s="173"/>
      <c r="P284" s="173"/>
      <c r="Q284" s="174"/>
      <c r="R284" s="172"/>
      <c r="S284" s="173"/>
      <c r="T284" s="173"/>
      <c r="U284" s="173"/>
      <c r="V284" s="174"/>
      <c r="W284" s="172"/>
      <c r="X284" s="173"/>
      <c r="Y284" s="173"/>
      <c r="Z284" s="173"/>
      <c r="AA284" s="174"/>
      <c r="AB284" s="172">
        <v>2832</v>
      </c>
      <c r="AC284" s="173">
        <v>118</v>
      </c>
      <c r="AD284" s="173">
        <v>590</v>
      </c>
      <c r="AE284" s="173"/>
      <c r="AF284" s="174">
        <v>3540</v>
      </c>
      <c r="AG284" s="172"/>
      <c r="AH284" s="173"/>
      <c r="AI284" s="173"/>
      <c r="AJ284" s="173"/>
      <c r="AK284" s="174"/>
      <c r="AL284" s="172"/>
      <c r="AM284" s="173"/>
      <c r="AN284" s="173"/>
      <c r="AO284" s="173"/>
      <c r="AP284" s="174"/>
      <c r="AQ284" s="172"/>
      <c r="AR284" s="173"/>
      <c r="AS284" s="173"/>
      <c r="AT284" s="173"/>
      <c r="AU284" s="174"/>
      <c r="AV284" s="172"/>
      <c r="AW284" s="173"/>
      <c r="AX284" s="173"/>
      <c r="AY284" s="173"/>
      <c r="AZ284" s="174"/>
      <c r="BA284" s="172"/>
      <c r="BB284" s="173"/>
      <c r="BC284" s="173"/>
      <c r="BD284" s="173"/>
      <c r="BE284" s="174"/>
      <c r="BF284" s="172">
        <f t="shared" si="74"/>
        <v>0</v>
      </c>
      <c r="BG284" s="173">
        <f t="shared" si="68"/>
        <v>0</v>
      </c>
      <c r="BH284" s="173">
        <f t="shared" si="69"/>
        <v>0</v>
      </c>
      <c r="BI284" s="173">
        <f t="shared" si="70"/>
        <v>0</v>
      </c>
      <c r="BJ284" s="174">
        <f t="shared" si="71"/>
        <v>0</v>
      </c>
      <c r="BK284" s="172"/>
      <c r="BL284" s="173"/>
      <c r="BM284" s="173"/>
      <c r="BN284" s="173"/>
      <c r="BO284" s="174"/>
      <c r="BP284" s="172"/>
      <c r="BQ284" s="173"/>
      <c r="BR284" s="173"/>
      <c r="BS284" s="173"/>
      <c r="BT284" s="174"/>
      <c r="BU284" s="172"/>
      <c r="BV284" s="173"/>
      <c r="BW284" s="173"/>
      <c r="BX284" s="173"/>
      <c r="BY284" s="174"/>
      <c r="BZ284" s="172"/>
      <c r="CA284" s="173"/>
      <c r="CB284" s="173"/>
      <c r="CC284" s="173"/>
      <c r="CD284" s="174"/>
      <c r="CE284" s="172"/>
      <c r="CF284" s="173"/>
      <c r="CG284" s="173"/>
      <c r="CH284" s="173"/>
      <c r="CI284" s="174"/>
    </row>
    <row r="285" s="147" customFormat="1" ht="14.6" spans="1:87">
      <c r="A285" s="175" t="s">
        <v>262</v>
      </c>
      <c r="B285" s="176"/>
      <c r="C285" s="177">
        <f t="shared" si="72"/>
        <v>2832</v>
      </c>
      <c r="D285" s="178">
        <f t="shared" si="60"/>
        <v>118</v>
      </c>
      <c r="E285" s="178">
        <f t="shared" si="61"/>
        <v>590</v>
      </c>
      <c r="F285" s="178">
        <f t="shared" si="62"/>
        <v>0</v>
      </c>
      <c r="G285" s="179">
        <f t="shared" si="63"/>
        <v>3540</v>
      </c>
      <c r="H285" s="177">
        <f t="shared" si="73"/>
        <v>2832</v>
      </c>
      <c r="I285" s="178">
        <f t="shared" si="64"/>
        <v>118</v>
      </c>
      <c r="J285" s="178">
        <f t="shared" si="65"/>
        <v>590</v>
      </c>
      <c r="K285" s="178">
        <f t="shared" si="66"/>
        <v>0</v>
      </c>
      <c r="L285" s="179">
        <f t="shared" si="67"/>
        <v>3540</v>
      </c>
      <c r="M285" s="177"/>
      <c r="N285" s="178"/>
      <c r="O285" s="178"/>
      <c r="P285" s="178"/>
      <c r="Q285" s="179"/>
      <c r="R285" s="177"/>
      <c r="S285" s="178"/>
      <c r="T285" s="178"/>
      <c r="U285" s="178"/>
      <c r="V285" s="179"/>
      <c r="W285" s="177"/>
      <c r="X285" s="178"/>
      <c r="Y285" s="178"/>
      <c r="Z285" s="178"/>
      <c r="AA285" s="179"/>
      <c r="AB285" s="177">
        <v>2832</v>
      </c>
      <c r="AC285" s="178">
        <v>118</v>
      </c>
      <c r="AD285" s="178">
        <v>590</v>
      </c>
      <c r="AE285" s="178"/>
      <c r="AF285" s="179">
        <v>3540</v>
      </c>
      <c r="AG285" s="177"/>
      <c r="AH285" s="178"/>
      <c r="AI285" s="178"/>
      <c r="AJ285" s="178"/>
      <c r="AK285" s="179"/>
      <c r="AL285" s="177"/>
      <c r="AM285" s="178"/>
      <c r="AN285" s="178"/>
      <c r="AO285" s="178"/>
      <c r="AP285" s="179"/>
      <c r="AQ285" s="177"/>
      <c r="AR285" s="178"/>
      <c r="AS285" s="178"/>
      <c r="AT285" s="178"/>
      <c r="AU285" s="179"/>
      <c r="AV285" s="177"/>
      <c r="AW285" s="178"/>
      <c r="AX285" s="178"/>
      <c r="AY285" s="178"/>
      <c r="AZ285" s="179"/>
      <c r="BA285" s="177"/>
      <c r="BB285" s="178"/>
      <c r="BC285" s="178"/>
      <c r="BD285" s="178"/>
      <c r="BE285" s="179"/>
      <c r="BF285" s="177">
        <f t="shared" si="74"/>
        <v>0</v>
      </c>
      <c r="BG285" s="178">
        <f t="shared" si="68"/>
        <v>0</v>
      </c>
      <c r="BH285" s="178">
        <f t="shared" si="69"/>
        <v>0</v>
      </c>
      <c r="BI285" s="178">
        <f t="shared" si="70"/>
        <v>0</v>
      </c>
      <c r="BJ285" s="179">
        <f t="shared" si="71"/>
        <v>0</v>
      </c>
      <c r="BK285" s="177"/>
      <c r="BL285" s="178"/>
      <c r="BM285" s="178"/>
      <c r="BN285" s="178"/>
      <c r="BO285" s="179"/>
      <c r="BP285" s="177"/>
      <c r="BQ285" s="178"/>
      <c r="BR285" s="178"/>
      <c r="BS285" s="178"/>
      <c r="BT285" s="179"/>
      <c r="BU285" s="177"/>
      <c r="BV285" s="178"/>
      <c r="BW285" s="178"/>
      <c r="BX285" s="178"/>
      <c r="BY285" s="179"/>
      <c r="BZ285" s="177"/>
      <c r="CA285" s="178"/>
      <c r="CB285" s="178"/>
      <c r="CC285" s="178"/>
      <c r="CD285" s="179"/>
      <c r="CE285" s="177"/>
      <c r="CF285" s="178"/>
      <c r="CG285" s="178"/>
      <c r="CH285" s="178"/>
      <c r="CI285" s="179"/>
    </row>
    <row r="286" spans="1:87">
      <c r="A286" s="170" t="s">
        <v>263</v>
      </c>
      <c r="B286" s="171" t="s">
        <v>26</v>
      </c>
      <c r="C286" s="172">
        <f t="shared" si="72"/>
        <v>2396</v>
      </c>
      <c r="D286" s="173">
        <f t="shared" si="60"/>
        <v>0</v>
      </c>
      <c r="E286" s="173">
        <f t="shared" si="61"/>
        <v>0</v>
      </c>
      <c r="F286" s="173">
        <f t="shared" si="62"/>
        <v>599</v>
      </c>
      <c r="G286" s="174">
        <f t="shared" si="63"/>
        <v>2995</v>
      </c>
      <c r="H286" s="172">
        <f t="shared" si="73"/>
        <v>2396</v>
      </c>
      <c r="I286" s="173">
        <f t="shared" si="64"/>
        <v>0</v>
      </c>
      <c r="J286" s="173">
        <f t="shared" si="65"/>
        <v>0</v>
      </c>
      <c r="K286" s="173">
        <f t="shared" si="66"/>
        <v>599</v>
      </c>
      <c r="L286" s="174">
        <f t="shared" si="67"/>
        <v>2995</v>
      </c>
      <c r="M286" s="172">
        <v>2396</v>
      </c>
      <c r="N286" s="173"/>
      <c r="O286" s="173"/>
      <c r="P286" s="173">
        <v>599</v>
      </c>
      <c r="Q286" s="174">
        <v>2995</v>
      </c>
      <c r="R286" s="172"/>
      <c r="S286" s="173"/>
      <c r="T286" s="173"/>
      <c r="U286" s="173"/>
      <c r="V286" s="174"/>
      <c r="W286" s="172"/>
      <c r="X286" s="173"/>
      <c r="Y286" s="173"/>
      <c r="Z286" s="173"/>
      <c r="AA286" s="174"/>
      <c r="AB286" s="172"/>
      <c r="AC286" s="173"/>
      <c r="AD286" s="173"/>
      <c r="AE286" s="173"/>
      <c r="AF286" s="174"/>
      <c r="AG286" s="172"/>
      <c r="AH286" s="173"/>
      <c r="AI286" s="173"/>
      <c r="AJ286" s="173"/>
      <c r="AK286" s="174"/>
      <c r="AL286" s="172"/>
      <c r="AM286" s="173"/>
      <c r="AN286" s="173"/>
      <c r="AO286" s="173"/>
      <c r="AP286" s="174"/>
      <c r="AQ286" s="172"/>
      <c r="AR286" s="173"/>
      <c r="AS286" s="173"/>
      <c r="AT286" s="173"/>
      <c r="AU286" s="174"/>
      <c r="AV286" s="172"/>
      <c r="AW286" s="173"/>
      <c r="AX286" s="173"/>
      <c r="AY286" s="173"/>
      <c r="AZ286" s="174"/>
      <c r="BA286" s="172"/>
      <c r="BB286" s="173"/>
      <c r="BC286" s="173"/>
      <c r="BD286" s="173"/>
      <c r="BE286" s="174"/>
      <c r="BF286" s="172">
        <f t="shared" si="74"/>
        <v>0</v>
      </c>
      <c r="BG286" s="173">
        <f t="shared" si="68"/>
        <v>0</v>
      </c>
      <c r="BH286" s="173">
        <f t="shared" si="69"/>
        <v>0</v>
      </c>
      <c r="BI286" s="173">
        <f t="shared" si="70"/>
        <v>0</v>
      </c>
      <c r="BJ286" s="174">
        <f t="shared" si="71"/>
        <v>0</v>
      </c>
      <c r="BK286" s="172"/>
      <c r="BL286" s="173"/>
      <c r="BM286" s="173"/>
      <c r="BN286" s="173"/>
      <c r="BO286" s="174"/>
      <c r="BP286" s="172"/>
      <c r="BQ286" s="173"/>
      <c r="BR286" s="173"/>
      <c r="BS286" s="173"/>
      <c r="BT286" s="174"/>
      <c r="BU286" s="172"/>
      <c r="BV286" s="173"/>
      <c r="BW286" s="173"/>
      <c r="BX286" s="173"/>
      <c r="BY286" s="174"/>
      <c r="BZ286" s="172"/>
      <c r="CA286" s="173"/>
      <c r="CB286" s="173"/>
      <c r="CC286" s="173"/>
      <c r="CD286" s="174"/>
      <c r="CE286" s="172"/>
      <c r="CF286" s="173"/>
      <c r="CG286" s="173"/>
      <c r="CH286" s="173"/>
      <c r="CI286" s="174"/>
    </row>
    <row r="287" s="147" customFormat="1" ht="14.6" spans="1:87">
      <c r="A287" s="175" t="s">
        <v>264</v>
      </c>
      <c r="B287" s="176"/>
      <c r="C287" s="177">
        <f t="shared" si="72"/>
        <v>2396</v>
      </c>
      <c r="D287" s="178">
        <f t="shared" si="60"/>
        <v>0</v>
      </c>
      <c r="E287" s="178">
        <f t="shared" si="61"/>
        <v>0</v>
      </c>
      <c r="F287" s="178">
        <f t="shared" si="62"/>
        <v>599</v>
      </c>
      <c r="G287" s="179">
        <f t="shared" si="63"/>
        <v>2995</v>
      </c>
      <c r="H287" s="177">
        <f t="shared" si="73"/>
        <v>2396</v>
      </c>
      <c r="I287" s="178">
        <f t="shared" si="64"/>
        <v>0</v>
      </c>
      <c r="J287" s="178">
        <f t="shared" si="65"/>
        <v>0</v>
      </c>
      <c r="K287" s="178">
        <f t="shared" si="66"/>
        <v>599</v>
      </c>
      <c r="L287" s="179">
        <f t="shared" si="67"/>
        <v>2995</v>
      </c>
      <c r="M287" s="177">
        <v>2396</v>
      </c>
      <c r="N287" s="178"/>
      <c r="O287" s="178"/>
      <c r="P287" s="178">
        <v>599</v>
      </c>
      <c r="Q287" s="179">
        <v>2995</v>
      </c>
      <c r="R287" s="177"/>
      <c r="S287" s="178"/>
      <c r="T287" s="178"/>
      <c r="U287" s="178"/>
      <c r="V287" s="179"/>
      <c r="W287" s="177"/>
      <c r="X287" s="178"/>
      <c r="Y287" s="178"/>
      <c r="Z287" s="178"/>
      <c r="AA287" s="179"/>
      <c r="AB287" s="177"/>
      <c r="AC287" s="178"/>
      <c r="AD287" s="178"/>
      <c r="AE287" s="178"/>
      <c r="AF287" s="179"/>
      <c r="AG287" s="177"/>
      <c r="AH287" s="178"/>
      <c r="AI287" s="178"/>
      <c r="AJ287" s="178"/>
      <c r="AK287" s="179"/>
      <c r="AL287" s="177"/>
      <c r="AM287" s="178"/>
      <c r="AN287" s="178"/>
      <c r="AO287" s="178"/>
      <c r="AP287" s="179"/>
      <c r="AQ287" s="177"/>
      <c r="AR287" s="178"/>
      <c r="AS287" s="178"/>
      <c r="AT287" s="178"/>
      <c r="AU287" s="179"/>
      <c r="AV287" s="177"/>
      <c r="AW287" s="178"/>
      <c r="AX287" s="178"/>
      <c r="AY287" s="178"/>
      <c r="AZ287" s="179"/>
      <c r="BA287" s="177"/>
      <c r="BB287" s="178"/>
      <c r="BC287" s="178"/>
      <c r="BD287" s="178"/>
      <c r="BE287" s="179"/>
      <c r="BF287" s="177">
        <f t="shared" si="74"/>
        <v>0</v>
      </c>
      <c r="BG287" s="178">
        <f t="shared" si="68"/>
        <v>0</v>
      </c>
      <c r="BH287" s="178">
        <f t="shared" si="69"/>
        <v>0</v>
      </c>
      <c r="BI287" s="178">
        <f t="shared" si="70"/>
        <v>0</v>
      </c>
      <c r="BJ287" s="179">
        <f t="shared" si="71"/>
        <v>0</v>
      </c>
      <c r="BK287" s="177"/>
      <c r="BL287" s="178"/>
      <c r="BM287" s="178"/>
      <c r="BN287" s="178"/>
      <c r="BO287" s="179"/>
      <c r="BP287" s="177"/>
      <c r="BQ287" s="178"/>
      <c r="BR287" s="178"/>
      <c r="BS287" s="178"/>
      <c r="BT287" s="179"/>
      <c r="BU287" s="177"/>
      <c r="BV287" s="178"/>
      <c r="BW287" s="178"/>
      <c r="BX287" s="178"/>
      <c r="BY287" s="179"/>
      <c r="BZ287" s="177"/>
      <c r="CA287" s="178"/>
      <c r="CB287" s="178"/>
      <c r="CC287" s="178"/>
      <c r="CD287" s="179"/>
      <c r="CE287" s="177"/>
      <c r="CF287" s="178"/>
      <c r="CG287" s="178"/>
      <c r="CH287" s="178"/>
      <c r="CI287" s="179"/>
    </row>
    <row r="288" spans="1:87">
      <c r="A288" s="170" t="s">
        <v>265</v>
      </c>
      <c r="B288" s="171" t="s">
        <v>27</v>
      </c>
      <c r="C288" s="172">
        <f t="shared" si="72"/>
        <v>0</v>
      </c>
      <c r="D288" s="173">
        <f t="shared" si="60"/>
        <v>2598</v>
      </c>
      <c r="E288" s="173">
        <f t="shared" si="61"/>
        <v>0</v>
      </c>
      <c r="F288" s="173">
        <f t="shared" si="62"/>
        <v>0</v>
      </c>
      <c r="G288" s="174">
        <f t="shared" si="63"/>
        <v>2598</v>
      </c>
      <c r="H288" s="172">
        <f t="shared" si="73"/>
        <v>0</v>
      </c>
      <c r="I288" s="173">
        <f t="shared" si="64"/>
        <v>1299</v>
      </c>
      <c r="J288" s="173">
        <f t="shared" si="65"/>
        <v>0</v>
      </c>
      <c r="K288" s="173">
        <f t="shared" si="66"/>
        <v>0</v>
      </c>
      <c r="L288" s="174">
        <f t="shared" si="67"/>
        <v>1299</v>
      </c>
      <c r="M288" s="172"/>
      <c r="N288" s="173"/>
      <c r="O288" s="173"/>
      <c r="P288" s="173"/>
      <c r="Q288" s="174"/>
      <c r="R288" s="172"/>
      <c r="S288" s="173"/>
      <c r="T288" s="173"/>
      <c r="U288" s="173"/>
      <c r="V288" s="174"/>
      <c r="W288" s="172"/>
      <c r="X288" s="173"/>
      <c r="Y288" s="173"/>
      <c r="Z288" s="173"/>
      <c r="AA288" s="174"/>
      <c r="AB288" s="172"/>
      <c r="AC288" s="173"/>
      <c r="AD288" s="173"/>
      <c r="AE288" s="173"/>
      <c r="AF288" s="174"/>
      <c r="AG288" s="172"/>
      <c r="AH288" s="173"/>
      <c r="AI288" s="173"/>
      <c r="AJ288" s="173"/>
      <c r="AK288" s="174"/>
      <c r="AL288" s="172"/>
      <c r="AM288" s="173"/>
      <c r="AN288" s="173"/>
      <c r="AO288" s="173"/>
      <c r="AP288" s="174"/>
      <c r="AQ288" s="172"/>
      <c r="AR288" s="173"/>
      <c r="AS288" s="173"/>
      <c r="AT288" s="173"/>
      <c r="AU288" s="174"/>
      <c r="AV288" s="172"/>
      <c r="AW288" s="173"/>
      <c r="AX288" s="173"/>
      <c r="AY288" s="173"/>
      <c r="AZ288" s="174"/>
      <c r="BA288" s="172"/>
      <c r="BB288" s="173">
        <v>1299</v>
      </c>
      <c r="BC288" s="173"/>
      <c r="BD288" s="173"/>
      <c r="BE288" s="174">
        <v>1299</v>
      </c>
      <c r="BF288" s="172">
        <f t="shared" si="74"/>
        <v>0</v>
      </c>
      <c r="BG288" s="173">
        <f t="shared" si="68"/>
        <v>1299</v>
      </c>
      <c r="BH288" s="173">
        <f t="shared" si="69"/>
        <v>0</v>
      </c>
      <c r="BI288" s="173">
        <f t="shared" si="70"/>
        <v>0</v>
      </c>
      <c r="BJ288" s="174">
        <f t="shared" si="71"/>
        <v>1299</v>
      </c>
      <c r="BK288" s="172"/>
      <c r="BL288" s="173">
        <v>1299</v>
      </c>
      <c r="BM288" s="173"/>
      <c r="BN288" s="173"/>
      <c r="BO288" s="174">
        <v>1299</v>
      </c>
      <c r="BP288" s="172"/>
      <c r="BQ288" s="173"/>
      <c r="BR288" s="173"/>
      <c r="BS288" s="173"/>
      <c r="BT288" s="174"/>
      <c r="BU288" s="172"/>
      <c r="BV288" s="173"/>
      <c r="BW288" s="173"/>
      <c r="BX288" s="173"/>
      <c r="BY288" s="174"/>
      <c r="BZ288" s="172"/>
      <c r="CA288" s="173"/>
      <c r="CB288" s="173"/>
      <c r="CC288" s="173"/>
      <c r="CD288" s="174"/>
      <c r="CE288" s="172"/>
      <c r="CF288" s="173"/>
      <c r="CG288" s="173"/>
      <c r="CH288" s="173"/>
      <c r="CI288" s="174"/>
    </row>
    <row r="289" s="147" customFormat="1" ht="14.6" spans="1:87">
      <c r="A289" s="175" t="s">
        <v>266</v>
      </c>
      <c r="B289" s="176"/>
      <c r="C289" s="177">
        <f t="shared" si="72"/>
        <v>0</v>
      </c>
      <c r="D289" s="178">
        <f t="shared" si="60"/>
        <v>2598</v>
      </c>
      <c r="E289" s="178">
        <f t="shared" si="61"/>
        <v>0</v>
      </c>
      <c r="F289" s="178">
        <f t="shared" si="62"/>
        <v>0</v>
      </c>
      <c r="G289" s="179">
        <f t="shared" si="63"/>
        <v>2598</v>
      </c>
      <c r="H289" s="177">
        <f t="shared" si="73"/>
        <v>0</v>
      </c>
      <c r="I289" s="178">
        <f t="shared" si="64"/>
        <v>1299</v>
      </c>
      <c r="J289" s="178">
        <f t="shared" si="65"/>
        <v>0</v>
      </c>
      <c r="K289" s="178">
        <f t="shared" si="66"/>
        <v>0</v>
      </c>
      <c r="L289" s="179">
        <f t="shared" si="67"/>
        <v>1299</v>
      </c>
      <c r="M289" s="177"/>
      <c r="N289" s="178"/>
      <c r="O289" s="178"/>
      <c r="P289" s="178"/>
      <c r="Q289" s="179"/>
      <c r="R289" s="177"/>
      <c r="S289" s="178"/>
      <c r="T289" s="178"/>
      <c r="U289" s="178"/>
      <c r="V289" s="179"/>
      <c r="W289" s="177"/>
      <c r="X289" s="178"/>
      <c r="Y289" s="178"/>
      <c r="Z289" s="178"/>
      <c r="AA289" s="179"/>
      <c r="AB289" s="177"/>
      <c r="AC289" s="178"/>
      <c r="AD289" s="178"/>
      <c r="AE289" s="178"/>
      <c r="AF289" s="179"/>
      <c r="AG289" s="177"/>
      <c r="AH289" s="178"/>
      <c r="AI289" s="178"/>
      <c r="AJ289" s="178"/>
      <c r="AK289" s="179"/>
      <c r="AL289" s="177"/>
      <c r="AM289" s="178"/>
      <c r="AN289" s="178"/>
      <c r="AO289" s="178"/>
      <c r="AP289" s="179"/>
      <c r="AQ289" s="177"/>
      <c r="AR289" s="178"/>
      <c r="AS289" s="178"/>
      <c r="AT289" s="178"/>
      <c r="AU289" s="179"/>
      <c r="AV289" s="177"/>
      <c r="AW289" s="178"/>
      <c r="AX289" s="178"/>
      <c r="AY289" s="178"/>
      <c r="AZ289" s="179"/>
      <c r="BA289" s="177"/>
      <c r="BB289" s="178">
        <v>1299</v>
      </c>
      <c r="BC289" s="178"/>
      <c r="BD289" s="178"/>
      <c r="BE289" s="179">
        <v>1299</v>
      </c>
      <c r="BF289" s="177">
        <f t="shared" si="74"/>
        <v>0</v>
      </c>
      <c r="BG289" s="178">
        <f t="shared" si="68"/>
        <v>1299</v>
      </c>
      <c r="BH289" s="178">
        <f t="shared" si="69"/>
        <v>0</v>
      </c>
      <c r="BI289" s="178">
        <f t="shared" si="70"/>
        <v>0</v>
      </c>
      <c r="BJ289" s="179">
        <f t="shared" si="71"/>
        <v>1299</v>
      </c>
      <c r="BK289" s="177"/>
      <c r="BL289" s="178">
        <v>1299</v>
      </c>
      <c r="BM289" s="178"/>
      <c r="BN289" s="178"/>
      <c r="BO289" s="179">
        <v>1299</v>
      </c>
      <c r="BP289" s="177"/>
      <c r="BQ289" s="178"/>
      <c r="BR289" s="178"/>
      <c r="BS289" s="178"/>
      <c r="BT289" s="179"/>
      <c r="BU289" s="177"/>
      <c r="BV289" s="178"/>
      <c r="BW289" s="178"/>
      <c r="BX289" s="178"/>
      <c r="BY289" s="179"/>
      <c r="BZ289" s="177"/>
      <c r="CA289" s="178"/>
      <c r="CB289" s="178"/>
      <c r="CC289" s="178"/>
      <c r="CD289" s="179"/>
      <c r="CE289" s="177"/>
      <c r="CF289" s="178"/>
      <c r="CG289" s="178"/>
      <c r="CH289" s="178"/>
      <c r="CI289" s="179"/>
    </row>
    <row r="290" spans="1:87">
      <c r="A290" s="170" t="s">
        <v>267</v>
      </c>
      <c r="B290" s="171" t="s">
        <v>26</v>
      </c>
      <c r="C290" s="172">
        <f t="shared" si="72"/>
        <v>472</v>
      </c>
      <c r="D290" s="173">
        <f t="shared" si="60"/>
        <v>767</v>
      </c>
      <c r="E290" s="173">
        <f t="shared" si="61"/>
        <v>413</v>
      </c>
      <c r="F290" s="173">
        <f t="shared" si="62"/>
        <v>708</v>
      </c>
      <c r="G290" s="174">
        <f t="shared" si="63"/>
        <v>2360</v>
      </c>
      <c r="H290" s="172">
        <f t="shared" si="73"/>
        <v>472</v>
      </c>
      <c r="I290" s="173">
        <f t="shared" si="64"/>
        <v>767</v>
      </c>
      <c r="J290" s="173">
        <f t="shared" si="65"/>
        <v>413</v>
      </c>
      <c r="K290" s="173">
        <f t="shared" si="66"/>
        <v>708</v>
      </c>
      <c r="L290" s="174">
        <f t="shared" si="67"/>
        <v>2360</v>
      </c>
      <c r="M290" s="172"/>
      <c r="N290" s="173"/>
      <c r="O290" s="173"/>
      <c r="P290" s="173"/>
      <c r="Q290" s="174"/>
      <c r="R290" s="172"/>
      <c r="S290" s="173"/>
      <c r="T290" s="173"/>
      <c r="U290" s="173"/>
      <c r="V290" s="174"/>
      <c r="W290" s="172"/>
      <c r="X290" s="173"/>
      <c r="Y290" s="173"/>
      <c r="Z290" s="173"/>
      <c r="AA290" s="174"/>
      <c r="AB290" s="172">
        <v>413</v>
      </c>
      <c r="AC290" s="173">
        <v>767</v>
      </c>
      <c r="AD290" s="173">
        <v>413</v>
      </c>
      <c r="AE290" s="173">
        <v>708</v>
      </c>
      <c r="AF290" s="174">
        <v>2301</v>
      </c>
      <c r="AG290" s="172"/>
      <c r="AH290" s="173"/>
      <c r="AI290" s="173"/>
      <c r="AJ290" s="173"/>
      <c r="AK290" s="174"/>
      <c r="AL290" s="172"/>
      <c r="AM290" s="173"/>
      <c r="AN290" s="173"/>
      <c r="AO290" s="173"/>
      <c r="AP290" s="174"/>
      <c r="AQ290" s="172"/>
      <c r="AR290" s="173"/>
      <c r="AS290" s="173"/>
      <c r="AT290" s="173"/>
      <c r="AU290" s="174"/>
      <c r="AV290" s="172">
        <v>59</v>
      </c>
      <c r="AW290" s="173"/>
      <c r="AX290" s="173"/>
      <c r="AY290" s="173"/>
      <c r="AZ290" s="174">
        <v>59</v>
      </c>
      <c r="BA290" s="172"/>
      <c r="BB290" s="173"/>
      <c r="BC290" s="173"/>
      <c r="BD290" s="173"/>
      <c r="BE290" s="174"/>
      <c r="BF290" s="172">
        <f t="shared" si="74"/>
        <v>0</v>
      </c>
      <c r="BG290" s="173">
        <f t="shared" si="68"/>
        <v>0</v>
      </c>
      <c r="BH290" s="173">
        <f t="shared" si="69"/>
        <v>0</v>
      </c>
      <c r="BI290" s="173">
        <f t="shared" si="70"/>
        <v>0</v>
      </c>
      <c r="BJ290" s="174">
        <f t="shared" si="71"/>
        <v>0</v>
      </c>
      <c r="BK290" s="172"/>
      <c r="BL290" s="173"/>
      <c r="BM290" s="173"/>
      <c r="BN290" s="173"/>
      <c r="BO290" s="174"/>
      <c r="BP290" s="172"/>
      <c r="BQ290" s="173"/>
      <c r="BR290" s="173"/>
      <c r="BS290" s="173"/>
      <c r="BT290" s="174"/>
      <c r="BU290" s="172"/>
      <c r="BV290" s="173"/>
      <c r="BW290" s="173"/>
      <c r="BX290" s="173"/>
      <c r="BY290" s="174"/>
      <c r="BZ290" s="172"/>
      <c r="CA290" s="173"/>
      <c r="CB290" s="173"/>
      <c r="CC290" s="173"/>
      <c r="CD290" s="174"/>
      <c r="CE290" s="172"/>
      <c r="CF290" s="173"/>
      <c r="CG290" s="173"/>
      <c r="CH290" s="173"/>
      <c r="CI290" s="174"/>
    </row>
    <row r="291" s="147" customFormat="1" ht="14.6" spans="1:87">
      <c r="A291" s="175" t="s">
        <v>268</v>
      </c>
      <c r="B291" s="176"/>
      <c r="C291" s="177">
        <f t="shared" si="72"/>
        <v>472</v>
      </c>
      <c r="D291" s="178">
        <f t="shared" si="60"/>
        <v>767</v>
      </c>
      <c r="E291" s="178">
        <f t="shared" si="61"/>
        <v>413</v>
      </c>
      <c r="F291" s="178">
        <f t="shared" si="62"/>
        <v>708</v>
      </c>
      <c r="G291" s="179">
        <f t="shared" si="63"/>
        <v>2360</v>
      </c>
      <c r="H291" s="177">
        <f t="shared" si="73"/>
        <v>472</v>
      </c>
      <c r="I291" s="178">
        <f t="shared" si="64"/>
        <v>767</v>
      </c>
      <c r="J291" s="178">
        <f t="shared" si="65"/>
        <v>413</v>
      </c>
      <c r="K291" s="178">
        <f t="shared" si="66"/>
        <v>708</v>
      </c>
      <c r="L291" s="179">
        <f t="shared" si="67"/>
        <v>2360</v>
      </c>
      <c r="M291" s="177"/>
      <c r="N291" s="178"/>
      <c r="O291" s="178"/>
      <c r="P291" s="178"/>
      <c r="Q291" s="179"/>
      <c r="R291" s="177"/>
      <c r="S291" s="178"/>
      <c r="T291" s="178"/>
      <c r="U291" s="178"/>
      <c r="V291" s="179"/>
      <c r="W291" s="177"/>
      <c r="X291" s="178"/>
      <c r="Y291" s="178"/>
      <c r="Z291" s="178"/>
      <c r="AA291" s="179"/>
      <c r="AB291" s="177">
        <v>413</v>
      </c>
      <c r="AC291" s="178">
        <v>767</v>
      </c>
      <c r="AD291" s="178">
        <v>413</v>
      </c>
      <c r="AE291" s="178">
        <v>708</v>
      </c>
      <c r="AF291" s="179">
        <v>2301</v>
      </c>
      <c r="AG291" s="177"/>
      <c r="AH291" s="178"/>
      <c r="AI291" s="178"/>
      <c r="AJ291" s="178"/>
      <c r="AK291" s="179"/>
      <c r="AL291" s="177"/>
      <c r="AM291" s="178"/>
      <c r="AN291" s="178"/>
      <c r="AO291" s="178"/>
      <c r="AP291" s="179"/>
      <c r="AQ291" s="177"/>
      <c r="AR291" s="178"/>
      <c r="AS291" s="178"/>
      <c r="AT291" s="178"/>
      <c r="AU291" s="179"/>
      <c r="AV291" s="177">
        <v>59</v>
      </c>
      <c r="AW291" s="178"/>
      <c r="AX291" s="178"/>
      <c r="AY291" s="178"/>
      <c r="AZ291" s="179">
        <v>59</v>
      </c>
      <c r="BA291" s="177"/>
      <c r="BB291" s="178"/>
      <c r="BC291" s="178"/>
      <c r="BD291" s="178"/>
      <c r="BE291" s="179"/>
      <c r="BF291" s="177">
        <f t="shared" si="74"/>
        <v>0</v>
      </c>
      <c r="BG291" s="178">
        <f t="shared" si="68"/>
        <v>0</v>
      </c>
      <c r="BH291" s="178">
        <f t="shared" si="69"/>
        <v>0</v>
      </c>
      <c r="BI291" s="178">
        <f t="shared" si="70"/>
        <v>0</v>
      </c>
      <c r="BJ291" s="179">
        <f t="shared" si="71"/>
        <v>0</v>
      </c>
      <c r="BK291" s="177"/>
      <c r="BL291" s="178"/>
      <c r="BM291" s="178"/>
      <c r="BN291" s="178"/>
      <c r="BO291" s="179"/>
      <c r="BP291" s="177"/>
      <c r="BQ291" s="178"/>
      <c r="BR291" s="178"/>
      <c r="BS291" s="178"/>
      <c r="BT291" s="179"/>
      <c r="BU291" s="177"/>
      <c r="BV291" s="178"/>
      <c r="BW291" s="178"/>
      <c r="BX291" s="178"/>
      <c r="BY291" s="179"/>
      <c r="BZ291" s="177"/>
      <c r="CA291" s="178"/>
      <c r="CB291" s="178"/>
      <c r="CC291" s="178"/>
      <c r="CD291" s="179"/>
      <c r="CE291" s="177"/>
      <c r="CF291" s="178"/>
      <c r="CG291" s="178"/>
      <c r="CH291" s="178"/>
      <c r="CI291" s="179"/>
    </row>
    <row r="292" spans="1:87">
      <c r="A292" s="170" t="s">
        <v>269</v>
      </c>
      <c r="B292" s="171" t="s">
        <v>26</v>
      </c>
      <c r="C292" s="172">
        <f t="shared" si="72"/>
        <v>2065</v>
      </c>
      <c r="D292" s="173">
        <f t="shared" si="60"/>
        <v>59</v>
      </c>
      <c r="E292" s="173">
        <f t="shared" si="61"/>
        <v>0</v>
      </c>
      <c r="F292" s="173">
        <f t="shared" si="62"/>
        <v>0</v>
      </c>
      <c r="G292" s="174">
        <f t="shared" si="63"/>
        <v>2124</v>
      </c>
      <c r="H292" s="172">
        <f t="shared" si="73"/>
        <v>2065</v>
      </c>
      <c r="I292" s="173">
        <f t="shared" si="64"/>
        <v>59</v>
      </c>
      <c r="J292" s="173">
        <f t="shared" si="65"/>
        <v>0</v>
      </c>
      <c r="K292" s="173">
        <f t="shared" si="66"/>
        <v>0</v>
      </c>
      <c r="L292" s="174">
        <f t="shared" si="67"/>
        <v>2124</v>
      </c>
      <c r="M292" s="172"/>
      <c r="N292" s="173"/>
      <c r="O292" s="173"/>
      <c r="P292" s="173"/>
      <c r="Q292" s="174"/>
      <c r="R292" s="172"/>
      <c r="S292" s="173"/>
      <c r="T292" s="173"/>
      <c r="U292" s="173"/>
      <c r="V292" s="174"/>
      <c r="W292" s="172"/>
      <c r="X292" s="173"/>
      <c r="Y292" s="173"/>
      <c r="Z292" s="173"/>
      <c r="AA292" s="174"/>
      <c r="AB292" s="172">
        <v>2065</v>
      </c>
      <c r="AC292" s="173">
        <v>59</v>
      </c>
      <c r="AD292" s="173"/>
      <c r="AE292" s="173"/>
      <c r="AF292" s="174">
        <v>2124</v>
      </c>
      <c r="AG292" s="172"/>
      <c r="AH292" s="173"/>
      <c r="AI292" s="173"/>
      <c r="AJ292" s="173"/>
      <c r="AK292" s="174"/>
      <c r="AL292" s="172"/>
      <c r="AM292" s="173"/>
      <c r="AN292" s="173"/>
      <c r="AO292" s="173"/>
      <c r="AP292" s="174"/>
      <c r="AQ292" s="172"/>
      <c r="AR292" s="173"/>
      <c r="AS292" s="173"/>
      <c r="AT292" s="173"/>
      <c r="AU292" s="174"/>
      <c r="AV292" s="172"/>
      <c r="AW292" s="173"/>
      <c r="AX292" s="173"/>
      <c r="AY292" s="173"/>
      <c r="AZ292" s="174"/>
      <c r="BA292" s="172"/>
      <c r="BB292" s="173"/>
      <c r="BC292" s="173"/>
      <c r="BD292" s="173"/>
      <c r="BE292" s="174"/>
      <c r="BF292" s="172">
        <f t="shared" si="74"/>
        <v>0</v>
      </c>
      <c r="BG292" s="173">
        <f t="shared" si="68"/>
        <v>0</v>
      </c>
      <c r="BH292" s="173">
        <f t="shared" si="69"/>
        <v>0</v>
      </c>
      <c r="BI292" s="173">
        <f t="shared" si="70"/>
        <v>0</v>
      </c>
      <c r="BJ292" s="174">
        <f t="shared" si="71"/>
        <v>0</v>
      </c>
      <c r="BK292" s="172"/>
      <c r="BL292" s="173"/>
      <c r="BM292" s="173"/>
      <c r="BN292" s="173"/>
      <c r="BO292" s="174"/>
      <c r="BP292" s="172"/>
      <c r="BQ292" s="173"/>
      <c r="BR292" s="173"/>
      <c r="BS292" s="173"/>
      <c r="BT292" s="174"/>
      <c r="BU292" s="172"/>
      <c r="BV292" s="173"/>
      <c r="BW292" s="173"/>
      <c r="BX292" s="173"/>
      <c r="BY292" s="174"/>
      <c r="BZ292" s="172"/>
      <c r="CA292" s="173"/>
      <c r="CB292" s="173"/>
      <c r="CC292" s="173"/>
      <c r="CD292" s="174"/>
      <c r="CE292" s="172"/>
      <c r="CF292" s="173"/>
      <c r="CG292" s="173"/>
      <c r="CH292" s="173"/>
      <c r="CI292" s="174"/>
    </row>
    <row r="293" s="147" customFormat="1" ht="14.6" spans="1:87">
      <c r="A293" s="175" t="s">
        <v>270</v>
      </c>
      <c r="B293" s="176"/>
      <c r="C293" s="177">
        <f t="shared" si="72"/>
        <v>2065</v>
      </c>
      <c r="D293" s="178">
        <f t="shared" si="60"/>
        <v>59</v>
      </c>
      <c r="E293" s="178">
        <f t="shared" si="61"/>
        <v>0</v>
      </c>
      <c r="F293" s="178">
        <f t="shared" si="62"/>
        <v>0</v>
      </c>
      <c r="G293" s="179">
        <f t="shared" si="63"/>
        <v>2124</v>
      </c>
      <c r="H293" s="177">
        <f t="shared" si="73"/>
        <v>2065</v>
      </c>
      <c r="I293" s="178">
        <f t="shared" si="64"/>
        <v>59</v>
      </c>
      <c r="J293" s="178">
        <f t="shared" si="65"/>
        <v>0</v>
      </c>
      <c r="K293" s="178">
        <f t="shared" si="66"/>
        <v>0</v>
      </c>
      <c r="L293" s="179">
        <f t="shared" si="67"/>
        <v>2124</v>
      </c>
      <c r="M293" s="177"/>
      <c r="N293" s="178"/>
      <c r="O293" s="178"/>
      <c r="P293" s="178"/>
      <c r="Q293" s="179"/>
      <c r="R293" s="177"/>
      <c r="S293" s="178"/>
      <c r="T293" s="178"/>
      <c r="U293" s="178"/>
      <c r="V293" s="179"/>
      <c r="W293" s="177"/>
      <c r="X293" s="178"/>
      <c r="Y293" s="178"/>
      <c r="Z293" s="178"/>
      <c r="AA293" s="179"/>
      <c r="AB293" s="177">
        <v>2065</v>
      </c>
      <c r="AC293" s="178">
        <v>59</v>
      </c>
      <c r="AD293" s="178"/>
      <c r="AE293" s="178"/>
      <c r="AF293" s="179">
        <v>2124</v>
      </c>
      <c r="AG293" s="177"/>
      <c r="AH293" s="178"/>
      <c r="AI293" s="178"/>
      <c r="AJ293" s="178"/>
      <c r="AK293" s="179"/>
      <c r="AL293" s="177"/>
      <c r="AM293" s="178"/>
      <c r="AN293" s="178"/>
      <c r="AO293" s="178"/>
      <c r="AP293" s="179"/>
      <c r="AQ293" s="177"/>
      <c r="AR293" s="178"/>
      <c r="AS293" s="178"/>
      <c r="AT293" s="178"/>
      <c r="AU293" s="179"/>
      <c r="AV293" s="177"/>
      <c r="AW293" s="178"/>
      <c r="AX293" s="178"/>
      <c r="AY293" s="178"/>
      <c r="AZ293" s="179"/>
      <c r="BA293" s="177"/>
      <c r="BB293" s="178"/>
      <c r="BC293" s="178"/>
      <c r="BD293" s="178"/>
      <c r="BE293" s="179"/>
      <c r="BF293" s="177">
        <f t="shared" si="74"/>
        <v>0</v>
      </c>
      <c r="BG293" s="178">
        <f t="shared" si="68"/>
        <v>0</v>
      </c>
      <c r="BH293" s="178">
        <f t="shared" si="69"/>
        <v>0</v>
      </c>
      <c r="BI293" s="178">
        <f t="shared" si="70"/>
        <v>0</v>
      </c>
      <c r="BJ293" s="179">
        <f t="shared" si="71"/>
        <v>0</v>
      </c>
      <c r="BK293" s="177"/>
      <c r="BL293" s="178"/>
      <c r="BM293" s="178"/>
      <c r="BN293" s="178"/>
      <c r="BO293" s="179"/>
      <c r="BP293" s="177"/>
      <c r="BQ293" s="178"/>
      <c r="BR293" s="178"/>
      <c r="BS293" s="178"/>
      <c r="BT293" s="179"/>
      <c r="BU293" s="177"/>
      <c r="BV293" s="178"/>
      <c r="BW293" s="178"/>
      <c r="BX293" s="178"/>
      <c r="BY293" s="179"/>
      <c r="BZ293" s="177"/>
      <c r="CA293" s="178"/>
      <c r="CB293" s="178"/>
      <c r="CC293" s="178"/>
      <c r="CD293" s="179"/>
      <c r="CE293" s="177"/>
      <c r="CF293" s="178"/>
      <c r="CG293" s="178"/>
      <c r="CH293" s="178"/>
      <c r="CI293" s="179"/>
    </row>
    <row r="294" spans="1:87">
      <c r="A294" s="170" t="s">
        <v>271</v>
      </c>
      <c r="B294" s="171" t="s">
        <v>26</v>
      </c>
      <c r="C294" s="172">
        <f t="shared" si="72"/>
        <v>1449</v>
      </c>
      <c r="D294" s="173">
        <f t="shared" si="60"/>
        <v>138</v>
      </c>
      <c r="E294" s="173">
        <f t="shared" si="61"/>
        <v>0</v>
      </c>
      <c r="F294" s="173">
        <f t="shared" si="62"/>
        <v>207</v>
      </c>
      <c r="G294" s="174">
        <f t="shared" si="63"/>
        <v>1794</v>
      </c>
      <c r="H294" s="172">
        <f t="shared" si="73"/>
        <v>1449</v>
      </c>
      <c r="I294" s="173">
        <f t="shared" si="64"/>
        <v>138</v>
      </c>
      <c r="J294" s="173">
        <f t="shared" si="65"/>
        <v>0</v>
      </c>
      <c r="K294" s="173">
        <f t="shared" si="66"/>
        <v>207</v>
      </c>
      <c r="L294" s="174">
        <f t="shared" si="67"/>
        <v>1794</v>
      </c>
      <c r="M294" s="172"/>
      <c r="N294" s="173"/>
      <c r="O294" s="173"/>
      <c r="P294" s="173"/>
      <c r="Q294" s="174"/>
      <c r="R294" s="172"/>
      <c r="S294" s="173"/>
      <c r="T294" s="173"/>
      <c r="U294" s="173"/>
      <c r="V294" s="174"/>
      <c r="W294" s="172"/>
      <c r="X294" s="173"/>
      <c r="Y294" s="173"/>
      <c r="Z294" s="173"/>
      <c r="AA294" s="174"/>
      <c r="AB294" s="172"/>
      <c r="AC294" s="173"/>
      <c r="AD294" s="173"/>
      <c r="AE294" s="173"/>
      <c r="AF294" s="174"/>
      <c r="AG294" s="172"/>
      <c r="AH294" s="173"/>
      <c r="AI294" s="173"/>
      <c r="AJ294" s="173"/>
      <c r="AK294" s="174"/>
      <c r="AL294" s="172"/>
      <c r="AM294" s="173"/>
      <c r="AN294" s="173"/>
      <c r="AO294" s="173"/>
      <c r="AP294" s="174"/>
      <c r="AQ294" s="172"/>
      <c r="AR294" s="173"/>
      <c r="AS294" s="173"/>
      <c r="AT294" s="173"/>
      <c r="AU294" s="174"/>
      <c r="AV294" s="172">
        <v>345</v>
      </c>
      <c r="AW294" s="173"/>
      <c r="AX294" s="173"/>
      <c r="AY294" s="173">
        <v>69</v>
      </c>
      <c r="AZ294" s="174">
        <v>414</v>
      </c>
      <c r="BA294" s="172">
        <v>1104</v>
      </c>
      <c r="BB294" s="173">
        <v>138</v>
      </c>
      <c r="BC294" s="173"/>
      <c r="BD294" s="173">
        <v>138</v>
      </c>
      <c r="BE294" s="174">
        <v>1380</v>
      </c>
      <c r="BF294" s="172">
        <f t="shared" si="74"/>
        <v>0</v>
      </c>
      <c r="BG294" s="173">
        <f t="shared" si="68"/>
        <v>0</v>
      </c>
      <c r="BH294" s="173">
        <f t="shared" si="69"/>
        <v>0</v>
      </c>
      <c r="BI294" s="173">
        <f t="shared" si="70"/>
        <v>0</v>
      </c>
      <c r="BJ294" s="174">
        <f t="shared" si="71"/>
        <v>0</v>
      </c>
      <c r="BK294" s="172"/>
      <c r="BL294" s="173"/>
      <c r="BM294" s="173"/>
      <c r="BN294" s="173"/>
      <c r="BO294" s="174"/>
      <c r="BP294" s="172"/>
      <c r="BQ294" s="173"/>
      <c r="BR294" s="173"/>
      <c r="BS294" s="173"/>
      <c r="BT294" s="174"/>
      <c r="BU294" s="172"/>
      <c r="BV294" s="173"/>
      <c r="BW294" s="173"/>
      <c r="BX294" s="173"/>
      <c r="BY294" s="174"/>
      <c r="BZ294" s="172"/>
      <c r="CA294" s="173"/>
      <c r="CB294" s="173"/>
      <c r="CC294" s="173"/>
      <c r="CD294" s="174"/>
      <c r="CE294" s="172"/>
      <c r="CF294" s="173"/>
      <c r="CG294" s="173"/>
      <c r="CH294" s="173"/>
      <c r="CI294" s="174"/>
    </row>
    <row r="295" s="147" customFormat="1" ht="14.6" spans="1:87">
      <c r="A295" s="175" t="s">
        <v>272</v>
      </c>
      <c r="B295" s="176"/>
      <c r="C295" s="177">
        <f t="shared" si="72"/>
        <v>1449</v>
      </c>
      <c r="D295" s="178">
        <f t="shared" si="60"/>
        <v>138</v>
      </c>
      <c r="E295" s="178">
        <f t="shared" si="61"/>
        <v>0</v>
      </c>
      <c r="F295" s="178">
        <f t="shared" si="62"/>
        <v>207</v>
      </c>
      <c r="G295" s="179">
        <f t="shared" si="63"/>
        <v>1794</v>
      </c>
      <c r="H295" s="177">
        <f t="shared" si="73"/>
        <v>1449</v>
      </c>
      <c r="I295" s="178">
        <f t="shared" si="64"/>
        <v>138</v>
      </c>
      <c r="J295" s="178">
        <f t="shared" si="65"/>
        <v>0</v>
      </c>
      <c r="K295" s="178">
        <f t="shared" si="66"/>
        <v>207</v>
      </c>
      <c r="L295" s="179">
        <f t="shared" si="67"/>
        <v>1794</v>
      </c>
      <c r="M295" s="177"/>
      <c r="N295" s="178"/>
      <c r="O295" s="178"/>
      <c r="P295" s="178"/>
      <c r="Q295" s="179"/>
      <c r="R295" s="177"/>
      <c r="S295" s="178"/>
      <c r="T295" s="178"/>
      <c r="U295" s="178"/>
      <c r="V295" s="179"/>
      <c r="W295" s="177"/>
      <c r="X295" s="178"/>
      <c r="Y295" s="178"/>
      <c r="Z295" s="178"/>
      <c r="AA295" s="179"/>
      <c r="AB295" s="177"/>
      <c r="AC295" s="178"/>
      <c r="AD295" s="178"/>
      <c r="AE295" s="178"/>
      <c r="AF295" s="179"/>
      <c r="AG295" s="177"/>
      <c r="AH295" s="178"/>
      <c r="AI295" s="178"/>
      <c r="AJ295" s="178"/>
      <c r="AK295" s="179"/>
      <c r="AL295" s="177"/>
      <c r="AM295" s="178"/>
      <c r="AN295" s="178"/>
      <c r="AO295" s="178"/>
      <c r="AP295" s="179"/>
      <c r="AQ295" s="177"/>
      <c r="AR295" s="178"/>
      <c r="AS295" s="178"/>
      <c r="AT295" s="178"/>
      <c r="AU295" s="179"/>
      <c r="AV295" s="177">
        <v>345</v>
      </c>
      <c r="AW295" s="178"/>
      <c r="AX295" s="178"/>
      <c r="AY295" s="178">
        <v>69</v>
      </c>
      <c r="AZ295" s="179">
        <v>414</v>
      </c>
      <c r="BA295" s="177">
        <v>1104</v>
      </c>
      <c r="BB295" s="178">
        <v>138</v>
      </c>
      <c r="BC295" s="178"/>
      <c r="BD295" s="178">
        <v>138</v>
      </c>
      <c r="BE295" s="179">
        <v>1380</v>
      </c>
      <c r="BF295" s="177">
        <f t="shared" si="74"/>
        <v>0</v>
      </c>
      <c r="BG295" s="178">
        <f t="shared" si="68"/>
        <v>0</v>
      </c>
      <c r="BH295" s="178">
        <f t="shared" si="69"/>
        <v>0</v>
      </c>
      <c r="BI295" s="178">
        <f t="shared" si="70"/>
        <v>0</v>
      </c>
      <c r="BJ295" s="179">
        <f t="shared" si="71"/>
        <v>0</v>
      </c>
      <c r="BK295" s="177"/>
      <c r="BL295" s="178"/>
      <c r="BM295" s="178"/>
      <c r="BN295" s="178"/>
      <c r="BO295" s="179"/>
      <c r="BP295" s="177"/>
      <c r="BQ295" s="178"/>
      <c r="BR295" s="178"/>
      <c r="BS295" s="178"/>
      <c r="BT295" s="179"/>
      <c r="BU295" s="177"/>
      <c r="BV295" s="178"/>
      <c r="BW295" s="178"/>
      <c r="BX295" s="178"/>
      <c r="BY295" s="179"/>
      <c r="BZ295" s="177"/>
      <c r="CA295" s="178"/>
      <c r="CB295" s="178"/>
      <c r="CC295" s="178"/>
      <c r="CD295" s="179"/>
      <c r="CE295" s="177"/>
      <c r="CF295" s="178"/>
      <c r="CG295" s="178"/>
      <c r="CH295" s="178"/>
      <c r="CI295" s="179"/>
    </row>
    <row r="296" spans="1:87">
      <c r="A296" s="170" t="s">
        <v>273</v>
      </c>
      <c r="B296" s="171" t="s">
        <v>26</v>
      </c>
      <c r="C296" s="172">
        <f t="shared" si="72"/>
        <v>0</v>
      </c>
      <c r="D296" s="173">
        <f t="shared" si="60"/>
        <v>0</v>
      </c>
      <c r="E296" s="173">
        <f t="shared" si="61"/>
        <v>0</v>
      </c>
      <c r="F296" s="173">
        <f t="shared" si="62"/>
        <v>1791</v>
      </c>
      <c r="G296" s="174">
        <f t="shared" si="63"/>
        <v>1791</v>
      </c>
      <c r="H296" s="172">
        <f t="shared" si="73"/>
        <v>0</v>
      </c>
      <c r="I296" s="173">
        <f t="shared" si="64"/>
        <v>0</v>
      </c>
      <c r="J296" s="173">
        <f t="shared" si="65"/>
        <v>0</v>
      </c>
      <c r="K296" s="173">
        <f t="shared" si="66"/>
        <v>1791</v>
      </c>
      <c r="L296" s="174">
        <f t="shared" si="67"/>
        <v>1791</v>
      </c>
      <c r="M296" s="172"/>
      <c r="N296" s="173"/>
      <c r="O296" s="173"/>
      <c r="P296" s="173"/>
      <c r="Q296" s="174"/>
      <c r="R296" s="172"/>
      <c r="S296" s="173"/>
      <c r="T296" s="173"/>
      <c r="U296" s="173"/>
      <c r="V296" s="174"/>
      <c r="W296" s="172"/>
      <c r="X296" s="173"/>
      <c r="Y296" s="173"/>
      <c r="Z296" s="173"/>
      <c r="AA296" s="174"/>
      <c r="AB296" s="172"/>
      <c r="AC296" s="173"/>
      <c r="AD296" s="173"/>
      <c r="AE296" s="173">
        <v>597</v>
      </c>
      <c r="AF296" s="174">
        <v>597</v>
      </c>
      <c r="AG296" s="172"/>
      <c r="AH296" s="173"/>
      <c r="AI296" s="173"/>
      <c r="AJ296" s="173">
        <v>995</v>
      </c>
      <c r="AK296" s="174">
        <v>995</v>
      </c>
      <c r="AL296" s="172"/>
      <c r="AM296" s="173"/>
      <c r="AN296" s="173"/>
      <c r="AO296" s="173"/>
      <c r="AP296" s="174"/>
      <c r="AQ296" s="172"/>
      <c r="AR296" s="173"/>
      <c r="AS296" s="173"/>
      <c r="AT296" s="173">
        <v>199</v>
      </c>
      <c r="AU296" s="174">
        <v>199</v>
      </c>
      <c r="AV296" s="172"/>
      <c r="AW296" s="173"/>
      <c r="AX296" s="173"/>
      <c r="AY296" s="173"/>
      <c r="AZ296" s="174"/>
      <c r="BA296" s="172"/>
      <c r="BB296" s="173"/>
      <c r="BC296" s="173"/>
      <c r="BD296" s="173"/>
      <c r="BE296" s="174"/>
      <c r="BF296" s="172">
        <f t="shared" si="74"/>
        <v>0</v>
      </c>
      <c r="BG296" s="173">
        <f t="shared" si="68"/>
        <v>0</v>
      </c>
      <c r="BH296" s="173">
        <f t="shared" si="69"/>
        <v>0</v>
      </c>
      <c r="BI296" s="173">
        <f t="shared" si="70"/>
        <v>0</v>
      </c>
      <c r="BJ296" s="174">
        <f t="shared" si="71"/>
        <v>0</v>
      </c>
      <c r="BK296" s="172"/>
      <c r="BL296" s="173"/>
      <c r="BM296" s="173"/>
      <c r="BN296" s="173"/>
      <c r="BO296" s="174"/>
      <c r="BP296" s="172"/>
      <c r="BQ296" s="173"/>
      <c r="BR296" s="173"/>
      <c r="BS296" s="173"/>
      <c r="BT296" s="174"/>
      <c r="BU296" s="172"/>
      <c r="BV296" s="173"/>
      <c r="BW296" s="173"/>
      <c r="BX296" s="173"/>
      <c r="BY296" s="174"/>
      <c r="BZ296" s="172"/>
      <c r="CA296" s="173"/>
      <c r="CB296" s="173"/>
      <c r="CC296" s="173"/>
      <c r="CD296" s="174"/>
      <c r="CE296" s="172"/>
      <c r="CF296" s="173"/>
      <c r="CG296" s="173"/>
      <c r="CH296" s="173"/>
      <c r="CI296" s="174"/>
    </row>
    <row r="297" s="147" customFormat="1" ht="14.6" spans="1:87">
      <c r="A297" s="175" t="s">
        <v>274</v>
      </c>
      <c r="B297" s="176"/>
      <c r="C297" s="177">
        <f t="shared" si="72"/>
        <v>0</v>
      </c>
      <c r="D297" s="178">
        <f t="shared" si="60"/>
        <v>0</v>
      </c>
      <c r="E297" s="178">
        <f t="shared" si="61"/>
        <v>0</v>
      </c>
      <c r="F297" s="178">
        <f t="shared" si="62"/>
        <v>1791</v>
      </c>
      <c r="G297" s="179">
        <f t="shared" si="63"/>
        <v>1791</v>
      </c>
      <c r="H297" s="177">
        <f t="shared" si="73"/>
        <v>0</v>
      </c>
      <c r="I297" s="178">
        <f t="shared" si="64"/>
        <v>0</v>
      </c>
      <c r="J297" s="178">
        <f t="shared" si="65"/>
        <v>0</v>
      </c>
      <c r="K297" s="178">
        <f t="shared" si="66"/>
        <v>1791</v>
      </c>
      <c r="L297" s="179">
        <f t="shared" si="67"/>
        <v>1791</v>
      </c>
      <c r="M297" s="177"/>
      <c r="N297" s="178"/>
      <c r="O297" s="178"/>
      <c r="P297" s="178"/>
      <c r="Q297" s="179"/>
      <c r="R297" s="177"/>
      <c r="S297" s="178"/>
      <c r="T297" s="178"/>
      <c r="U297" s="178"/>
      <c r="V297" s="179"/>
      <c r="W297" s="177"/>
      <c r="X297" s="178"/>
      <c r="Y297" s="178"/>
      <c r="Z297" s="178"/>
      <c r="AA297" s="179"/>
      <c r="AB297" s="177"/>
      <c r="AC297" s="178"/>
      <c r="AD297" s="178"/>
      <c r="AE297" s="178">
        <v>597</v>
      </c>
      <c r="AF297" s="179">
        <v>597</v>
      </c>
      <c r="AG297" s="177"/>
      <c r="AH297" s="178"/>
      <c r="AI297" s="178"/>
      <c r="AJ297" s="178">
        <v>995</v>
      </c>
      <c r="AK297" s="179">
        <v>995</v>
      </c>
      <c r="AL297" s="177"/>
      <c r="AM297" s="178"/>
      <c r="AN297" s="178"/>
      <c r="AO297" s="178"/>
      <c r="AP297" s="179"/>
      <c r="AQ297" s="177"/>
      <c r="AR297" s="178"/>
      <c r="AS297" s="178"/>
      <c r="AT297" s="178">
        <v>199</v>
      </c>
      <c r="AU297" s="179">
        <v>199</v>
      </c>
      <c r="AV297" s="177"/>
      <c r="AW297" s="178"/>
      <c r="AX297" s="178"/>
      <c r="AY297" s="178"/>
      <c r="AZ297" s="179"/>
      <c r="BA297" s="177"/>
      <c r="BB297" s="178"/>
      <c r="BC297" s="178"/>
      <c r="BD297" s="178"/>
      <c r="BE297" s="179"/>
      <c r="BF297" s="177">
        <f t="shared" si="74"/>
        <v>0</v>
      </c>
      <c r="BG297" s="178">
        <f t="shared" si="68"/>
        <v>0</v>
      </c>
      <c r="BH297" s="178">
        <f t="shared" si="69"/>
        <v>0</v>
      </c>
      <c r="BI297" s="178">
        <f t="shared" si="70"/>
        <v>0</v>
      </c>
      <c r="BJ297" s="179">
        <f t="shared" si="71"/>
        <v>0</v>
      </c>
      <c r="BK297" s="177"/>
      <c r="BL297" s="178"/>
      <c r="BM297" s="178"/>
      <c r="BN297" s="178"/>
      <c r="BO297" s="179"/>
      <c r="BP297" s="177"/>
      <c r="BQ297" s="178"/>
      <c r="BR297" s="178"/>
      <c r="BS297" s="178"/>
      <c r="BT297" s="179"/>
      <c r="BU297" s="177"/>
      <c r="BV297" s="178"/>
      <c r="BW297" s="178"/>
      <c r="BX297" s="178"/>
      <c r="BY297" s="179"/>
      <c r="BZ297" s="177"/>
      <c r="CA297" s="178"/>
      <c r="CB297" s="178"/>
      <c r="CC297" s="178"/>
      <c r="CD297" s="179"/>
      <c r="CE297" s="177"/>
      <c r="CF297" s="178"/>
      <c r="CG297" s="178"/>
      <c r="CH297" s="178"/>
      <c r="CI297" s="179"/>
    </row>
    <row r="298" spans="1:87">
      <c r="A298" s="170" t="s">
        <v>275</v>
      </c>
      <c r="B298" s="171" t="s">
        <v>26</v>
      </c>
      <c r="C298" s="172">
        <f t="shared" si="72"/>
        <v>649</v>
      </c>
      <c r="D298" s="173">
        <f t="shared" si="60"/>
        <v>413</v>
      </c>
      <c r="E298" s="173">
        <f t="shared" si="61"/>
        <v>177</v>
      </c>
      <c r="F298" s="173">
        <f t="shared" si="62"/>
        <v>177</v>
      </c>
      <c r="G298" s="174">
        <f t="shared" si="63"/>
        <v>1416</v>
      </c>
      <c r="H298" s="172">
        <f t="shared" si="73"/>
        <v>649</v>
      </c>
      <c r="I298" s="173">
        <f t="shared" si="64"/>
        <v>413</v>
      </c>
      <c r="J298" s="173">
        <f t="shared" si="65"/>
        <v>177</v>
      </c>
      <c r="K298" s="173">
        <f t="shared" si="66"/>
        <v>177</v>
      </c>
      <c r="L298" s="174">
        <f t="shared" si="67"/>
        <v>1416</v>
      </c>
      <c r="M298" s="172"/>
      <c r="N298" s="173"/>
      <c r="O298" s="173"/>
      <c r="P298" s="173"/>
      <c r="Q298" s="174"/>
      <c r="R298" s="172"/>
      <c r="S298" s="173"/>
      <c r="T298" s="173"/>
      <c r="U298" s="173"/>
      <c r="V298" s="174"/>
      <c r="W298" s="172"/>
      <c r="X298" s="173"/>
      <c r="Y298" s="173"/>
      <c r="Z298" s="173"/>
      <c r="AA298" s="174"/>
      <c r="AB298" s="172"/>
      <c r="AC298" s="173"/>
      <c r="AD298" s="173"/>
      <c r="AE298" s="173"/>
      <c r="AF298" s="174"/>
      <c r="AG298" s="172"/>
      <c r="AH298" s="173"/>
      <c r="AI298" s="173"/>
      <c r="AJ298" s="173"/>
      <c r="AK298" s="174"/>
      <c r="AL298" s="172"/>
      <c r="AM298" s="173"/>
      <c r="AN298" s="173"/>
      <c r="AO298" s="173"/>
      <c r="AP298" s="174"/>
      <c r="AQ298" s="172"/>
      <c r="AR298" s="173"/>
      <c r="AS298" s="173"/>
      <c r="AT298" s="173"/>
      <c r="AU298" s="174"/>
      <c r="AV298" s="172"/>
      <c r="AW298" s="173"/>
      <c r="AX298" s="173"/>
      <c r="AY298" s="173"/>
      <c r="AZ298" s="174"/>
      <c r="BA298" s="172">
        <v>649</v>
      </c>
      <c r="BB298" s="173">
        <v>413</v>
      </c>
      <c r="BC298" s="173">
        <v>177</v>
      </c>
      <c r="BD298" s="173">
        <v>177</v>
      </c>
      <c r="BE298" s="174">
        <v>1416</v>
      </c>
      <c r="BF298" s="172">
        <f t="shared" si="74"/>
        <v>0</v>
      </c>
      <c r="BG298" s="173">
        <f t="shared" si="68"/>
        <v>0</v>
      </c>
      <c r="BH298" s="173">
        <f t="shared" si="69"/>
        <v>0</v>
      </c>
      <c r="BI298" s="173">
        <f t="shared" si="70"/>
        <v>0</v>
      </c>
      <c r="BJ298" s="174">
        <f t="shared" si="71"/>
        <v>0</v>
      </c>
      <c r="BK298" s="172"/>
      <c r="BL298" s="173"/>
      <c r="BM298" s="173"/>
      <c r="BN298" s="173"/>
      <c r="BO298" s="174"/>
      <c r="BP298" s="172"/>
      <c r="BQ298" s="173"/>
      <c r="BR298" s="173"/>
      <c r="BS298" s="173"/>
      <c r="BT298" s="174"/>
      <c r="BU298" s="172"/>
      <c r="BV298" s="173"/>
      <c r="BW298" s="173"/>
      <c r="BX298" s="173"/>
      <c r="BY298" s="174"/>
      <c r="BZ298" s="172"/>
      <c r="CA298" s="173"/>
      <c r="CB298" s="173"/>
      <c r="CC298" s="173"/>
      <c r="CD298" s="174"/>
      <c r="CE298" s="172"/>
      <c r="CF298" s="173"/>
      <c r="CG298" s="173"/>
      <c r="CH298" s="173"/>
      <c r="CI298" s="174"/>
    </row>
    <row r="299" s="147" customFormat="1" ht="14.6" spans="1:87">
      <c r="A299" s="175" t="s">
        <v>276</v>
      </c>
      <c r="B299" s="176"/>
      <c r="C299" s="177">
        <f t="shared" si="72"/>
        <v>649</v>
      </c>
      <c r="D299" s="178">
        <f t="shared" si="60"/>
        <v>413</v>
      </c>
      <c r="E299" s="178">
        <f t="shared" si="61"/>
        <v>177</v>
      </c>
      <c r="F299" s="178">
        <f t="shared" si="62"/>
        <v>177</v>
      </c>
      <c r="G299" s="179">
        <f t="shared" si="63"/>
        <v>1416</v>
      </c>
      <c r="H299" s="177">
        <f t="shared" si="73"/>
        <v>649</v>
      </c>
      <c r="I299" s="178">
        <f t="shared" si="64"/>
        <v>413</v>
      </c>
      <c r="J299" s="178">
        <f t="shared" si="65"/>
        <v>177</v>
      </c>
      <c r="K299" s="178">
        <f t="shared" si="66"/>
        <v>177</v>
      </c>
      <c r="L299" s="179">
        <f t="shared" si="67"/>
        <v>1416</v>
      </c>
      <c r="M299" s="177"/>
      <c r="N299" s="178"/>
      <c r="O299" s="178"/>
      <c r="P299" s="178"/>
      <c r="Q299" s="179"/>
      <c r="R299" s="177"/>
      <c r="S299" s="178"/>
      <c r="T299" s="178"/>
      <c r="U299" s="178"/>
      <c r="V299" s="179"/>
      <c r="W299" s="177"/>
      <c r="X299" s="178"/>
      <c r="Y299" s="178"/>
      <c r="Z299" s="178"/>
      <c r="AA299" s="179"/>
      <c r="AB299" s="177"/>
      <c r="AC299" s="178"/>
      <c r="AD299" s="178"/>
      <c r="AE299" s="178"/>
      <c r="AF299" s="179"/>
      <c r="AG299" s="177"/>
      <c r="AH299" s="178"/>
      <c r="AI299" s="178"/>
      <c r="AJ299" s="178"/>
      <c r="AK299" s="179"/>
      <c r="AL299" s="177"/>
      <c r="AM299" s="178"/>
      <c r="AN299" s="178"/>
      <c r="AO299" s="178"/>
      <c r="AP299" s="179"/>
      <c r="AQ299" s="177"/>
      <c r="AR299" s="178"/>
      <c r="AS299" s="178"/>
      <c r="AT299" s="178"/>
      <c r="AU299" s="179"/>
      <c r="AV299" s="177"/>
      <c r="AW299" s="178"/>
      <c r="AX299" s="178"/>
      <c r="AY299" s="178"/>
      <c r="AZ299" s="179"/>
      <c r="BA299" s="177">
        <v>649</v>
      </c>
      <c r="BB299" s="178">
        <v>413</v>
      </c>
      <c r="BC299" s="178">
        <v>177</v>
      </c>
      <c r="BD299" s="178">
        <v>177</v>
      </c>
      <c r="BE299" s="179">
        <v>1416</v>
      </c>
      <c r="BF299" s="177">
        <f t="shared" si="74"/>
        <v>0</v>
      </c>
      <c r="BG299" s="178">
        <f t="shared" si="68"/>
        <v>0</v>
      </c>
      <c r="BH299" s="178">
        <f t="shared" si="69"/>
        <v>0</v>
      </c>
      <c r="BI299" s="178">
        <f t="shared" si="70"/>
        <v>0</v>
      </c>
      <c r="BJ299" s="179">
        <f t="shared" si="71"/>
        <v>0</v>
      </c>
      <c r="BK299" s="177"/>
      <c r="BL299" s="178"/>
      <c r="BM299" s="178"/>
      <c r="BN299" s="178"/>
      <c r="BO299" s="179"/>
      <c r="BP299" s="177"/>
      <c r="BQ299" s="178"/>
      <c r="BR299" s="178"/>
      <c r="BS299" s="178"/>
      <c r="BT299" s="179"/>
      <c r="BU299" s="177"/>
      <c r="BV299" s="178"/>
      <c r="BW299" s="178"/>
      <c r="BX299" s="178"/>
      <c r="BY299" s="179"/>
      <c r="BZ299" s="177"/>
      <c r="CA299" s="178"/>
      <c r="CB299" s="178"/>
      <c r="CC299" s="178"/>
      <c r="CD299" s="179"/>
      <c r="CE299" s="177"/>
      <c r="CF299" s="178"/>
      <c r="CG299" s="178"/>
      <c r="CH299" s="178"/>
      <c r="CI299" s="179"/>
    </row>
    <row r="300" spans="1:87">
      <c r="A300" s="170" t="s">
        <v>277</v>
      </c>
      <c r="B300" s="171" t="s">
        <v>26</v>
      </c>
      <c r="C300" s="172">
        <f t="shared" si="72"/>
        <v>-899</v>
      </c>
      <c r="D300" s="173">
        <f t="shared" si="60"/>
        <v>0</v>
      </c>
      <c r="E300" s="173">
        <f t="shared" si="61"/>
        <v>1798</v>
      </c>
      <c r="F300" s="173">
        <f t="shared" si="62"/>
        <v>0</v>
      </c>
      <c r="G300" s="174">
        <f t="shared" si="63"/>
        <v>899</v>
      </c>
      <c r="H300" s="172">
        <f t="shared" si="73"/>
        <v>0</v>
      </c>
      <c r="I300" s="173">
        <f t="shared" si="64"/>
        <v>0</v>
      </c>
      <c r="J300" s="173">
        <f t="shared" si="65"/>
        <v>0</v>
      </c>
      <c r="K300" s="173">
        <f t="shared" si="66"/>
        <v>0</v>
      </c>
      <c r="L300" s="174">
        <f t="shared" si="67"/>
        <v>0</v>
      </c>
      <c r="M300" s="172"/>
      <c r="N300" s="173"/>
      <c r="O300" s="173"/>
      <c r="P300" s="173"/>
      <c r="Q300" s="174"/>
      <c r="R300" s="172"/>
      <c r="S300" s="173"/>
      <c r="T300" s="173"/>
      <c r="U300" s="173"/>
      <c r="V300" s="174"/>
      <c r="W300" s="172"/>
      <c r="X300" s="173"/>
      <c r="Y300" s="173"/>
      <c r="Z300" s="173"/>
      <c r="AA300" s="174"/>
      <c r="AB300" s="172"/>
      <c r="AC300" s="173"/>
      <c r="AD300" s="173"/>
      <c r="AE300" s="173"/>
      <c r="AF300" s="174"/>
      <c r="AG300" s="172"/>
      <c r="AH300" s="173">
        <v>0</v>
      </c>
      <c r="AI300" s="173"/>
      <c r="AJ300" s="173"/>
      <c r="AK300" s="174">
        <v>0</v>
      </c>
      <c r="AL300" s="172"/>
      <c r="AM300" s="173"/>
      <c r="AN300" s="173"/>
      <c r="AO300" s="173"/>
      <c r="AP300" s="174"/>
      <c r="AQ300" s="172"/>
      <c r="AR300" s="173"/>
      <c r="AS300" s="173"/>
      <c r="AT300" s="173"/>
      <c r="AU300" s="174"/>
      <c r="AV300" s="172"/>
      <c r="AW300" s="173"/>
      <c r="AX300" s="173"/>
      <c r="AY300" s="173"/>
      <c r="AZ300" s="174"/>
      <c r="BA300" s="172"/>
      <c r="BB300" s="173"/>
      <c r="BC300" s="173"/>
      <c r="BD300" s="173"/>
      <c r="BE300" s="174"/>
      <c r="BF300" s="172">
        <f t="shared" si="74"/>
        <v>-899</v>
      </c>
      <c r="BG300" s="173">
        <f t="shared" si="68"/>
        <v>0</v>
      </c>
      <c r="BH300" s="173">
        <f t="shared" si="69"/>
        <v>1798</v>
      </c>
      <c r="BI300" s="173">
        <f t="shared" si="70"/>
        <v>0</v>
      </c>
      <c r="BJ300" s="174">
        <f t="shared" si="71"/>
        <v>899</v>
      </c>
      <c r="BK300" s="172"/>
      <c r="BL300" s="173"/>
      <c r="BM300" s="173"/>
      <c r="BN300" s="173"/>
      <c r="BO300" s="174"/>
      <c r="BP300" s="172">
        <v>-899</v>
      </c>
      <c r="BQ300" s="173"/>
      <c r="BR300" s="173">
        <v>1798</v>
      </c>
      <c r="BS300" s="173"/>
      <c r="BT300" s="174">
        <v>899</v>
      </c>
      <c r="BU300" s="172"/>
      <c r="BV300" s="173"/>
      <c r="BW300" s="173"/>
      <c r="BX300" s="173"/>
      <c r="BY300" s="174"/>
      <c r="BZ300" s="172"/>
      <c r="CA300" s="173"/>
      <c r="CB300" s="173"/>
      <c r="CC300" s="173"/>
      <c r="CD300" s="174"/>
      <c r="CE300" s="172"/>
      <c r="CF300" s="173"/>
      <c r="CG300" s="173"/>
      <c r="CH300" s="173"/>
      <c r="CI300" s="174"/>
    </row>
    <row r="301" s="147" customFormat="1" ht="14.6" spans="1:87">
      <c r="A301" s="175" t="s">
        <v>278</v>
      </c>
      <c r="B301" s="176"/>
      <c r="C301" s="177">
        <f t="shared" si="72"/>
        <v>-899</v>
      </c>
      <c r="D301" s="178">
        <f t="shared" si="60"/>
        <v>0</v>
      </c>
      <c r="E301" s="178">
        <f t="shared" si="61"/>
        <v>1798</v>
      </c>
      <c r="F301" s="178">
        <f t="shared" si="62"/>
        <v>0</v>
      </c>
      <c r="G301" s="179">
        <f t="shared" si="63"/>
        <v>899</v>
      </c>
      <c r="H301" s="177">
        <f t="shared" si="73"/>
        <v>0</v>
      </c>
      <c r="I301" s="178">
        <f t="shared" si="64"/>
        <v>0</v>
      </c>
      <c r="J301" s="178">
        <f t="shared" si="65"/>
        <v>0</v>
      </c>
      <c r="K301" s="178">
        <f t="shared" si="66"/>
        <v>0</v>
      </c>
      <c r="L301" s="179">
        <f t="shared" si="67"/>
        <v>0</v>
      </c>
      <c r="M301" s="177"/>
      <c r="N301" s="178"/>
      <c r="O301" s="178"/>
      <c r="P301" s="178"/>
      <c r="Q301" s="179"/>
      <c r="R301" s="177"/>
      <c r="S301" s="178"/>
      <c r="T301" s="178"/>
      <c r="U301" s="178"/>
      <c r="V301" s="179"/>
      <c r="W301" s="177"/>
      <c r="X301" s="178"/>
      <c r="Y301" s="178"/>
      <c r="Z301" s="178"/>
      <c r="AA301" s="179"/>
      <c r="AB301" s="177"/>
      <c r="AC301" s="178"/>
      <c r="AD301" s="178"/>
      <c r="AE301" s="178"/>
      <c r="AF301" s="179"/>
      <c r="AG301" s="177"/>
      <c r="AH301" s="178">
        <v>0</v>
      </c>
      <c r="AI301" s="178"/>
      <c r="AJ301" s="178"/>
      <c r="AK301" s="179">
        <v>0</v>
      </c>
      <c r="AL301" s="177"/>
      <c r="AM301" s="178"/>
      <c r="AN301" s="178"/>
      <c r="AO301" s="178"/>
      <c r="AP301" s="179"/>
      <c r="AQ301" s="177"/>
      <c r="AR301" s="178"/>
      <c r="AS301" s="178"/>
      <c r="AT301" s="178"/>
      <c r="AU301" s="179"/>
      <c r="AV301" s="177"/>
      <c r="AW301" s="178"/>
      <c r="AX301" s="178"/>
      <c r="AY301" s="178"/>
      <c r="AZ301" s="179"/>
      <c r="BA301" s="177"/>
      <c r="BB301" s="178"/>
      <c r="BC301" s="178"/>
      <c r="BD301" s="178"/>
      <c r="BE301" s="179"/>
      <c r="BF301" s="177">
        <f t="shared" si="74"/>
        <v>-899</v>
      </c>
      <c r="BG301" s="178">
        <f t="shared" si="68"/>
        <v>0</v>
      </c>
      <c r="BH301" s="178">
        <f t="shared" si="69"/>
        <v>1798</v>
      </c>
      <c r="BI301" s="178">
        <f t="shared" si="70"/>
        <v>0</v>
      </c>
      <c r="BJ301" s="179">
        <f t="shared" si="71"/>
        <v>899</v>
      </c>
      <c r="BK301" s="177"/>
      <c r="BL301" s="178"/>
      <c r="BM301" s="178"/>
      <c r="BN301" s="178"/>
      <c r="BO301" s="179"/>
      <c r="BP301" s="177">
        <v>-899</v>
      </c>
      <c r="BQ301" s="178"/>
      <c r="BR301" s="178">
        <v>1798</v>
      </c>
      <c r="BS301" s="178"/>
      <c r="BT301" s="179">
        <v>899</v>
      </c>
      <c r="BU301" s="177"/>
      <c r="BV301" s="178"/>
      <c r="BW301" s="178"/>
      <c r="BX301" s="178"/>
      <c r="BY301" s="179"/>
      <c r="BZ301" s="177"/>
      <c r="CA301" s="178"/>
      <c r="CB301" s="178"/>
      <c r="CC301" s="178"/>
      <c r="CD301" s="179"/>
      <c r="CE301" s="177"/>
      <c r="CF301" s="178"/>
      <c r="CG301" s="178"/>
      <c r="CH301" s="178"/>
      <c r="CI301" s="179"/>
    </row>
    <row r="302" spans="1:87">
      <c r="A302" s="170" t="s">
        <v>279</v>
      </c>
      <c r="B302" s="171" t="s">
        <v>28</v>
      </c>
      <c r="C302" s="172">
        <f t="shared" si="72"/>
        <v>516</v>
      </c>
      <c r="D302" s="173">
        <f t="shared" si="60"/>
        <v>258</v>
      </c>
      <c r="E302" s="173">
        <f t="shared" si="61"/>
        <v>0</v>
      </c>
      <c r="F302" s="173">
        <f t="shared" si="62"/>
        <v>0</v>
      </c>
      <c r="G302" s="174">
        <f t="shared" si="63"/>
        <v>774</v>
      </c>
      <c r="H302" s="172">
        <f t="shared" si="73"/>
        <v>516</v>
      </c>
      <c r="I302" s="173">
        <f t="shared" si="64"/>
        <v>258</v>
      </c>
      <c r="J302" s="173">
        <f t="shared" si="65"/>
        <v>0</v>
      </c>
      <c r="K302" s="173">
        <f t="shared" si="66"/>
        <v>0</v>
      </c>
      <c r="L302" s="174">
        <f t="shared" si="67"/>
        <v>774</v>
      </c>
      <c r="M302" s="172"/>
      <c r="N302" s="173"/>
      <c r="O302" s="173"/>
      <c r="P302" s="173"/>
      <c r="Q302" s="174"/>
      <c r="R302" s="172"/>
      <c r="S302" s="173"/>
      <c r="T302" s="173"/>
      <c r="U302" s="173"/>
      <c r="V302" s="174"/>
      <c r="W302" s="172"/>
      <c r="X302" s="173"/>
      <c r="Y302" s="173"/>
      <c r="Z302" s="173"/>
      <c r="AA302" s="174"/>
      <c r="AB302" s="172"/>
      <c r="AC302" s="173"/>
      <c r="AD302" s="173"/>
      <c r="AE302" s="173"/>
      <c r="AF302" s="174"/>
      <c r="AG302" s="172"/>
      <c r="AH302" s="173"/>
      <c r="AI302" s="173"/>
      <c r="AJ302" s="173"/>
      <c r="AK302" s="174"/>
      <c r="AL302" s="172"/>
      <c r="AM302" s="173"/>
      <c r="AN302" s="173"/>
      <c r="AO302" s="173"/>
      <c r="AP302" s="174"/>
      <c r="AQ302" s="172">
        <v>516</v>
      </c>
      <c r="AR302" s="173">
        <v>258</v>
      </c>
      <c r="AS302" s="173"/>
      <c r="AT302" s="173"/>
      <c r="AU302" s="174">
        <v>774</v>
      </c>
      <c r="AV302" s="172"/>
      <c r="AW302" s="173"/>
      <c r="AX302" s="173"/>
      <c r="AY302" s="173"/>
      <c r="AZ302" s="174"/>
      <c r="BA302" s="172"/>
      <c r="BB302" s="173"/>
      <c r="BC302" s="173"/>
      <c r="BD302" s="173"/>
      <c r="BE302" s="174"/>
      <c r="BF302" s="172">
        <f t="shared" si="74"/>
        <v>0</v>
      </c>
      <c r="BG302" s="173">
        <f t="shared" si="68"/>
        <v>0</v>
      </c>
      <c r="BH302" s="173">
        <f t="shared" si="69"/>
        <v>0</v>
      </c>
      <c r="BI302" s="173">
        <f t="shared" si="70"/>
        <v>0</v>
      </c>
      <c r="BJ302" s="174">
        <f t="shared" si="71"/>
        <v>0</v>
      </c>
      <c r="BK302" s="172"/>
      <c r="BL302" s="173"/>
      <c r="BM302" s="173"/>
      <c r="BN302" s="173"/>
      <c r="BO302" s="174"/>
      <c r="BP302" s="172"/>
      <c r="BQ302" s="173"/>
      <c r="BR302" s="173"/>
      <c r="BS302" s="173"/>
      <c r="BT302" s="174"/>
      <c r="BU302" s="172"/>
      <c r="BV302" s="173"/>
      <c r="BW302" s="173"/>
      <c r="BX302" s="173"/>
      <c r="BY302" s="174"/>
      <c r="BZ302" s="172"/>
      <c r="CA302" s="173"/>
      <c r="CB302" s="173"/>
      <c r="CC302" s="173"/>
      <c r="CD302" s="174"/>
      <c r="CE302" s="172"/>
      <c r="CF302" s="173"/>
      <c r="CG302" s="173"/>
      <c r="CH302" s="173"/>
      <c r="CI302" s="174"/>
    </row>
    <row r="303" s="147" customFormat="1" ht="14.6" spans="1:87">
      <c r="A303" s="175" t="s">
        <v>280</v>
      </c>
      <c r="B303" s="176"/>
      <c r="C303" s="177">
        <f t="shared" si="72"/>
        <v>516</v>
      </c>
      <c r="D303" s="178">
        <f t="shared" si="60"/>
        <v>258</v>
      </c>
      <c r="E303" s="178">
        <f t="shared" si="61"/>
        <v>0</v>
      </c>
      <c r="F303" s="178">
        <f t="shared" si="62"/>
        <v>0</v>
      </c>
      <c r="G303" s="179">
        <f t="shared" si="63"/>
        <v>774</v>
      </c>
      <c r="H303" s="177">
        <f t="shared" si="73"/>
        <v>516</v>
      </c>
      <c r="I303" s="178">
        <f t="shared" si="64"/>
        <v>258</v>
      </c>
      <c r="J303" s="178">
        <f t="shared" si="65"/>
        <v>0</v>
      </c>
      <c r="K303" s="178">
        <f t="shared" si="66"/>
        <v>0</v>
      </c>
      <c r="L303" s="179">
        <f t="shared" si="67"/>
        <v>774</v>
      </c>
      <c r="M303" s="177"/>
      <c r="N303" s="178"/>
      <c r="O303" s="178"/>
      <c r="P303" s="178"/>
      <c r="Q303" s="179"/>
      <c r="R303" s="177"/>
      <c r="S303" s="178"/>
      <c r="T303" s="178"/>
      <c r="U303" s="178"/>
      <c r="V303" s="179"/>
      <c r="W303" s="177"/>
      <c r="X303" s="178"/>
      <c r="Y303" s="178"/>
      <c r="Z303" s="178"/>
      <c r="AA303" s="179"/>
      <c r="AB303" s="177"/>
      <c r="AC303" s="178"/>
      <c r="AD303" s="178"/>
      <c r="AE303" s="178"/>
      <c r="AF303" s="179"/>
      <c r="AG303" s="177"/>
      <c r="AH303" s="178"/>
      <c r="AI303" s="178"/>
      <c r="AJ303" s="178"/>
      <c r="AK303" s="179"/>
      <c r="AL303" s="177"/>
      <c r="AM303" s="178"/>
      <c r="AN303" s="178"/>
      <c r="AO303" s="178"/>
      <c r="AP303" s="179"/>
      <c r="AQ303" s="177">
        <v>516</v>
      </c>
      <c r="AR303" s="178">
        <v>258</v>
      </c>
      <c r="AS303" s="178"/>
      <c r="AT303" s="178"/>
      <c r="AU303" s="179">
        <v>774</v>
      </c>
      <c r="AV303" s="177"/>
      <c r="AW303" s="178"/>
      <c r="AX303" s="178"/>
      <c r="AY303" s="178"/>
      <c r="AZ303" s="179"/>
      <c r="BA303" s="177"/>
      <c r="BB303" s="178"/>
      <c r="BC303" s="178"/>
      <c r="BD303" s="178"/>
      <c r="BE303" s="179"/>
      <c r="BF303" s="177">
        <f t="shared" si="74"/>
        <v>0</v>
      </c>
      <c r="BG303" s="178">
        <f t="shared" si="68"/>
        <v>0</v>
      </c>
      <c r="BH303" s="178">
        <f t="shared" si="69"/>
        <v>0</v>
      </c>
      <c r="BI303" s="178">
        <f t="shared" si="70"/>
        <v>0</v>
      </c>
      <c r="BJ303" s="179">
        <f t="shared" si="71"/>
        <v>0</v>
      </c>
      <c r="BK303" s="177"/>
      <c r="BL303" s="178"/>
      <c r="BM303" s="178"/>
      <c r="BN303" s="178"/>
      <c r="BO303" s="179"/>
      <c r="BP303" s="177"/>
      <c r="BQ303" s="178"/>
      <c r="BR303" s="178"/>
      <c r="BS303" s="178"/>
      <c r="BT303" s="179"/>
      <c r="BU303" s="177"/>
      <c r="BV303" s="178"/>
      <c r="BW303" s="178"/>
      <c r="BX303" s="178"/>
      <c r="BY303" s="179"/>
      <c r="BZ303" s="177"/>
      <c r="CA303" s="178"/>
      <c r="CB303" s="178"/>
      <c r="CC303" s="178"/>
      <c r="CD303" s="179"/>
      <c r="CE303" s="177"/>
      <c r="CF303" s="178"/>
      <c r="CG303" s="178"/>
      <c r="CH303" s="178"/>
      <c r="CI303" s="179"/>
    </row>
    <row r="304" spans="1:87">
      <c r="A304" s="170" t="s">
        <v>281</v>
      </c>
      <c r="B304" s="171" t="s">
        <v>26</v>
      </c>
      <c r="C304" s="172">
        <f t="shared" si="72"/>
        <v>699</v>
      </c>
      <c r="D304" s="173">
        <f t="shared" si="60"/>
        <v>0</v>
      </c>
      <c r="E304" s="173">
        <f t="shared" si="61"/>
        <v>0</v>
      </c>
      <c r="F304" s="173">
        <f t="shared" si="62"/>
        <v>0</v>
      </c>
      <c r="G304" s="174">
        <f t="shared" si="63"/>
        <v>699</v>
      </c>
      <c r="H304" s="172">
        <f t="shared" si="73"/>
        <v>699</v>
      </c>
      <c r="I304" s="173">
        <f t="shared" si="64"/>
        <v>0</v>
      </c>
      <c r="J304" s="173">
        <f t="shared" si="65"/>
        <v>0</v>
      </c>
      <c r="K304" s="173">
        <f t="shared" si="66"/>
        <v>0</v>
      </c>
      <c r="L304" s="174">
        <f t="shared" si="67"/>
        <v>699</v>
      </c>
      <c r="M304" s="172"/>
      <c r="N304" s="173"/>
      <c r="O304" s="173"/>
      <c r="P304" s="173"/>
      <c r="Q304" s="174"/>
      <c r="R304" s="172"/>
      <c r="S304" s="173"/>
      <c r="T304" s="173"/>
      <c r="U304" s="173"/>
      <c r="V304" s="174"/>
      <c r="W304" s="172"/>
      <c r="X304" s="173"/>
      <c r="Y304" s="173"/>
      <c r="Z304" s="173"/>
      <c r="AA304" s="174"/>
      <c r="AB304" s="172"/>
      <c r="AC304" s="173"/>
      <c r="AD304" s="173"/>
      <c r="AE304" s="173"/>
      <c r="AF304" s="174"/>
      <c r="AG304" s="172"/>
      <c r="AH304" s="173"/>
      <c r="AI304" s="173"/>
      <c r="AJ304" s="173"/>
      <c r="AK304" s="174"/>
      <c r="AL304" s="172"/>
      <c r="AM304" s="173"/>
      <c r="AN304" s="173"/>
      <c r="AO304" s="173"/>
      <c r="AP304" s="174"/>
      <c r="AQ304" s="172"/>
      <c r="AR304" s="173"/>
      <c r="AS304" s="173"/>
      <c r="AT304" s="173"/>
      <c r="AU304" s="174"/>
      <c r="AV304" s="172">
        <v>699</v>
      </c>
      <c r="AW304" s="173"/>
      <c r="AX304" s="173"/>
      <c r="AY304" s="173"/>
      <c r="AZ304" s="174">
        <v>699</v>
      </c>
      <c r="BA304" s="172"/>
      <c r="BB304" s="173"/>
      <c r="BC304" s="173"/>
      <c r="BD304" s="173"/>
      <c r="BE304" s="174"/>
      <c r="BF304" s="172">
        <f t="shared" si="74"/>
        <v>0</v>
      </c>
      <c r="BG304" s="173">
        <f t="shared" si="68"/>
        <v>0</v>
      </c>
      <c r="BH304" s="173">
        <f t="shared" si="69"/>
        <v>0</v>
      </c>
      <c r="BI304" s="173">
        <f t="shared" si="70"/>
        <v>0</v>
      </c>
      <c r="BJ304" s="174">
        <f t="shared" si="71"/>
        <v>0</v>
      </c>
      <c r="BK304" s="172"/>
      <c r="BL304" s="173"/>
      <c r="BM304" s="173"/>
      <c r="BN304" s="173"/>
      <c r="BO304" s="174"/>
      <c r="BP304" s="172"/>
      <c r="BQ304" s="173"/>
      <c r="BR304" s="173"/>
      <c r="BS304" s="173"/>
      <c r="BT304" s="174"/>
      <c r="BU304" s="172"/>
      <c r="BV304" s="173"/>
      <c r="BW304" s="173"/>
      <c r="BX304" s="173"/>
      <c r="BY304" s="174"/>
      <c r="BZ304" s="172"/>
      <c r="CA304" s="173"/>
      <c r="CB304" s="173"/>
      <c r="CC304" s="173"/>
      <c r="CD304" s="174"/>
      <c r="CE304" s="172"/>
      <c r="CF304" s="173"/>
      <c r="CG304" s="173"/>
      <c r="CH304" s="173"/>
      <c r="CI304" s="174"/>
    </row>
    <row r="305" s="147" customFormat="1" ht="14.6" spans="1:87">
      <c r="A305" s="175" t="s">
        <v>282</v>
      </c>
      <c r="B305" s="176"/>
      <c r="C305" s="177">
        <f t="shared" si="72"/>
        <v>699</v>
      </c>
      <c r="D305" s="178">
        <f t="shared" si="60"/>
        <v>0</v>
      </c>
      <c r="E305" s="178">
        <f t="shared" si="61"/>
        <v>0</v>
      </c>
      <c r="F305" s="178">
        <f t="shared" si="62"/>
        <v>0</v>
      </c>
      <c r="G305" s="179">
        <f t="shared" si="63"/>
        <v>699</v>
      </c>
      <c r="H305" s="177">
        <f t="shared" si="73"/>
        <v>699</v>
      </c>
      <c r="I305" s="178">
        <f t="shared" si="64"/>
        <v>0</v>
      </c>
      <c r="J305" s="178">
        <f t="shared" si="65"/>
        <v>0</v>
      </c>
      <c r="K305" s="178">
        <f t="shared" si="66"/>
        <v>0</v>
      </c>
      <c r="L305" s="179">
        <f t="shared" si="67"/>
        <v>699</v>
      </c>
      <c r="M305" s="177"/>
      <c r="N305" s="178"/>
      <c r="O305" s="178"/>
      <c r="P305" s="178"/>
      <c r="Q305" s="179"/>
      <c r="R305" s="177"/>
      <c r="S305" s="178"/>
      <c r="T305" s="178"/>
      <c r="U305" s="178"/>
      <c r="V305" s="179"/>
      <c r="W305" s="177"/>
      <c r="X305" s="178"/>
      <c r="Y305" s="178"/>
      <c r="Z305" s="178"/>
      <c r="AA305" s="179"/>
      <c r="AB305" s="177"/>
      <c r="AC305" s="178"/>
      <c r="AD305" s="178"/>
      <c r="AE305" s="178"/>
      <c r="AF305" s="179"/>
      <c r="AG305" s="177"/>
      <c r="AH305" s="178"/>
      <c r="AI305" s="178"/>
      <c r="AJ305" s="178"/>
      <c r="AK305" s="179"/>
      <c r="AL305" s="177"/>
      <c r="AM305" s="178"/>
      <c r="AN305" s="178"/>
      <c r="AO305" s="178"/>
      <c r="AP305" s="179"/>
      <c r="AQ305" s="177"/>
      <c r="AR305" s="178"/>
      <c r="AS305" s="178"/>
      <c r="AT305" s="178"/>
      <c r="AU305" s="179"/>
      <c r="AV305" s="177">
        <v>699</v>
      </c>
      <c r="AW305" s="178"/>
      <c r="AX305" s="178"/>
      <c r="AY305" s="178"/>
      <c r="AZ305" s="179">
        <v>699</v>
      </c>
      <c r="BA305" s="177"/>
      <c r="BB305" s="178"/>
      <c r="BC305" s="178"/>
      <c r="BD305" s="178"/>
      <c r="BE305" s="179"/>
      <c r="BF305" s="177">
        <f t="shared" si="74"/>
        <v>0</v>
      </c>
      <c r="BG305" s="178">
        <f t="shared" si="68"/>
        <v>0</v>
      </c>
      <c r="BH305" s="178">
        <f t="shared" si="69"/>
        <v>0</v>
      </c>
      <c r="BI305" s="178">
        <f t="shared" si="70"/>
        <v>0</v>
      </c>
      <c r="BJ305" s="179">
        <f t="shared" si="71"/>
        <v>0</v>
      </c>
      <c r="BK305" s="177"/>
      <c r="BL305" s="178"/>
      <c r="BM305" s="178"/>
      <c r="BN305" s="178"/>
      <c r="BO305" s="179"/>
      <c r="BP305" s="177"/>
      <c r="BQ305" s="178"/>
      <c r="BR305" s="178"/>
      <c r="BS305" s="178"/>
      <c r="BT305" s="179"/>
      <c r="BU305" s="177"/>
      <c r="BV305" s="178"/>
      <c r="BW305" s="178"/>
      <c r="BX305" s="178"/>
      <c r="BY305" s="179"/>
      <c r="BZ305" s="177"/>
      <c r="CA305" s="178"/>
      <c r="CB305" s="178"/>
      <c r="CC305" s="178"/>
      <c r="CD305" s="179"/>
      <c r="CE305" s="177"/>
      <c r="CF305" s="178"/>
      <c r="CG305" s="178"/>
      <c r="CH305" s="178"/>
      <c r="CI305" s="179"/>
    </row>
    <row r="306" spans="1:87">
      <c r="A306" s="170" t="s">
        <v>283</v>
      </c>
      <c r="B306" s="171" t="s">
        <v>26</v>
      </c>
      <c r="C306" s="172">
        <f t="shared" si="72"/>
        <v>594</v>
      </c>
      <c r="D306" s="173">
        <f t="shared" si="60"/>
        <v>0</v>
      </c>
      <c r="E306" s="173">
        <f t="shared" si="61"/>
        <v>0</v>
      </c>
      <c r="F306" s="173">
        <f t="shared" si="62"/>
        <v>0</v>
      </c>
      <c r="G306" s="174">
        <f t="shared" si="63"/>
        <v>594</v>
      </c>
      <c r="H306" s="172">
        <f t="shared" si="73"/>
        <v>594</v>
      </c>
      <c r="I306" s="173">
        <f t="shared" si="64"/>
        <v>0</v>
      </c>
      <c r="J306" s="173">
        <f t="shared" si="65"/>
        <v>0</v>
      </c>
      <c r="K306" s="173">
        <f t="shared" si="66"/>
        <v>0</v>
      </c>
      <c r="L306" s="174">
        <f t="shared" si="67"/>
        <v>594</v>
      </c>
      <c r="M306" s="172"/>
      <c r="N306" s="173"/>
      <c r="O306" s="173"/>
      <c r="P306" s="173"/>
      <c r="Q306" s="174"/>
      <c r="R306" s="172"/>
      <c r="S306" s="173"/>
      <c r="T306" s="173"/>
      <c r="U306" s="173"/>
      <c r="V306" s="174"/>
      <c r="W306" s="172"/>
      <c r="X306" s="173"/>
      <c r="Y306" s="173"/>
      <c r="Z306" s="173"/>
      <c r="AA306" s="174"/>
      <c r="AB306" s="172"/>
      <c r="AC306" s="173"/>
      <c r="AD306" s="173"/>
      <c r="AE306" s="173"/>
      <c r="AF306" s="174"/>
      <c r="AG306" s="172"/>
      <c r="AH306" s="173"/>
      <c r="AI306" s="173"/>
      <c r="AJ306" s="173"/>
      <c r="AK306" s="174"/>
      <c r="AL306" s="172"/>
      <c r="AM306" s="173"/>
      <c r="AN306" s="173"/>
      <c r="AO306" s="173"/>
      <c r="AP306" s="174"/>
      <c r="AQ306" s="172"/>
      <c r="AR306" s="173"/>
      <c r="AS306" s="173"/>
      <c r="AT306" s="173"/>
      <c r="AU306" s="174"/>
      <c r="AV306" s="172"/>
      <c r="AW306" s="173"/>
      <c r="AX306" s="173"/>
      <c r="AY306" s="173"/>
      <c r="AZ306" s="174"/>
      <c r="BA306" s="172">
        <v>594</v>
      </c>
      <c r="BB306" s="173"/>
      <c r="BC306" s="173"/>
      <c r="BD306" s="173"/>
      <c r="BE306" s="174">
        <v>594</v>
      </c>
      <c r="BF306" s="172">
        <f t="shared" si="74"/>
        <v>0</v>
      </c>
      <c r="BG306" s="173">
        <f t="shared" si="68"/>
        <v>0</v>
      </c>
      <c r="BH306" s="173">
        <f t="shared" si="69"/>
        <v>0</v>
      </c>
      <c r="BI306" s="173">
        <f t="shared" si="70"/>
        <v>0</v>
      </c>
      <c r="BJ306" s="174">
        <f t="shared" si="71"/>
        <v>0</v>
      </c>
      <c r="BK306" s="172"/>
      <c r="BL306" s="173"/>
      <c r="BM306" s="173"/>
      <c r="BN306" s="173"/>
      <c r="BO306" s="174"/>
      <c r="BP306" s="172"/>
      <c r="BQ306" s="173"/>
      <c r="BR306" s="173"/>
      <c r="BS306" s="173"/>
      <c r="BT306" s="174"/>
      <c r="BU306" s="172"/>
      <c r="BV306" s="173"/>
      <c r="BW306" s="173"/>
      <c r="BX306" s="173"/>
      <c r="BY306" s="174"/>
      <c r="BZ306" s="172"/>
      <c r="CA306" s="173"/>
      <c r="CB306" s="173"/>
      <c r="CC306" s="173"/>
      <c r="CD306" s="174"/>
      <c r="CE306" s="172"/>
      <c r="CF306" s="173"/>
      <c r="CG306" s="173"/>
      <c r="CH306" s="173"/>
      <c r="CI306" s="174"/>
    </row>
    <row r="307" s="147" customFormat="1" ht="14.6" spans="1:87">
      <c r="A307" s="175" t="s">
        <v>284</v>
      </c>
      <c r="B307" s="176"/>
      <c r="C307" s="177">
        <f t="shared" si="72"/>
        <v>594</v>
      </c>
      <c r="D307" s="178">
        <f t="shared" si="60"/>
        <v>0</v>
      </c>
      <c r="E307" s="178">
        <f t="shared" si="61"/>
        <v>0</v>
      </c>
      <c r="F307" s="178">
        <f t="shared" si="62"/>
        <v>0</v>
      </c>
      <c r="G307" s="179">
        <f t="shared" si="63"/>
        <v>594</v>
      </c>
      <c r="H307" s="177">
        <f t="shared" si="73"/>
        <v>594</v>
      </c>
      <c r="I307" s="178">
        <f t="shared" si="64"/>
        <v>0</v>
      </c>
      <c r="J307" s="178">
        <f t="shared" si="65"/>
        <v>0</v>
      </c>
      <c r="K307" s="178">
        <f t="shared" si="66"/>
        <v>0</v>
      </c>
      <c r="L307" s="179">
        <f t="shared" si="67"/>
        <v>594</v>
      </c>
      <c r="M307" s="177"/>
      <c r="N307" s="178"/>
      <c r="O307" s="178"/>
      <c r="P307" s="178"/>
      <c r="Q307" s="179"/>
      <c r="R307" s="177"/>
      <c r="S307" s="178"/>
      <c r="T307" s="178"/>
      <c r="U307" s="178"/>
      <c r="V307" s="179"/>
      <c r="W307" s="177"/>
      <c r="X307" s="178"/>
      <c r="Y307" s="178"/>
      <c r="Z307" s="178"/>
      <c r="AA307" s="179"/>
      <c r="AB307" s="177"/>
      <c r="AC307" s="178"/>
      <c r="AD307" s="178"/>
      <c r="AE307" s="178"/>
      <c r="AF307" s="179"/>
      <c r="AG307" s="177"/>
      <c r="AH307" s="178"/>
      <c r="AI307" s="178"/>
      <c r="AJ307" s="178"/>
      <c r="AK307" s="179"/>
      <c r="AL307" s="177"/>
      <c r="AM307" s="178"/>
      <c r="AN307" s="178"/>
      <c r="AO307" s="178"/>
      <c r="AP307" s="179"/>
      <c r="AQ307" s="177"/>
      <c r="AR307" s="178"/>
      <c r="AS307" s="178"/>
      <c r="AT307" s="178"/>
      <c r="AU307" s="179"/>
      <c r="AV307" s="177"/>
      <c r="AW307" s="178"/>
      <c r="AX307" s="178"/>
      <c r="AY307" s="178"/>
      <c r="AZ307" s="179"/>
      <c r="BA307" s="177">
        <v>594</v>
      </c>
      <c r="BB307" s="178"/>
      <c r="BC307" s="178"/>
      <c r="BD307" s="178"/>
      <c r="BE307" s="179">
        <v>594</v>
      </c>
      <c r="BF307" s="177">
        <f t="shared" si="74"/>
        <v>0</v>
      </c>
      <c r="BG307" s="178">
        <f t="shared" si="68"/>
        <v>0</v>
      </c>
      <c r="BH307" s="178">
        <f t="shared" si="69"/>
        <v>0</v>
      </c>
      <c r="BI307" s="178">
        <f t="shared" si="70"/>
        <v>0</v>
      </c>
      <c r="BJ307" s="179">
        <f t="shared" si="71"/>
        <v>0</v>
      </c>
      <c r="BK307" s="177"/>
      <c r="BL307" s="178"/>
      <c r="BM307" s="178"/>
      <c r="BN307" s="178"/>
      <c r="BO307" s="179"/>
      <c r="BP307" s="177"/>
      <c r="BQ307" s="178"/>
      <c r="BR307" s="178"/>
      <c r="BS307" s="178"/>
      <c r="BT307" s="179"/>
      <c r="BU307" s="177"/>
      <c r="BV307" s="178"/>
      <c r="BW307" s="178"/>
      <c r="BX307" s="178"/>
      <c r="BY307" s="179"/>
      <c r="BZ307" s="177"/>
      <c r="CA307" s="178"/>
      <c r="CB307" s="178"/>
      <c r="CC307" s="178"/>
      <c r="CD307" s="179"/>
      <c r="CE307" s="177"/>
      <c r="CF307" s="178"/>
      <c r="CG307" s="178"/>
      <c r="CH307" s="178"/>
      <c r="CI307" s="179"/>
    </row>
    <row r="308" spans="1:87">
      <c r="A308" s="170" t="s">
        <v>285</v>
      </c>
      <c r="B308" s="171" t="s">
        <v>26</v>
      </c>
      <c r="C308" s="172">
        <f t="shared" si="72"/>
        <v>295</v>
      </c>
      <c r="D308" s="173">
        <f t="shared" si="60"/>
        <v>236</v>
      </c>
      <c r="E308" s="173">
        <f t="shared" si="61"/>
        <v>0</v>
      </c>
      <c r="F308" s="173">
        <f t="shared" si="62"/>
        <v>0</v>
      </c>
      <c r="G308" s="174">
        <f t="shared" si="63"/>
        <v>531</v>
      </c>
      <c r="H308" s="172">
        <f t="shared" si="73"/>
        <v>295</v>
      </c>
      <c r="I308" s="173">
        <f t="shared" si="64"/>
        <v>236</v>
      </c>
      <c r="J308" s="173">
        <f t="shared" si="65"/>
        <v>0</v>
      </c>
      <c r="K308" s="173">
        <f t="shared" si="66"/>
        <v>0</v>
      </c>
      <c r="L308" s="174">
        <f t="shared" si="67"/>
        <v>531</v>
      </c>
      <c r="M308" s="172"/>
      <c r="N308" s="173"/>
      <c r="O308" s="173"/>
      <c r="P308" s="173"/>
      <c r="Q308" s="174"/>
      <c r="R308" s="172"/>
      <c r="S308" s="173"/>
      <c r="T308" s="173"/>
      <c r="U308" s="173"/>
      <c r="V308" s="174"/>
      <c r="W308" s="172"/>
      <c r="X308" s="173"/>
      <c r="Y308" s="173"/>
      <c r="Z308" s="173"/>
      <c r="AA308" s="174"/>
      <c r="AB308" s="172">
        <v>295</v>
      </c>
      <c r="AC308" s="173">
        <v>236</v>
      </c>
      <c r="AD308" s="173"/>
      <c r="AE308" s="173"/>
      <c r="AF308" s="174">
        <v>531</v>
      </c>
      <c r="AG308" s="172"/>
      <c r="AH308" s="173"/>
      <c r="AI308" s="173"/>
      <c r="AJ308" s="173"/>
      <c r="AK308" s="174"/>
      <c r="AL308" s="172"/>
      <c r="AM308" s="173"/>
      <c r="AN308" s="173"/>
      <c r="AO308" s="173"/>
      <c r="AP308" s="174"/>
      <c r="AQ308" s="172"/>
      <c r="AR308" s="173"/>
      <c r="AS308" s="173"/>
      <c r="AT308" s="173"/>
      <c r="AU308" s="174"/>
      <c r="AV308" s="172"/>
      <c r="AW308" s="173"/>
      <c r="AX308" s="173"/>
      <c r="AY308" s="173"/>
      <c r="AZ308" s="174"/>
      <c r="BA308" s="172"/>
      <c r="BB308" s="173"/>
      <c r="BC308" s="173"/>
      <c r="BD308" s="173"/>
      <c r="BE308" s="174"/>
      <c r="BF308" s="172">
        <f t="shared" si="74"/>
        <v>0</v>
      </c>
      <c r="BG308" s="173">
        <f t="shared" si="68"/>
        <v>0</v>
      </c>
      <c r="BH308" s="173">
        <f t="shared" si="69"/>
        <v>0</v>
      </c>
      <c r="BI308" s="173">
        <f t="shared" si="70"/>
        <v>0</v>
      </c>
      <c r="BJ308" s="174">
        <f t="shared" si="71"/>
        <v>0</v>
      </c>
      <c r="BK308" s="172"/>
      <c r="BL308" s="173"/>
      <c r="BM308" s="173"/>
      <c r="BN308" s="173"/>
      <c r="BO308" s="174"/>
      <c r="BP308" s="172"/>
      <c r="BQ308" s="173"/>
      <c r="BR308" s="173"/>
      <c r="BS308" s="173"/>
      <c r="BT308" s="174"/>
      <c r="BU308" s="172"/>
      <c r="BV308" s="173"/>
      <c r="BW308" s="173"/>
      <c r="BX308" s="173"/>
      <c r="BY308" s="174"/>
      <c r="BZ308" s="172"/>
      <c r="CA308" s="173"/>
      <c r="CB308" s="173"/>
      <c r="CC308" s="173"/>
      <c r="CD308" s="174"/>
      <c r="CE308" s="172"/>
      <c r="CF308" s="173"/>
      <c r="CG308" s="173"/>
      <c r="CH308" s="173"/>
      <c r="CI308" s="174"/>
    </row>
    <row r="309" s="147" customFormat="1" ht="14.6" spans="1:87">
      <c r="A309" s="175" t="s">
        <v>286</v>
      </c>
      <c r="B309" s="176"/>
      <c r="C309" s="177">
        <f t="shared" si="72"/>
        <v>295</v>
      </c>
      <c r="D309" s="178">
        <f t="shared" si="60"/>
        <v>236</v>
      </c>
      <c r="E309" s="178">
        <f t="shared" si="61"/>
        <v>0</v>
      </c>
      <c r="F309" s="178">
        <f t="shared" si="62"/>
        <v>0</v>
      </c>
      <c r="G309" s="179">
        <f t="shared" si="63"/>
        <v>531</v>
      </c>
      <c r="H309" s="177">
        <f t="shared" si="73"/>
        <v>295</v>
      </c>
      <c r="I309" s="178">
        <f t="shared" si="64"/>
        <v>236</v>
      </c>
      <c r="J309" s="178">
        <f t="shared" si="65"/>
        <v>0</v>
      </c>
      <c r="K309" s="178">
        <f t="shared" si="66"/>
        <v>0</v>
      </c>
      <c r="L309" s="179">
        <f t="shared" si="67"/>
        <v>531</v>
      </c>
      <c r="M309" s="177"/>
      <c r="N309" s="178"/>
      <c r="O309" s="178"/>
      <c r="P309" s="178"/>
      <c r="Q309" s="179"/>
      <c r="R309" s="177"/>
      <c r="S309" s="178"/>
      <c r="T309" s="178"/>
      <c r="U309" s="178"/>
      <c r="V309" s="179"/>
      <c r="W309" s="177"/>
      <c r="X309" s="178"/>
      <c r="Y309" s="178"/>
      <c r="Z309" s="178"/>
      <c r="AA309" s="179"/>
      <c r="AB309" s="177">
        <v>295</v>
      </c>
      <c r="AC309" s="178">
        <v>236</v>
      </c>
      <c r="AD309" s="178"/>
      <c r="AE309" s="178"/>
      <c r="AF309" s="179">
        <v>531</v>
      </c>
      <c r="AG309" s="177"/>
      <c r="AH309" s="178"/>
      <c r="AI309" s="178"/>
      <c r="AJ309" s="178"/>
      <c r="AK309" s="179"/>
      <c r="AL309" s="177"/>
      <c r="AM309" s="178"/>
      <c r="AN309" s="178"/>
      <c r="AO309" s="178"/>
      <c r="AP309" s="179"/>
      <c r="AQ309" s="177"/>
      <c r="AR309" s="178"/>
      <c r="AS309" s="178"/>
      <c r="AT309" s="178"/>
      <c r="AU309" s="179"/>
      <c r="AV309" s="177"/>
      <c r="AW309" s="178"/>
      <c r="AX309" s="178"/>
      <c r="AY309" s="178"/>
      <c r="AZ309" s="179"/>
      <c r="BA309" s="177"/>
      <c r="BB309" s="178"/>
      <c r="BC309" s="178"/>
      <c r="BD309" s="178"/>
      <c r="BE309" s="179"/>
      <c r="BF309" s="177">
        <f t="shared" si="74"/>
        <v>0</v>
      </c>
      <c r="BG309" s="178">
        <f t="shared" si="68"/>
        <v>0</v>
      </c>
      <c r="BH309" s="178">
        <f t="shared" si="69"/>
        <v>0</v>
      </c>
      <c r="BI309" s="178">
        <f t="shared" si="70"/>
        <v>0</v>
      </c>
      <c r="BJ309" s="179">
        <f t="shared" si="71"/>
        <v>0</v>
      </c>
      <c r="BK309" s="177"/>
      <c r="BL309" s="178"/>
      <c r="BM309" s="178"/>
      <c r="BN309" s="178"/>
      <c r="BO309" s="179"/>
      <c r="BP309" s="177"/>
      <c r="BQ309" s="178"/>
      <c r="BR309" s="178"/>
      <c r="BS309" s="178"/>
      <c r="BT309" s="179"/>
      <c r="BU309" s="177"/>
      <c r="BV309" s="178"/>
      <c r="BW309" s="178"/>
      <c r="BX309" s="178"/>
      <c r="BY309" s="179"/>
      <c r="BZ309" s="177"/>
      <c r="CA309" s="178"/>
      <c r="CB309" s="178"/>
      <c r="CC309" s="178"/>
      <c r="CD309" s="179"/>
      <c r="CE309" s="177"/>
      <c r="CF309" s="178"/>
      <c r="CG309" s="178"/>
      <c r="CH309" s="178"/>
      <c r="CI309" s="179"/>
    </row>
    <row r="310" spans="1:87">
      <c r="A310" s="170" t="s">
        <v>287</v>
      </c>
      <c r="B310" s="171" t="s">
        <v>26</v>
      </c>
      <c r="C310" s="172">
        <f t="shared" si="72"/>
        <v>0</v>
      </c>
      <c r="D310" s="173">
        <f t="shared" si="60"/>
        <v>0</v>
      </c>
      <c r="E310" s="173">
        <f t="shared" si="61"/>
        <v>531</v>
      </c>
      <c r="F310" s="173">
        <f t="shared" si="62"/>
        <v>0</v>
      </c>
      <c r="G310" s="174">
        <f t="shared" si="63"/>
        <v>531</v>
      </c>
      <c r="H310" s="172">
        <f t="shared" si="73"/>
        <v>0</v>
      </c>
      <c r="I310" s="173">
        <f t="shared" si="64"/>
        <v>0</v>
      </c>
      <c r="J310" s="173">
        <f t="shared" si="65"/>
        <v>531</v>
      </c>
      <c r="K310" s="173">
        <f t="shared" si="66"/>
        <v>0</v>
      </c>
      <c r="L310" s="174">
        <f t="shared" si="67"/>
        <v>531</v>
      </c>
      <c r="M310" s="172"/>
      <c r="N310" s="173"/>
      <c r="O310" s="173"/>
      <c r="P310" s="173"/>
      <c r="Q310" s="174"/>
      <c r="R310" s="172"/>
      <c r="S310" s="173"/>
      <c r="T310" s="173"/>
      <c r="U310" s="173"/>
      <c r="V310" s="174"/>
      <c r="W310" s="172"/>
      <c r="X310" s="173"/>
      <c r="Y310" s="173"/>
      <c r="Z310" s="173"/>
      <c r="AA310" s="174"/>
      <c r="AB310" s="172"/>
      <c r="AC310" s="173"/>
      <c r="AD310" s="173">
        <v>531</v>
      </c>
      <c r="AE310" s="173"/>
      <c r="AF310" s="174">
        <v>531</v>
      </c>
      <c r="AG310" s="172"/>
      <c r="AH310" s="173"/>
      <c r="AI310" s="173"/>
      <c r="AJ310" s="173"/>
      <c r="AK310" s="174"/>
      <c r="AL310" s="172"/>
      <c r="AM310" s="173"/>
      <c r="AN310" s="173"/>
      <c r="AO310" s="173"/>
      <c r="AP310" s="174"/>
      <c r="AQ310" s="172"/>
      <c r="AR310" s="173"/>
      <c r="AS310" s="173"/>
      <c r="AT310" s="173"/>
      <c r="AU310" s="174"/>
      <c r="AV310" s="172"/>
      <c r="AW310" s="173"/>
      <c r="AX310" s="173"/>
      <c r="AY310" s="173"/>
      <c r="AZ310" s="174"/>
      <c r="BA310" s="172"/>
      <c r="BB310" s="173"/>
      <c r="BC310" s="173"/>
      <c r="BD310" s="173"/>
      <c r="BE310" s="174"/>
      <c r="BF310" s="172">
        <f t="shared" si="74"/>
        <v>0</v>
      </c>
      <c r="BG310" s="173">
        <f t="shared" si="68"/>
        <v>0</v>
      </c>
      <c r="BH310" s="173">
        <f t="shared" si="69"/>
        <v>0</v>
      </c>
      <c r="BI310" s="173">
        <f t="shared" si="70"/>
        <v>0</v>
      </c>
      <c r="BJ310" s="174">
        <f t="shared" si="71"/>
        <v>0</v>
      </c>
      <c r="BK310" s="172"/>
      <c r="BL310" s="173"/>
      <c r="BM310" s="173"/>
      <c r="BN310" s="173"/>
      <c r="BO310" s="174"/>
      <c r="BP310" s="172"/>
      <c r="BQ310" s="173"/>
      <c r="BR310" s="173"/>
      <c r="BS310" s="173"/>
      <c r="BT310" s="174"/>
      <c r="BU310" s="172"/>
      <c r="BV310" s="173"/>
      <c r="BW310" s="173"/>
      <c r="BX310" s="173"/>
      <c r="BY310" s="174"/>
      <c r="BZ310" s="172"/>
      <c r="CA310" s="173"/>
      <c r="CB310" s="173"/>
      <c r="CC310" s="173"/>
      <c r="CD310" s="174"/>
      <c r="CE310" s="172"/>
      <c r="CF310" s="173"/>
      <c r="CG310" s="173"/>
      <c r="CH310" s="173"/>
      <c r="CI310" s="174"/>
    </row>
    <row r="311" s="147" customFormat="1" ht="14.6" spans="1:87">
      <c r="A311" s="175" t="s">
        <v>288</v>
      </c>
      <c r="B311" s="176"/>
      <c r="C311" s="177">
        <f t="shared" si="72"/>
        <v>0</v>
      </c>
      <c r="D311" s="178">
        <f t="shared" si="60"/>
        <v>0</v>
      </c>
      <c r="E311" s="178">
        <f t="shared" si="61"/>
        <v>531</v>
      </c>
      <c r="F311" s="178">
        <f t="shared" si="62"/>
        <v>0</v>
      </c>
      <c r="G311" s="179">
        <f t="shared" si="63"/>
        <v>531</v>
      </c>
      <c r="H311" s="177">
        <f t="shared" si="73"/>
        <v>0</v>
      </c>
      <c r="I311" s="178">
        <f t="shared" si="64"/>
        <v>0</v>
      </c>
      <c r="J311" s="178">
        <f t="shared" si="65"/>
        <v>531</v>
      </c>
      <c r="K311" s="178">
        <f t="shared" si="66"/>
        <v>0</v>
      </c>
      <c r="L311" s="179">
        <f t="shared" si="67"/>
        <v>531</v>
      </c>
      <c r="M311" s="177"/>
      <c r="N311" s="178"/>
      <c r="O311" s="178"/>
      <c r="P311" s="178"/>
      <c r="Q311" s="179"/>
      <c r="R311" s="177"/>
      <c r="S311" s="178"/>
      <c r="T311" s="178"/>
      <c r="U311" s="178"/>
      <c r="V311" s="179"/>
      <c r="W311" s="177"/>
      <c r="X311" s="178"/>
      <c r="Y311" s="178"/>
      <c r="Z311" s="178"/>
      <c r="AA311" s="179"/>
      <c r="AB311" s="177"/>
      <c r="AC311" s="178"/>
      <c r="AD311" s="178">
        <v>531</v>
      </c>
      <c r="AE311" s="178"/>
      <c r="AF311" s="179">
        <v>531</v>
      </c>
      <c r="AG311" s="177"/>
      <c r="AH311" s="178"/>
      <c r="AI311" s="178"/>
      <c r="AJ311" s="178"/>
      <c r="AK311" s="179"/>
      <c r="AL311" s="177"/>
      <c r="AM311" s="178"/>
      <c r="AN311" s="178"/>
      <c r="AO311" s="178"/>
      <c r="AP311" s="179"/>
      <c r="AQ311" s="177"/>
      <c r="AR311" s="178"/>
      <c r="AS311" s="178"/>
      <c r="AT311" s="178"/>
      <c r="AU311" s="179"/>
      <c r="AV311" s="177"/>
      <c r="AW311" s="178"/>
      <c r="AX311" s="178"/>
      <c r="AY311" s="178"/>
      <c r="AZ311" s="179"/>
      <c r="BA311" s="177"/>
      <c r="BB311" s="178"/>
      <c r="BC311" s="178"/>
      <c r="BD311" s="178"/>
      <c r="BE311" s="179"/>
      <c r="BF311" s="177">
        <f t="shared" si="74"/>
        <v>0</v>
      </c>
      <c r="BG311" s="178">
        <f t="shared" si="68"/>
        <v>0</v>
      </c>
      <c r="BH311" s="178">
        <f t="shared" si="69"/>
        <v>0</v>
      </c>
      <c r="BI311" s="178">
        <f t="shared" si="70"/>
        <v>0</v>
      </c>
      <c r="BJ311" s="179">
        <f t="shared" si="71"/>
        <v>0</v>
      </c>
      <c r="BK311" s="177"/>
      <c r="BL311" s="178"/>
      <c r="BM311" s="178"/>
      <c r="BN311" s="178"/>
      <c r="BO311" s="179"/>
      <c r="BP311" s="177"/>
      <c r="BQ311" s="178"/>
      <c r="BR311" s="178"/>
      <c r="BS311" s="178"/>
      <c r="BT311" s="179"/>
      <c r="BU311" s="177"/>
      <c r="BV311" s="178"/>
      <c r="BW311" s="178"/>
      <c r="BX311" s="178"/>
      <c r="BY311" s="179"/>
      <c r="BZ311" s="177"/>
      <c r="CA311" s="178"/>
      <c r="CB311" s="178"/>
      <c r="CC311" s="178"/>
      <c r="CD311" s="179"/>
      <c r="CE311" s="177"/>
      <c r="CF311" s="178"/>
      <c r="CG311" s="178"/>
      <c r="CH311" s="178"/>
      <c r="CI311" s="179"/>
    </row>
    <row r="312" spans="1:87">
      <c r="A312" s="170" t="s">
        <v>289</v>
      </c>
      <c r="B312" s="171" t="s">
        <v>26</v>
      </c>
      <c r="C312" s="172">
        <f t="shared" si="72"/>
        <v>0</v>
      </c>
      <c r="D312" s="173">
        <f t="shared" si="60"/>
        <v>0</v>
      </c>
      <c r="E312" s="173">
        <f t="shared" si="61"/>
        <v>354</v>
      </c>
      <c r="F312" s="173">
        <f t="shared" si="62"/>
        <v>59</v>
      </c>
      <c r="G312" s="174">
        <f t="shared" si="63"/>
        <v>413</v>
      </c>
      <c r="H312" s="172">
        <f t="shared" si="73"/>
        <v>0</v>
      </c>
      <c r="I312" s="173">
        <f t="shared" si="64"/>
        <v>0</v>
      </c>
      <c r="J312" s="173">
        <f t="shared" si="65"/>
        <v>354</v>
      </c>
      <c r="K312" s="173">
        <f t="shared" si="66"/>
        <v>59</v>
      </c>
      <c r="L312" s="174">
        <f t="shared" si="67"/>
        <v>413</v>
      </c>
      <c r="M312" s="172"/>
      <c r="N312" s="173"/>
      <c r="O312" s="173"/>
      <c r="P312" s="173"/>
      <c r="Q312" s="174"/>
      <c r="R312" s="172"/>
      <c r="S312" s="173"/>
      <c r="T312" s="173">
        <v>354</v>
      </c>
      <c r="U312" s="173">
        <v>59</v>
      </c>
      <c r="V312" s="174">
        <v>413</v>
      </c>
      <c r="W312" s="172"/>
      <c r="X312" s="173"/>
      <c r="Y312" s="173"/>
      <c r="Z312" s="173"/>
      <c r="AA312" s="174"/>
      <c r="AB312" s="172"/>
      <c r="AC312" s="173"/>
      <c r="AD312" s="173"/>
      <c r="AE312" s="173"/>
      <c r="AF312" s="174"/>
      <c r="AG312" s="172"/>
      <c r="AH312" s="173"/>
      <c r="AI312" s="173"/>
      <c r="AJ312" s="173"/>
      <c r="AK312" s="174"/>
      <c r="AL312" s="172"/>
      <c r="AM312" s="173"/>
      <c r="AN312" s="173"/>
      <c r="AO312" s="173"/>
      <c r="AP312" s="174"/>
      <c r="AQ312" s="172"/>
      <c r="AR312" s="173"/>
      <c r="AS312" s="173"/>
      <c r="AT312" s="173"/>
      <c r="AU312" s="174"/>
      <c r="AV312" s="172"/>
      <c r="AW312" s="173"/>
      <c r="AX312" s="173"/>
      <c r="AY312" s="173"/>
      <c r="AZ312" s="174"/>
      <c r="BA312" s="172"/>
      <c r="BB312" s="173"/>
      <c r="BC312" s="173"/>
      <c r="BD312" s="173"/>
      <c r="BE312" s="174"/>
      <c r="BF312" s="172">
        <f t="shared" si="74"/>
        <v>0</v>
      </c>
      <c r="BG312" s="173">
        <f t="shared" si="68"/>
        <v>0</v>
      </c>
      <c r="BH312" s="173">
        <f t="shared" si="69"/>
        <v>0</v>
      </c>
      <c r="BI312" s="173">
        <f t="shared" si="70"/>
        <v>0</v>
      </c>
      <c r="BJ312" s="174">
        <f t="shared" si="71"/>
        <v>0</v>
      </c>
      <c r="BK312" s="172"/>
      <c r="BL312" s="173"/>
      <c r="BM312" s="173"/>
      <c r="BN312" s="173"/>
      <c r="BO312" s="174"/>
      <c r="BP312" s="172"/>
      <c r="BQ312" s="173"/>
      <c r="BR312" s="173"/>
      <c r="BS312" s="173"/>
      <c r="BT312" s="174"/>
      <c r="BU312" s="172"/>
      <c r="BV312" s="173"/>
      <c r="BW312" s="173"/>
      <c r="BX312" s="173"/>
      <c r="BY312" s="174"/>
      <c r="BZ312" s="172"/>
      <c r="CA312" s="173"/>
      <c r="CB312" s="173"/>
      <c r="CC312" s="173"/>
      <c r="CD312" s="174"/>
      <c r="CE312" s="172"/>
      <c r="CF312" s="173"/>
      <c r="CG312" s="173"/>
      <c r="CH312" s="173"/>
      <c r="CI312" s="174"/>
    </row>
    <row r="313" s="147" customFormat="1" ht="14.6" spans="1:87">
      <c r="A313" s="175" t="s">
        <v>290</v>
      </c>
      <c r="B313" s="176"/>
      <c r="C313" s="177">
        <f t="shared" si="72"/>
        <v>0</v>
      </c>
      <c r="D313" s="178">
        <f t="shared" si="60"/>
        <v>0</v>
      </c>
      <c r="E313" s="178">
        <f t="shared" si="61"/>
        <v>354</v>
      </c>
      <c r="F313" s="178">
        <f t="shared" si="62"/>
        <v>59</v>
      </c>
      <c r="G313" s="179">
        <f t="shared" si="63"/>
        <v>413</v>
      </c>
      <c r="H313" s="177">
        <f t="shared" si="73"/>
        <v>0</v>
      </c>
      <c r="I313" s="178">
        <f t="shared" si="64"/>
        <v>0</v>
      </c>
      <c r="J313" s="178">
        <f t="shared" si="65"/>
        <v>354</v>
      </c>
      <c r="K313" s="178">
        <f t="shared" si="66"/>
        <v>59</v>
      </c>
      <c r="L313" s="179">
        <f t="shared" si="67"/>
        <v>413</v>
      </c>
      <c r="M313" s="177"/>
      <c r="N313" s="178"/>
      <c r="O313" s="178"/>
      <c r="P313" s="178"/>
      <c r="Q313" s="179"/>
      <c r="R313" s="177"/>
      <c r="S313" s="178"/>
      <c r="T313" s="178">
        <v>354</v>
      </c>
      <c r="U313" s="178">
        <v>59</v>
      </c>
      <c r="V313" s="179">
        <v>413</v>
      </c>
      <c r="W313" s="177"/>
      <c r="X313" s="178"/>
      <c r="Y313" s="178"/>
      <c r="Z313" s="178"/>
      <c r="AA313" s="179"/>
      <c r="AB313" s="177"/>
      <c r="AC313" s="178"/>
      <c r="AD313" s="178"/>
      <c r="AE313" s="178"/>
      <c r="AF313" s="179"/>
      <c r="AG313" s="177"/>
      <c r="AH313" s="178"/>
      <c r="AI313" s="178"/>
      <c r="AJ313" s="178"/>
      <c r="AK313" s="179"/>
      <c r="AL313" s="177"/>
      <c r="AM313" s="178"/>
      <c r="AN313" s="178"/>
      <c r="AO313" s="178"/>
      <c r="AP313" s="179"/>
      <c r="AQ313" s="177"/>
      <c r="AR313" s="178"/>
      <c r="AS313" s="178"/>
      <c r="AT313" s="178"/>
      <c r="AU313" s="179"/>
      <c r="AV313" s="177"/>
      <c r="AW313" s="178"/>
      <c r="AX313" s="178"/>
      <c r="AY313" s="178"/>
      <c r="AZ313" s="179"/>
      <c r="BA313" s="177"/>
      <c r="BB313" s="178"/>
      <c r="BC313" s="178"/>
      <c r="BD313" s="178"/>
      <c r="BE313" s="179"/>
      <c r="BF313" s="177">
        <f t="shared" si="74"/>
        <v>0</v>
      </c>
      <c r="BG313" s="178">
        <f t="shared" si="68"/>
        <v>0</v>
      </c>
      <c r="BH313" s="178">
        <f t="shared" si="69"/>
        <v>0</v>
      </c>
      <c r="BI313" s="178">
        <f t="shared" si="70"/>
        <v>0</v>
      </c>
      <c r="BJ313" s="179">
        <f t="shared" si="71"/>
        <v>0</v>
      </c>
      <c r="BK313" s="177"/>
      <c r="BL313" s="178"/>
      <c r="BM313" s="178"/>
      <c r="BN313" s="178"/>
      <c r="BO313" s="179"/>
      <c r="BP313" s="177"/>
      <c r="BQ313" s="178"/>
      <c r="BR313" s="178"/>
      <c r="BS313" s="178"/>
      <c r="BT313" s="179"/>
      <c r="BU313" s="177"/>
      <c r="BV313" s="178"/>
      <c r="BW313" s="178"/>
      <c r="BX313" s="178"/>
      <c r="BY313" s="179"/>
      <c r="BZ313" s="177"/>
      <c r="CA313" s="178"/>
      <c r="CB313" s="178"/>
      <c r="CC313" s="178"/>
      <c r="CD313" s="179"/>
      <c r="CE313" s="177"/>
      <c r="CF313" s="178"/>
      <c r="CG313" s="178"/>
      <c r="CH313" s="178"/>
      <c r="CI313" s="179"/>
    </row>
    <row r="314" spans="1:87">
      <c r="A314" s="170" t="s">
        <v>291</v>
      </c>
      <c r="B314" s="171" t="s">
        <v>26</v>
      </c>
      <c r="C314" s="172">
        <f t="shared" si="72"/>
        <v>0</v>
      </c>
      <c r="D314" s="173">
        <f t="shared" si="60"/>
        <v>0</v>
      </c>
      <c r="E314" s="173">
        <f t="shared" si="61"/>
        <v>0</v>
      </c>
      <c r="F314" s="173">
        <f t="shared" si="62"/>
        <v>269</v>
      </c>
      <c r="G314" s="174">
        <f t="shared" si="63"/>
        <v>269</v>
      </c>
      <c r="H314" s="172">
        <f t="shared" si="73"/>
        <v>0</v>
      </c>
      <c r="I314" s="173">
        <f t="shared" si="64"/>
        <v>0</v>
      </c>
      <c r="J314" s="173">
        <f t="shared" si="65"/>
        <v>0</v>
      </c>
      <c r="K314" s="173">
        <f t="shared" si="66"/>
        <v>269</v>
      </c>
      <c r="L314" s="174">
        <f t="shared" si="67"/>
        <v>269</v>
      </c>
      <c r="M314" s="172"/>
      <c r="N314" s="173"/>
      <c r="O314" s="173"/>
      <c r="P314" s="173"/>
      <c r="Q314" s="174"/>
      <c r="R314" s="172"/>
      <c r="S314" s="173"/>
      <c r="T314" s="173"/>
      <c r="U314" s="173"/>
      <c r="V314" s="174"/>
      <c r="W314" s="172"/>
      <c r="X314" s="173"/>
      <c r="Y314" s="173"/>
      <c r="Z314" s="173"/>
      <c r="AA314" s="174"/>
      <c r="AB314" s="172"/>
      <c r="AC314" s="173"/>
      <c r="AD314" s="173"/>
      <c r="AE314" s="173"/>
      <c r="AF314" s="174"/>
      <c r="AG314" s="172"/>
      <c r="AH314" s="173"/>
      <c r="AI314" s="173"/>
      <c r="AJ314" s="173"/>
      <c r="AK314" s="174"/>
      <c r="AL314" s="172"/>
      <c r="AM314" s="173"/>
      <c r="AN314" s="173"/>
      <c r="AO314" s="173"/>
      <c r="AP314" s="174"/>
      <c r="AQ314" s="172"/>
      <c r="AR314" s="173"/>
      <c r="AS314" s="173"/>
      <c r="AT314" s="173"/>
      <c r="AU314" s="174"/>
      <c r="AV314" s="172"/>
      <c r="AW314" s="173"/>
      <c r="AX314" s="173"/>
      <c r="AY314" s="173"/>
      <c r="AZ314" s="174"/>
      <c r="BA314" s="172"/>
      <c r="BB314" s="173"/>
      <c r="BC314" s="173"/>
      <c r="BD314" s="173">
        <v>269</v>
      </c>
      <c r="BE314" s="174">
        <v>269</v>
      </c>
      <c r="BF314" s="172">
        <f t="shared" si="74"/>
        <v>0</v>
      </c>
      <c r="BG314" s="173">
        <f t="shared" si="68"/>
        <v>0</v>
      </c>
      <c r="BH314" s="173">
        <f t="shared" si="69"/>
        <v>0</v>
      </c>
      <c r="BI314" s="173">
        <f t="shared" si="70"/>
        <v>0</v>
      </c>
      <c r="BJ314" s="174">
        <f t="shared" si="71"/>
        <v>0</v>
      </c>
      <c r="BK314" s="172"/>
      <c r="BL314" s="173"/>
      <c r="BM314" s="173"/>
      <c r="BN314" s="173"/>
      <c r="BO314" s="174"/>
      <c r="BP314" s="172"/>
      <c r="BQ314" s="173"/>
      <c r="BR314" s="173"/>
      <c r="BS314" s="173"/>
      <c r="BT314" s="174"/>
      <c r="BU314" s="172"/>
      <c r="BV314" s="173"/>
      <c r="BW314" s="173"/>
      <c r="BX314" s="173"/>
      <c r="BY314" s="174"/>
      <c r="BZ314" s="172"/>
      <c r="CA314" s="173"/>
      <c r="CB314" s="173"/>
      <c r="CC314" s="173"/>
      <c r="CD314" s="174"/>
      <c r="CE314" s="172"/>
      <c r="CF314" s="173"/>
      <c r="CG314" s="173"/>
      <c r="CH314" s="173"/>
      <c r="CI314" s="174"/>
    </row>
    <row r="315" s="147" customFormat="1" ht="14.6" spans="1:87">
      <c r="A315" s="175" t="s">
        <v>292</v>
      </c>
      <c r="B315" s="176"/>
      <c r="C315" s="177">
        <f t="shared" si="72"/>
        <v>0</v>
      </c>
      <c r="D315" s="178">
        <f t="shared" si="60"/>
        <v>0</v>
      </c>
      <c r="E315" s="178">
        <f t="shared" si="61"/>
        <v>0</v>
      </c>
      <c r="F315" s="178">
        <f t="shared" si="62"/>
        <v>269</v>
      </c>
      <c r="G315" s="179">
        <f t="shared" si="63"/>
        <v>269</v>
      </c>
      <c r="H315" s="177">
        <f t="shared" si="73"/>
        <v>0</v>
      </c>
      <c r="I315" s="178">
        <f t="shared" si="64"/>
        <v>0</v>
      </c>
      <c r="J315" s="178">
        <f t="shared" si="65"/>
        <v>0</v>
      </c>
      <c r="K315" s="178">
        <f t="shared" si="66"/>
        <v>269</v>
      </c>
      <c r="L315" s="179">
        <f t="shared" si="67"/>
        <v>269</v>
      </c>
      <c r="M315" s="177"/>
      <c r="N315" s="178"/>
      <c r="O315" s="178"/>
      <c r="P315" s="178"/>
      <c r="Q315" s="179"/>
      <c r="R315" s="177"/>
      <c r="S315" s="178"/>
      <c r="T315" s="178"/>
      <c r="U315" s="178"/>
      <c r="V315" s="179"/>
      <c r="W315" s="177"/>
      <c r="X315" s="178"/>
      <c r="Y315" s="178"/>
      <c r="Z315" s="178"/>
      <c r="AA315" s="179"/>
      <c r="AB315" s="177"/>
      <c r="AC315" s="178"/>
      <c r="AD315" s="178"/>
      <c r="AE315" s="178"/>
      <c r="AF315" s="179"/>
      <c r="AG315" s="177"/>
      <c r="AH315" s="178"/>
      <c r="AI315" s="178"/>
      <c r="AJ315" s="178"/>
      <c r="AK315" s="179"/>
      <c r="AL315" s="177"/>
      <c r="AM315" s="178"/>
      <c r="AN315" s="178"/>
      <c r="AO315" s="178"/>
      <c r="AP315" s="179"/>
      <c r="AQ315" s="177"/>
      <c r="AR315" s="178"/>
      <c r="AS315" s="178"/>
      <c r="AT315" s="178"/>
      <c r="AU315" s="179"/>
      <c r="AV315" s="177"/>
      <c r="AW315" s="178"/>
      <c r="AX315" s="178"/>
      <c r="AY315" s="178"/>
      <c r="AZ315" s="179"/>
      <c r="BA315" s="177"/>
      <c r="BB315" s="178"/>
      <c r="BC315" s="178"/>
      <c r="BD315" s="178">
        <v>269</v>
      </c>
      <c r="BE315" s="179">
        <v>269</v>
      </c>
      <c r="BF315" s="177">
        <f t="shared" si="74"/>
        <v>0</v>
      </c>
      <c r="BG315" s="178">
        <f t="shared" si="68"/>
        <v>0</v>
      </c>
      <c r="BH315" s="178">
        <f t="shared" si="69"/>
        <v>0</v>
      </c>
      <c r="BI315" s="178">
        <f t="shared" si="70"/>
        <v>0</v>
      </c>
      <c r="BJ315" s="179">
        <f t="shared" si="71"/>
        <v>0</v>
      </c>
      <c r="BK315" s="177"/>
      <c r="BL315" s="178"/>
      <c r="BM315" s="178"/>
      <c r="BN315" s="178"/>
      <c r="BO315" s="179"/>
      <c r="BP315" s="177"/>
      <c r="BQ315" s="178"/>
      <c r="BR315" s="178"/>
      <c r="BS315" s="178"/>
      <c r="BT315" s="179"/>
      <c r="BU315" s="177"/>
      <c r="BV315" s="178"/>
      <c r="BW315" s="178"/>
      <c r="BX315" s="178"/>
      <c r="BY315" s="179"/>
      <c r="BZ315" s="177"/>
      <c r="CA315" s="178"/>
      <c r="CB315" s="178"/>
      <c r="CC315" s="178"/>
      <c r="CD315" s="179"/>
      <c r="CE315" s="177"/>
      <c r="CF315" s="178"/>
      <c r="CG315" s="178"/>
      <c r="CH315" s="178"/>
      <c r="CI315" s="179"/>
    </row>
    <row r="316" spans="1:87">
      <c r="A316" s="170" t="s">
        <v>293</v>
      </c>
      <c r="B316" s="171" t="s">
        <v>26</v>
      </c>
      <c r="C316" s="172">
        <f t="shared" si="72"/>
        <v>0</v>
      </c>
      <c r="D316" s="173">
        <f t="shared" si="60"/>
        <v>199</v>
      </c>
      <c r="E316" s="173">
        <f t="shared" si="61"/>
        <v>0</v>
      </c>
      <c r="F316" s="173">
        <f t="shared" si="62"/>
        <v>0</v>
      </c>
      <c r="G316" s="174">
        <f t="shared" si="63"/>
        <v>199</v>
      </c>
      <c r="H316" s="172">
        <f t="shared" si="73"/>
        <v>0</v>
      </c>
      <c r="I316" s="173">
        <f t="shared" si="64"/>
        <v>199</v>
      </c>
      <c r="J316" s="173">
        <f t="shared" si="65"/>
        <v>0</v>
      </c>
      <c r="K316" s="173">
        <f t="shared" si="66"/>
        <v>0</v>
      </c>
      <c r="L316" s="174">
        <f t="shared" si="67"/>
        <v>199</v>
      </c>
      <c r="M316" s="172"/>
      <c r="N316" s="173"/>
      <c r="O316" s="173"/>
      <c r="P316" s="173"/>
      <c r="Q316" s="174"/>
      <c r="R316" s="172"/>
      <c r="S316" s="173">
        <v>199</v>
      </c>
      <c r="T316" s="173"/>
      <c r="U316" s="173"/>
      <c r="V316" s="174">
        <v>199</v>
      </c>
      <c r="W316" s="172"/>
      <c r="X316" s="173"/>
      <c r="Y316" s="173"/>
      <c r="Z316" s="173"/>
      <c r="AA316" s="174"/>
      <c r="AB316" s="172"/>
      <c r="AC316" s="173"/>
      <c r="AD316" s="173"/>
      <c r="AE316" s="173"/>
      <c r="AF316" s="174"/>
      <c r="AG316" s="172"/>
      <c r="AH316" s="173"/>
      <c r="AI316" s="173"/>
      <c r="AJ316" s="173"/>
      <c r="AK316" s="174"/>
      <c r="AL316" s="172"/>
      <c r="AM316" s="173"/>
      <c r="AN316" s="173"/>
      <c r="AO316" s="173"/>
      <c r="AP316" s="174"/>
      <c r="AQ316" s="172"/>
      <c r="AR316" s="173"/>
      <c r="AS316" s="173"/>
      <c r="AT316" s="173"/>
      <c r="AU316" s="174"/>
      <c r="AV316" s="172"/>
      <c r="AW316" s="173"/>
      <c r="AX316" s="173"/>
      <c r="AY316" s="173"/>
      <c r="AZ316" s="174"/>
      <c r="BA316" s="172"/>
      <c r="BB316" s="173"/>
      <c r="BC316" s="173"/>
      <c r="BD316" s="173"/>
      <c r="BE316" s="174"/>
      <c r="BF316" s="172">
        <f t="shared" si="74"/>
        <v>0</v>
      </c>
      <c r="BG316" s="173">
        <f t="shared" si="68"/>
        <v>0</v>
      </c>
      <c r="BH316" s="173">
        <f t="shared" si="69"/>
        <v>0</v>
      </c>
      <c r="BI316" s="173">
        <f t="shared" si="70"/>
        <v>0</v>
      </c>
      <c r="BJ316" s="174">
        <f t="shared" si="71"/>
        <v>0</v>
      </c>
      <c r="BK316" s="172"/>
      <c r="BL316" s="173"/>
      <c r="BM316" s="173"/>
      <c r="BN316" s="173"/>
      <c r="BO316" s="174"/>
      <c r="BP316" s="172"/>
      <c r="BQ316" s="173"/>
      <c r="BR316" s="173"/>
      <c r="BS316" s="173"/>
      <c r="BT316" s="174"/>
      <c r="BU316" s="172"/>
      <c r="BV316" s="173"/>
      <c r="BW316" s="173"/>
      <c r="BX316" s="173"/>
      <c r="BY316" s="174"/>
      <c r="BZ316" s="172"/>
      <c r="CA316" s="173"/>
      <c r="CB316" s="173"/>
      <c r="CC316" s="173"/>
      <c r="CD316" s="174"/>
      <c r="CE316" s="172"/>
      <c r="CF316" s="173"/>
      <c r="CG316" s="173"/>
      <c r="CH316" s="173"/>
      <c r="CI316" s="174"/>
    </row>
    <row r="317" s="147" customFormat="1" ht="14.6" spans="1:87">
      <c r="A317" s="175" t="s">
        <v>294</v>
      </c>
      <c r="B317" s="176"/>
      <c r="C317" s="177">
        <f t="shared" si="72"/>
        <v>0</v>
      </c>
      <c r="D317" s="178">
        <f t="shared" si="60"/>
        <v>199</v>
      </c>
      <c r="E317" s="178">
        <f t="shared" si="61"/>
        <v>0</v>
      </c>
      <c r="F317" s="178">
        <f t="shared" si="62"/>
        <v>0</v>
      </c>
      <c r="G317" s="179">
        <f t="shared" si="63"/>
        <v>199</v>
      </c>
      <c r="H317" s="177">
        <f t="shared" si="73"/>
        <v>0</v>
      </c>
      <c r="I317" s="178">
        <f t="shared" si="64"/>
        <v>199</v>
      </c>
      <c r="J317" s="178">
        <f t="shared" si="65"/>
        <v>0</v>
      </c>
      <c r="K317" s="178">
        <f t="shared" si="66"/>
        <v>0</v>
      </c>
      <c r="L317" s="179">
        <f t="shared" si="67"/>
        <v>199</v>
      </c>
      <c r="M317" s="177"/>
      <c r="N317" s="178"/>
      <c r="O317" s="178"/>
      <c r="P317" s="178"/>
      <c r="Q317" s="179"/>
      <c r="R317" s="177"/>
      <c r="S317" s="178">
        <v>199</v>
      </c>
      <c r="T317" s="178"/>
      <c r="U317" s="178"/>
      <c r="V317" s="179">
        <v>199</v>
      </c>
      <c r="W317" s="177"/>
      <c r="X317" s="178"/>
      <c r="Y317" s="178"/>
      <c r="Z317" s="178"/>
      <c r="AA317" s="179"/>
      <c r="AB317" s="177"/>
      <c r="AC317" s="178"/>
      <c r="AD317" s="178"/>
      <c r="AE317" s="178"/>
      <c r="AF317" s="179"/>
      <c r="AG317" s="177"/>
      <c r="AH317" s="178"/>
      <c r="AI317" s="178"/>
      <c r="AJ317" s="178"/>
      <c r="AK317" s="179"/>
      <c r="AL317" s="177"/>
      <c r="AM317" s="178"/>
      <c r="AN317" s="178"/>
      <c r="AO317" s="178"/>
      <c r="AP317" s="179"/>
      <c r="AQ317" s="177"/>
      <c r="AR317" s="178"/>
      <c r="AS317" s="178"/>
      <c r="AT317" s="178"/>
      <c r="AU317" s="179"/>
      <c r="AV317" s="177"/>
      <c r="AW317" s="178"/>
      <c r="AX317" s="178"/>
      <c r="AY317" s="178"/>
      <c r="AZ317" s="179"/>
      <c r="BA317" s="177"/>
      <c r="BB317" s="178"/>
      <c r="BC317" s="178"/>
      <c r="BD317" s="178"/>
      <c r="BE317" s="179"/>
      <c r="BF317" s="177">
        <f t="shared" si="74"/>
        <v>0</v>
      </c>
      <c r="BG317" s="178">
        <f t="shared" si="68"/>
        <v>0</v>
      </c>
      <c r="BH317" s="178">
        <f t="shared" si="69"/>
        <v>0</v>
      </c>
      <c r="BI317" s="178">
        <f t="shared" si="70"/>
        <v>0</v>
      </c>
      <c r="BJ317" s="179">
        <f t="shared" si="71"/>
        <v>0</v>
      </c>
      <c r="BK317" s="177"/>
      <c r="BL317" s="178"/>
      <c r="BM317" s="178"/>
      <c r="BN317" s="178"/>
      <c r="BO317" s="179"/>
      <c r="BP317" s="177"/>
      <c r="BQ317" s="178"/>
      <c r="BR317" s="178"/>
      <c r="BS317" s="178"/>
      <c r="BT317" s="179"/>
      <c r="BU317" s="177"/>
      <c r="BV317" s="178"/>
      <c r="BW317" s="178"/>
      <c r="BX317" s="178"/>
      <c r="BY317" s="179"/>
      <c r="BZ317" s="177"/>
      <c r="CA317" s="178"/>
      <c r="CB317" s="178"/>
      <c r="CC317" s="178"/>
      <c r="CD317" s="179"/>
      <c r="CE317" s="177"/>
      <c r="CF317" s="178"/>
      <c r="CG317" s="178"/>
      <c r="CH317" s="178"/>
      <c r="CI317" s="179"/>
    </row>
    <row r="318" spans="1:87">
      <c r="A318" s="170" t="s">
        <v>295</v>
      </c>
      <c r="B318" s="171" t="s">
        <v>27</v>
      </c>
      <c r="C318" s="172">
        <f t="shared" si="72"/>
        <v>159</v>
      </c>
      <c r="D318" s="173">
        <f t="shared" si="60"/>
        <v>0</v>
      </c>
      <c r="E318" s="173">
        <f t="shared" si="61"/>
        <v>0</v>
      </c>
      <c r="F318" s="173">
        <f t="shared" si="62"/>
        <v>0</v>
      </c>
      <c r="G318" s="174">
        <f t="shared" si="63"/>
        <v>159</v>
      </c>
      <c r="H318" s="172">
        <f t="shared" si="73"/>
        <v>159</v>
      </c>
      <c r="I318" s="173">
        <f t="shared" si="64"/>
        <v>0</v>
      </c>
      <c r="J318" s="173">
        <f t="shared" si="65"/>
        <v>0</v>
      </c>
      <c r="K318" s="173">
        <f t="shared" si="66"/>
        <v>0</v>
      </c>
      <c r="L318" s="174">
        <f t="shared" si="67"/>
        <v>159</v>
      </c>
      <c r="M318" s="172"/>
      <c r="N318" s="173"/>
      <c r="O318" s="173"/>
      <c r="P318" s="173"/>
      <c r="Q318" s="174"/>
      <c r="R318" s="172"/>
      <c r="S318" s="173"/>
      <c r="T318" s="173"/>
      <c r="U318" s="173"/>
      <c r="V318" s="174"/>
      <c r="W318" s="172"/>
      <c r="X318" s="173"/>
      <c r="Y318" s="173"/>
      <c r="Z318" s="173"/>
      <c r="AA318" s="174"/>
      <c r="AB318" s="172">
        <v>159</v>
      </c>
      <c r="AC318" s="173"/>
      <c r="AD318" s="173"/>
      <c r="AE318" s="173"/>
      <c r="AF318" s="174">
        <v>159</v>
      </c>
      <c r="AG318" s="172"/>
      <c r="AH318" s="173"/>
      <c r="AI318" s="173"/>
      <c r="AJ318" s="173"/>
      <c r="AK318" s="174"/>
      <c r="AL318" s="172"/>
      <c r="AM318" s="173"/>
      <c r="AN318" s="173"/>
      <c r="AO318" s="173"/>
      <c r="AP318" s="174"/>
      <c r="AQ318" s="172"/>
      <c r="AR318" s="173"/>
      <c r="AS318" s="173"/>
      <c r="AT318" s="173"/>
      <c r="AU318" s="174"/>
      <c r="AV318" s="172"/>
      <c r="AW318" s="173"/>
      <c r="AX318" s="173"/>
      <c r="AY318" s="173"/>
      <c r="AZ318" s="174"/>
      <c r="BA318" s="172"/>
      <c r="BB318" s="173"/>
      <c r="BC318" s="173"/>
      <c r="BD318" s="173"/>
      <c r="BE318" s="174"/>
      <c r="BF318" s="172">
        <f t="shared" si="74"/>
        <v>0</v>
      </c>
      <c r="BG318" s="173">
        <f t="shared" si="68"/>
        <v>0</v>
      </c>
      <c r="BH318" s="173">
        <f t="shared" si="69"/>
        <v>0</v>
      </c>
      <c r="BI318" s="173">
        <f t="shared" si="70"/>
        <v>0</v>
      </c>
      <c r="BJ318" s="174">
        <f t="shared" si="71"/>
        <v>0</v>
      </c>
      <c r="BK318" s="172"/>
      <c r="BL318" s="173"/>
      <c r="BM318" s="173"/>
      <c r="BN318" s="173"/>
      <c r="BO318" s="174"/>
      <c r="BP318" s="172"/>
      <c r="BQ318" s="173"/>
      <c r="BR318" s="173"/>
      <c r="BS318" s="173"/>
      <c r="BT318" s="174"/>
      <c r="BU318" s="172"/>
      <c r="BV318" s="173"/>
      <c r="BW318" s="173"/>
      <c r="BX318" s="173"/>
      <c r="BY318" s="174"/>
      <c r="BZ318" s="172"/>
      <c r="CA318" s="173"/>
      <c r="CB318" s="173"/>
      <c r="CC318" s="173"/>
      <c r="CD318" s="174"/>
      <c r="CE318" s="172"/>
      <c r="CF318" s="173"/>
      <c r="CG318" s="173"/>
      <c r="CH318" s="173"/>
      <c r="CI318" s="174"/>
    </row>
    <row r="319" s="147" customFormat="1" ht="14.6" spans="1:87">
      <c r="A319" s="175" t="s">
        <v>296</v>
      </c>
      <c r="B319" s="176"/>
      <c r="C319" s="177">
        <f t="shared" si="72"/>
        <v>159</v>
      </c>
      <c r="D319" s="178">
        <f t="shared" si="60"/>
        <v>0</v>
      </c>
      <c r="E319" s="178">
        <f t="shared" si="61"/>
        <v>0</v>
      </c>
      <c r="F319" s="178">
        <f t="shared" si="62"/>
        <v>0</v>
      </c>
      <c r="G319" s="179">
        <f t="shared" si="63"/>
        <v>159</v>
      </c>
      <c r="H319" s="177">
        <f t="shared" si="73"/>
        <v>159</v>
      </c>
      <c r="I319" s="178">
        <f t="shared" si="64"/>
        <v>0</v>
      </c>
      <c r="J319" s="178">
        <f t="shared" si="65"/>
        <v>0</v>
      </c>
      <c r="K319" s="178">
        <f t="shared" si="66"/>
        <v>0</v>
      </c>
      <c r="L319" s="179">
        <f t="shared" si="67"/>
        <v>159</v>
      </c>
      <c r="M319" s="177"/>
      <c r="N319" s="178"/>
      <c r="O319" s="178"/>
      <c r="P319" s="178"/>
      <c r="Q319" s="179"/>
      <c r="R319" s="177"/>
      <c r="S319" s="178"/>
      <c r="T319" s="178"/>
      <c r="U319" s="178"/>
      <c r="V319" s="179"/>
      <c r="W319" s="177"/>
      <c r="X319" s="178"/>
      <c r="Y319" s="178"/>
      <c r="Z319" s="178"/>
      <c r="AA319" s="179"/>
      <c r="AB319" s="177">
        <v>159</v>
      </c>
      <c r="AC319" s="178"/>
      <c r="AD319" s="178"/>
      <c r="AE319" s="178"/>
      <c r="AF319" s="179">
        <v>159</v>
      </c>
      <c r="AG319" s="177"/>
      <c r="AH319" s="178"/>
      <c r="AI319" s="178"/>
      <c r="AJ319" s="178"/>
      <c r="AK319" s="179"/>
      <c r="AL319" s="177"/>
      <c r="AM319" s="178"/>
      <c r="AN319" s="178"/>
      <c r="AO319" s="178"/>
      <c r="AP319" s="179"/>
      <c r="AQ319" s="177"/>
      <c r="AR319" s="178"/>
      <c r="AS319" s="178"/>
      <c r="AT319" s="178"/>
      <c r="AU319" s="179"/>
      <c r="AV319" s="177"/>
      <c r="AW319" s="178"/>
      <c r="AX319" s="178"/>
      <c r="AY319" s="178"/>
      <c r="AZ319" s="179"/>
      <c r="BA319" s="177"/>
      <c r="BB319" s="178"/>
      <c r="BC319" s="178"/>
      <c r="BD319" s="178"/>
      <c r="BE319" s="179"/>
      <c r="BF319" s="177">
        <f t="shared" si="74"/>
        <v>0</v>
      </c>
      <c r="BG319" s="178">
        <f t="shared" si="68"/>
        <v>0</v>
      </c>
      <c r="BH319" s="178">
        <f t="shared" si="69"/>
        <v>0</v>
      </c>
      <c r="BI319" s="178">
        <f t="shared" si="70"/>
        <v>0</v>
      </c>
      <c r="BJ319" s="179">
        <f t="shared" si="71"/>
        <v>0</v>
      </c>
      <c r="BK319" s="177"/>
      <c r="BL319" s="178"/>
      <c r="BM319" s="178"/>
      <c r="BN319" s="178"/>
      <c r="BO319" s="179"/>
      <c r="BP319" s="177"/>
      <c r="BQ319" s="178"/>
      <c r="BR319" s="178"/>
      <c r="BS319" s="178"/>
      <c r="BT319" s="179"/>
      <c r="BU319" s="177"/>
      <c r="BV319" s="178"/>
      <c r="BW319" s="178"/>
      <c r="BX319" s="178"/>
      <c r="BY319" s="179"/>
      <c r="BZ319" s="177"/>
      <c r="CA319" s="178"/>
      <c r="CB319" s="178"/>
      <c r="CC319" s="178"/>
      <c r="CD319" s="179"/>
      <c r="CE319" s="177"/>
      <c r="CF319" s="178"/>
      <c r="CG319" s="178"/>
      <c r="CH319" s="178"/>
      <c r="CI319" s="179"/>
    </row>
    <row r="320" spans="1:87">
      <c r="A320" s="170" t="s">
        <v>297</v>
      </c>
      <c r="B320" s="171" t="s">
        <v>27</v>
      </c>
      <c r="C320" s="172">
        <f t="shared" si="72"/>
        <v>0</v>
      </c>
      <c r="D320" s="173">
        <f t="shared" si="60"/>
        <v>0</v>
      </c>
      <c r="E320" s="173">
        <f t="shared" si="61"/>
        <v>49</v>
      </c>
      <c r="F320" s="173">
        <f t="shared" si="62"/>
        <v>0</v>
      </c>
      <c r="G320" s="174">
        <f t="shared" si="63"/>
        <v>49</v>
      </c>
      <c r="H320" s="172">
        <f t="shared" si="73"/>
        <v>0</v>
      </c>
      <c r="I320" s="173">
        <f t="shared" si="64"/>
        <v>0</v>
      </c>
      <c r="J320" s="173">
        <f t="shared" si="65"/>
        <v>49</v>
      </c>
      <c r="K320" s="173">
        <f t="shared" si="66"/>
        <v>0</v>
      </c>
      <c r="L320" s="174">
        <f t="shared" si="67"/>
        <v>49</v>
      </c>
      <c r="M320" s="172"/>
      <c r="N320" s="173"/>
      <c r="O320" s="173"/>
      <c r="P320" s="173"/>
      <c r="Q320" s="174"/>
      <c r="R320" s="172"/>
      <c r="S320" s="173"/>
      <c r="T320" s="173"/>
      <c r="U320" s="173"/>
      <c r="V320" s="174"/>
      <c r="W320" s="172"/>
      <c r="X320" s="173"/>
      <c r="Y320" s="173"/>
      <c r="Z320" s="173"/>
      <c r="AA320" s="174"/>
      <c r="AB320" s="172"/>
      <c r="AC320" s="173"/>
      <c r="AD320" s="173"/>
      <c r="AE320" s="173"/>
      <c r="AF320" s="174"/>
      <c r="AG320" s="172"/>
      <c r="AH320" s="173"/>
      <c r="AI320" s="173"/>
      <c r="AJ320" s="173"/>
      <c r="AK320" s="174"/>
      <c r="AL320" s="172"/>
      <c r="AM320" s="173"/>
      <c r="AN320" s="173">
        <v>49</v>
      </c>
      <c r="AO320" s="173"/>
      <c r="AP320" s="174">
        <v>49</v>
      </c>
      <c r="AQ320" s="172"/>
      <c r="AR320" s="173"/>
      <c r="AS320" s="173"/>
      <c r="AT320" s="173"/>
      <c r="AU320" s="174"/>
      <c r="AV320" s="172"/>
      <c r="AW320" s="173"/>
      <c r="AX320" s="173"/>
      <c r="AY320" s="173"/>
      <c r="AZ320" s="174"/>
      <c r="BA320" s="172"/>
      <c r="BB320" s="173"/>
      <c r="BC320" s="173"/>
      <c r="BD320" s="173"/>
      <c r="BE320" s="174"/>
      <c r="BF320" s="172">
        <f t="shared" si="74"/>
        <v>0</v>
      </c>
      <c r="BG320" s="173">
        <f t="shared" si="68"/>
        <v>0</v>
      </c>
      <c r="BH320" s="173">
        <f t="shared" si="69"/>
        <v>0</v>
      </c>
      <c r="BI320" s="173">
        <f t="shared" si="70"/>
        <v>0</v>
      </c>
      <c r="BJ320" s="174">
        <f t="shared" si="71"/>
        <v>0</v>
      </c>
      <c r="BK320" s="172"/>
      <c r="BL320" s="173"/>
      <c r="BM320" s="173"/>
      <c r="BN320" s="173"/>
      <c r="BO320" s="174"/>
      <c r="BP320" s="172"/>
      <c r="BQ320" s="173"/>
      <c r="BR320" s="173"/>
      <c r="BS320" s="173"/>
      <c r="BT320" s="174"/>
      <c r="BU320" s="172"/>
      <c r="BV320" s="173"/>
      <c r="BW320" s="173"/>
      <c r="BX320" s="173"/>
      <c r="BY320" s="174"/>
      <c r="BZ320" s="172"/>
      <c r="CA320" s="173"/>
      <c r="CB320" s="173"/>
      <c r="CC320" s="173"/>
      <c r="CD320" s="174"/>
      <c r="CE320" s="172"/>
      <c r="CF320" s="173"/>
      <c r="CG320" s="173"/>
      <c r="CH320" s="173"/>
      <c r="CI320" s="174"/>
    </row>
    <row r="321" s="147" customFormat="1" ht="15.35" spans="1:87">
      <c r="A321" s="180" t="s">
        <v>298</v>
      </c>
      <c r="B321" s="181"/>
      <c r="C321" s="182">
        <f t="shared" si="72"/>
        <v>0</v>
      </c>
      <c r="D321" s="183">
        <f t="shared" si="60"/>
        <v>0</v>
      </c>
      <c r="E321" s="183">
        <f t="shared" si="61"/>
        <v>49</v>
      </c>
      <c r="F321" s="183">
        <f t="shared" si="62"/>
        <v>0</v>
      </c>
      <c r="G321" s="184">
        <f t="shared" si="63"/>
        <v>49</v>
      </c>
      <c r="H321" s="182">
        <f t="shared" si="73"/>
        <v>0</v>
      </c>
      <c r="I321" s="183">
        <f t="shared" si="64"/>
        <v>0</v>
      </c>
      <c r="J321" s="183">
        <f t="shared" si="65"/>
        <v>49</v>
      </c>
      <c r="K321" s="183">
        <f t="shared" si="66"/>
        <v>0</v>
      </c>
      <c r="L321" s="184">
        <f t="shared" si="67"/>
        <v>49</v>
      </c>
      <c r="M321" s="182"/>
      <c r="N321" s="183"/>
      <c r="O321" s="183"/>
      <c r="P321" s="183"/>
      <c r="Q321" s="184"/>
      <c r="R321" s="182"/>
      <c r="S321" s="183"/>
      <c r="T321" s="183"/>
      <c r="U321" s="183"/>
      <c r="V321" s="184"/>
      <c r="W321" s="182"/>
      <c r="X321" s="183"/>
      <c r="Y321" s="183"/>
      <c r="Z321" s="183"/>
      <c r="AA321" s="184"/>
      <c r="AB321" s="182"/>
      <c r="AC321" s="183"/>
      <c r="AD321" s="183"/>
      <c r="AE321" s="183"/>
      <c r="AF321" s="184"/>
      <c r="AG321" s="182"/>
      <c r="AH321" s="183"/>
      <c r="AI321" s="183"/>
      <c r="AJ321" s="183"/>
      <c r="AK321" s="184"/>
      <c r="AL321" s="182"/>
      <c r="AM321" s="183"/>
      <c r="AN321" s="183">
        <v>49</v>
      </c>
      <c r="AO321" s="183"/>
      <c r="AP321" s="184">
        <v>49</v>
      </c>
      <c r="AQ321" s="182"/>
      <c r="AR321" s="183"/>
      <c r="AS321" s="183"/>
      <c r="AT321" s="183"/>
      <c r="AU321" s="184"/>
      <c r="AV321" s="182"/>
      <c r="AW321" s="183"/>
      <c r="AX321" s="183"/>
      <c r="AY321" s="183"/>
      <c r="AZ321" s="184"/>
      <c r="BA321" s="182"/>
      <c r="BB321" s="183"/>
      <c r="BC321" s="183"/>
      <c r="BD321" s="183"/>
      <c r="BE321" s="184"/>
      <c r="BF321" s="182">
        <f t="shared" si="74"/>
        <v>0</v>
      </c>
      <c r="BG321" s="183">
        <f t="shared" si="68"/>
        <v>0</v>
      </c>
      <c r="BH321" s="183">
        <f t="shared" si="69"/>
        <v>0</v>
      </c>
      <c r="BI321" s="183">
        <f t="shared" si="70"/>
        <v>0</v>
      </c>
      <c r="BJ321" s="184">
        <f t="shared" si="71"/>
        <v>0</v>
      </c>
      <c r="BK321" s="182"/>
      <c r="BL321" s="183"/>
      <c r="BM321" s="183"/>
      <c r="BN321" s="183"/>
      <c r="BO321" s="184"/>
      <c r="BP321" s="182"/>
      <c r="BQ321" s="183"/>
      <c r="BR321" s="183"/>
      <c r="BS321" s="183"/>
      <c r="BT321" s="184"/>
      <c r="BU321" s="182"/>
      <c r="BV321" s="183"/>
      <c r="BW321" s="183"/>
      <c r="BX321" s="183"/>
      <c r="BY321" s="184"/>
      <c r="BZ321" s="182"/>
      <c r="CA321" s="183"/>
      <c r="CB321" s="183"/>
      <c r="CC321" s="183"/>
      <c r="CD321" s="184"/>
      <c r="CE321" s="182"/>
      <c r="CF321" s="183"/>
      <c r="CG321" s="183"/>
      <c r="CH321" s="183"/>
      <c r="CI321" s="184"/>
    </row>
    <row r="322" s="147" customFormat="1" ht="15.35" spans="1:87">
      <c r="A322" s="185" t="s">
        <v>24</v>
      </c>
      <c r="B322" s="186"/>
      <c r="C322" s="182">
        <v>264261437.5</v>
      </c>
      <c r="D322" s="183">
        <v>257796709.4</v>
      </c>
      <c r="E322" s="183">
        <v>298325790</v>
      </c>
      <c r="F322" s="183">
        <v>344327011.9</v>
      </c>
      <c r="G322" s="184">
        <v>1164710948.8</v>
      </c>
      <c r="H322" s="182">
        <v>240096385.6</v>
      </c>
      <c r="I322" s="183">
        <v>231156475.4</v>
      </c>
      <c r="J322" s="183">
        <v>261715381.3</v>
      </c>
      <c r="K322" s="183">
        <v>295635671</v>
      </c>
      <c r="L322" s="184">
        <v>1028603913.3</v>
      </c>
      <c r="M322" s="182">
        <v>32501176.8</v>
      </c>
      <c r="N322" s="183">
        <v>34345625.4</v>
      </c>
      <c r="O322" s="183">
        <v>35075203.8</v>
      </c>
      <c r="P322" s="183">
        <v>38595518.8</v>
      </c>
      <c r="Q322" s="184">
        <v>140517524.8</v>
      </c>
      <c r="R322" s="182">
        <v>21553977.9</v>
      </c>
      <c r="S322" s="183">
        <v>27253449</v>
      </c>
      <c r="T322" s="183">
        <v>33605718.6</v>
      </c>
      <c r="U322" s="183">
        <v>41355188.4</v>
      </c>
      <c r="V322" s="184">
        <v>123768333.9</v>
      </c>
      <c r="W322" s="182">
        <v>28557255</v>
      </c>
      <c r="X322" s="183">
        <v>24974891</v>
      </c>
      <c r="Y322" s="183">
        <v>28372036</v>
      </c>
      <c r="Z322" s="183">
        <v>29237948</v>
      </c>
      <c r="AA322" s="184">
        <v>111142130</v>
      </c>
      <c r="AB322" s="182">
        <v>8157326.8</v>
      </c>
      <c r="AC322" s="183">
        <v>15491826.7</v>
      </c>
      <c r="AD322" s="183">
        <v>21817392.3</v>
      </c>
      <c r="AE322" s="183">
        <v>23882890.8</v>
      </c>
      <c r="AF322" s="184">
        <v>69349436.6</v>
      </c>
      <c r="AG322" s="182">
        <v>93920706.3</v>
      </c>
      <c r="AH322" s="183">
        <v>74850069.7</v>
      </c>
      <c r="AI322" s="183">
        <v>79041398.2</v>
      </c>
      <c r="AJ322" s="183">
        <v>97074381.1</v>
      </c>
      <c r="AK322" s="184">
        <v>344886555.3</v>
      </c>
      <c r="AL322" s="182">
        <v>8472284.3</v>
      </c>
      <c r="AM322" s="183">
        <v>9558308</v>
      </c>
      <c r="AN322" s="183">
        <v>12145504</v>
      </c>
      <c r="AO322" s="183">
        <v>11907400.1</v>
      </c>
      <c r="AP322" s="184">
        <v>42083496.4</v>
      </c>
      <c r="AQ322" s="182">
        <v>23837810.2</v>
      </c>
      <c r="AR322" s="183">
        <v>20836177.8</v>
      </c>
      <c r="AS322" s="183">
        <v>25694596.9</v>
      </c>
      <c r="AT322" s="183">
        <v>27526291.8</v>
      </c>
      <c r="AU322" s="184">
        <v>97894876.7</v>
      </c>
      <c r="AV322" s="182">
        <v>2264153</v>
      </c>
      <c r="AW322" s="183">
        <v>2446301</v>
      </c>
      <c r="AX322" s="183">
        <v>2695771</v>
      </c>
      <c r="AY322" s="183">
        <v>2804553</v>
      </c>
      <c r="AZ322" s="184">
        <v>10210778</v>
      </c>
      <c r="BA322" s="182">
        <v>20831695.3</v>
      </c>
      <c r="BB322" s="183">
        <v>21399826.8</v>
      </c>
      <c r="BC322" s="183">
        <v>23267760.5</v>
      </c>
      <c r="BD322" s="183">
        <v>23251499</v>
      </c>
      <c r="BE322" s="184">
        <v>88750781.6</v>
      </c>
      <c r="BF322" s="182">
        <v>24165051.9</v>
      </c>
      <c r="BG322" s="183">
        <v>26640234</v>
      </c>
      <c r="BH322" s="183">
        <v>36610408.7</v>
      </c>
      <c r="BI322" s="183">
        <v>48691340.9</v>
      </c>
      <c r="BJ322" s="184">
        <v>136107035.5</v>
      </c>
      <c r="BK322" s="182">
        <v>2173537.9</v>
      </c>
      <c r="BL322" s="183">
        <v>2758144.5</v>
      </c>
      <c r="BM322" s="183">
        <v>3432204.2</v>
      </c>
      <c r="BN322" s="183">
        <v>3948325.8</v>
      </c>
      <c r="BO322" s="184">
        <v>12312212.4</v>
      </c>
      <c r="BP322" s="182">
        <v>8747985.2</v>
      </c>
      <c r="BQ322" s="183">
        <v>8645207.9</v>
      </c>
      <c r="BR322" s="183">
        <v>10183197</v>
      </c>
      <c r="BS322" s="183">
        <v>13175767.9</v>
      </c>
      <c r="BT322" s="184">
        <v>40752158</v>
      </c>
      <c r="BU322" s="182">
        <v>9371180.4</v>
      </c>
      <c r="BV322" s="183">
        <v>10991325.1</v>
      </c>
      <c r="BW322" s="183">
        <v>17840606.5</v>
      </c>
      <c r="BX322" s="183">
        <v>25070622.2</v>
      </c>
      <c r="BY322" s="184">
        <v>63273734.2</v>
      </c>
      <c r="BZ322" s="182">
        <v>2255099</v>
      </c>
      <c r="CA322" s="183">
        <v>2542796</v>
      </c>
      <c r="CB322" s="183">
        <v>3321669</v>
      </c>
      <c r="CC322" s="183">
        <v>4124151</v>
      </c>
      <c r="CD322" s="184">
        <v>12243715</v>
      </c>
      <c r="CE322" s="182">
        <v>1617249.4</v>
      </c>
      <c r="CF322" s="183">
        <v>1702760.5</v>
      </c>
      <c r="CG322" s="183">
        <v>1832732</v>
      </c>
      <c r="CH322" s="183">
        <v>2372474</v>
      </c>
      <c r="CI322" s="184">
        <v>7525215.9</v>
      </c>
    </row>
    <row r="324" spans="1:87">
      <c r="C324" s="187"/>
      <c r="D324" s="187"/>
      <c r="E324" s="187"/>
      <c r="F324" s="187"/>
      <c r="G324" s="187"/>
      <c r="H324" s="187"/>
      <c r="I324" s="187"/>
      <c r="J324" s="187"/>
      <c r="K324" s="187"/>
      <c r="L324" s="187"/>
    </row>
  </sheetData>
  <autoFilter xmlns:etc="http://www.wps.cn/officeDocument/2017/etCustomData" ref="A2:CI323" etc:filterBottomFollowUsedRange="0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423"/>
  <sheetViews>
    <sheetView tabSelected="1" zoomScale="80" zoomScaleNormal="80" workbookViewId="0">
      <pane xSplit="1" ySplit="4" topLeftCell="B212" activePane="bottomRight" state="frozen"/>
      <selection/>
      <selection pane="topRight"/>
      <selection pane="bottomLeft"/>
      <selection pane="bottomRight" activeCell="E185" sqref="E185"/>
    </sheetView>
  </sheetViews>
  <sheetFormatPr defaultColWidth="9" defaultRowHeight="15.75"/>
  <cols>
    <col min="1" max="2" width="17.2035398230088" style="56" customWidth="1"/>
    <col min="3" max="3" width="16.1327433628319" style="1" customWidth="1" outlineLevel="1"/>
    <col min="4" max="4" width="14.1327433628319" style="1" customWidth="1" outlineLevel="1"/>
    <col min="5" max="8" width="15.2035398230088" style="1" customWidth="1" outlineLevel="2"/>
    <col min="9" max="10" width="15.2035398230088" style="1" customWidth="1" outlineLevel="3"/>
    <col min="11" max="18" width="15.2035398230088" style="1" customWidth="1" outlineLevel="2"/>
    <col min="19" max="20" width="13.5309734513274" style="1" customWidth="1" outlineLevel="2"/>
    <col min="21" max="21" width="12.8672566371681" style="1" customWidth="1" outlineLevel="2"/>
    <col min="22" max="22" width="12.929203539823" style="1" customWidth="1" outlineLevel="2"/>
    <col min="23" max="23" width="16.7345132743363" style="57" customWidth="1" outlineLevel="2"/>
    <col min="24" max="26" width="16.7345132743363" style="58" customWidth="1" outlineLevel="2"/>
    <col min="27" max="27" width="16.7345132743363" style="57" customWidth="1" outlineLevel="2"/>
    <col min="28" max="28" width="16.7345132743363" style="58" customWidth="1" outlineLevel="2"/>
    <col min="29" max="29" width="13.7345132743363" style="57" customWidth="1" outlineLevel="2"/>
    <col min="30" max="30" width="13.7345132743363" style="58" customWidth="1" outlineLevel="2"/>
    <col min="31" max="31" width="14.070796460177" style="1" customWidth="1"/>
    <col min="32" max="16384" width="9" style="1"/>
  </cols>
  <sheetData>
    <row r="1" s="55" customFormat="1" ht="16.5" spans="1:32">
      <c r="A1" s="59" t="s">
        <v>0</v>
      </c>
      <c r="B1" s="59"/>
      <c r="C1" s="60" t="s">
        <v>2</v>
      </c>
      <c r="D1" s="60"/>
      <c r="E1" s="61" t="s">
        <v>3</v>
      </c>
      <c r="F1" s="61"/>
      <c r="G1" s="61" t="s">
        <v>4</v>
      </c>
      <c r="H1" s="61"/>
      <c r="I1" s="61" t="s">
        <v>5</v>
      </c>
      <c r="J1" s="61"/>
      <c r="K1" s="61" t="s">
        <v>6</v>
      </c>
      <c r="L1" s="61"/>
      <c r="M1" s="61" t="s">
        <v>7</v>
      </c>
      <c r="N1" s="61"/>
      <c r="O1" s="61" t="s">
        <v>8</v>
      </c>
      <c r="P1" s="61"/>
      <c r="Q1" s="61" t="s">
        <v>9</v>
      </c>
      <c r="R1" s="61"/>
      <c r="S1" s="61" t="s">
        <v>10</v>
      </c>
      <c r="T1" s="61"/>
      <c r="U1" s="61" t="s">
        <v>11</v>
      </c>
      <c r="V1" s="61"/>
      <c r="W1" s="62" t="s">
        <v>299</v>
      </c>
      <c r="X1" s="61"/>
      <c r="Y1" s="61" t="s">
        <v>300</v>
      </c>
      <c r="Z1" s="61"/>
      <c r="AA1" s="62" t="s">
        <v>301</v>
      </c>
      <c r="AB1" s="61"/>
      <c r="AC1" s="62" t="s">
        <v>302</v>
      </c>
      <c r="AD1" s="61"/>
    </row>
    <row r="2" s="55" customFormat="1" ht="16.5" spans="1:32">
      <c r="A2" s="139" t="s">
        <v>18</v>
      </c>
      <c r="B2" s="65" t="s">
        <v>303</v>
      </c>
      <c r="C2" s="124">
        <v>46023</v>
      </c>
      <c r="D2" s="124">
        <v>46054</v>
      </c>
      <c r="E2" s="67">
        <v>46023</v>
      </c>
      <c r="F2" s="67">
        <v>46054</v>
      </c>
      <c r="G2" s="67">
        <v>46023</v>
      </c>
      <c r="H2" s="67">
        <v>46054</v>
      </c>
      <c r="I2" s="67">
        <v>46023</v>
      </c>
      <c r="J2" s="67">
        <v>46054</v>
      </c>
      <c r="K2" s="67">
        <v>46023</v>
      </c>
      <c r="L2" s="67">
        <v>46054</v>
      </c>
      <c r="M2" s="67">
        <v>46023</v>
      </c>
      <c r="N2" s="67">
        <v>46054</v>
      </c>
      <c r="O2" s="67">
        <v>46023</v>
      </c>
      <c r="P2" s="67">
        <v>46054</v>
      </c>
      <c r="Q2" s="67">
        <v>46023</v>
      </c>
      <c r="R2" s="67">
        <v>46054</v>
      </c>
      <c r="S2" s="67">
        <v>46023</v>
      </c>
      <c r="T2" s="67">
        <v>46054</v>
      </c>
      <c r="U2" s="67">
        <v>46023</v>
      </c>
      <c r="V2" s="67">
        <v>46054</v>
      </c>
      <c r="W2" s="68">
        <v>46023</v>
      </c>
      <c r="X2" s="69">
        <v>46054</v>
      </c>
      <c r="Y2" s="68">
        <v>46023</v>
      </c>
      <c r="Z2" s="69">
        <v>46054</v>
      </c>
      <c r="AA2" s="68">
        <v>46023</v>
      </c>
      <c r="AB2" s="69">
        <v>46054</v>
      </c>
      <c r="AC2" s="68">
        <v>46023</v>
      </c>
      <c r="AD2" s="69">
        <v>46054</v>
      </c>
    </row>
    <row r="3" spans="1:32">
      <c r="A3" s="128" t="s">
        <v>25</v>
      </c>
      <c r="B3" s="143">
        <v>3748254072.0579</v>
      </c>
      <c r="C3" s="129">
        <f>E3+G3+I3+K3+M3+O3+Q3+S3+U3+W3+Y3+AC3+AA3</f>
        <v>162326877.535246</v>
      </c>
      <c r="D3" s="129">
        <f t="shared" ref="D3:D66" si="0">F3+H3+J3+L3+N3+P3+R3+T3+V3+X3+Z3+AD3+AB3</f>
        <v>115063280.899816</v>
      </c>
      <c r="E3" s="129">
        <v>28356537.2881239</v>
      </c>
      <c r="F3" s="129">
        <v>18989290.414266</v>
      </c>
      <c r="G3" s="129">
        <v>9493238.74113736</v>
      </c>
      <c r="H3" s="129">
        <v>7161108.50938489</v>
      </c>
      <c r="I3" s="129">
        <v>6092433.70749762</v>
      </c>
      <c r="J3" s="129">
        <v>4852207.14991525</v>
      </c>
      <c r="K3" s="129">
        <v>10930709.018825</v>
      </c>
      <c r="L3" s="129">
        <v>10261408.0149066</v>
      </c>
      <c r="M3" s="129">
        <v>37546771.9568693</v>
      </c>
      <c r="N3" s="129">
        <v>28132680.3899394</v>
      </c>
      <c r="O3" s="129">
        <v>1758109.21266834</v>
      </c>
      <c r="P3" s="129">
        <v>1148863.18327716</v>
      </c>
      <c r="Q3" s="129">
        <v>5421640.205202</v>
      </c>
      <c r="R3" s="129">
        <v>6197285.99854421</v>
      </c>
      <c r="S3" s="129">
        <v>1899104.46744645</v>
      </c>
      <c r="T3" s="129">
        <v>1352404.33128128</v>
      </c>
      <c r="U3" s="129">
        <v>15451626.5865265</v>
      </c>
      <c r="V3" s="129">
        <v>8623362.42742255</v>
      </c>
      <c r="W3" s="79">
        <v>1933209.21259025</v>
      </c>
      <c r="X3" s="78">
        <v>85150.3155976834</v>
      </c>
      <c r="Y3" s="79">
        <v>1358686.03826269</v>
      </c>
      <c r="Z3" s="78">
        <v>1734667.02171834</v>
      </c>
      <c r="AA3" s="79">
        <v>423407.499713063</v>
      </c>
      <c r="AB3" s="78">
        <v>305835.086653797</v>
      </c>
      <c r="AC3" s="79">
        <v>41661403.6003836</v>
      </c>
      <c r="AD3" s="78">
        <v>26219018.0569091</v>
      </c>
      <c r="AF3" s="144"/>
    </row>
    <row r="4" spans="1:32">
      <c r="A4" s="128" t="s">
        <v>31</v>
      </c>
      <c r="B4" s="143">
        <v>1068126113.84949</v>
      </c>
      <c r="C4" s="129">
        <f t="shared" ref="C4:C67" si="1">E4+G4+I4+K4+M4+O4+Q4+S4+U4+W4+Y4+AC4+AA4</f>
        <v>57822904.8576595</v>
      </c>
      <c r="D4" s="129">
        <f t="shared" si="0"/>
        <v>43526643.5345012</v>
      </c>
      <c r="E4" s="129">
        <v>6020044.09800433</v>
      </c>
      <c r="F4" s="129">
        <v>4337924.65690082</v>
      </c>
      <c r="G4" s="129">
        <v>3852985.47193461</v>
      </c>
      <c r="H4" s="129">
        <v>2764049.61509</v>
      </c>
      <c r="I4" s="129">
        <v>7167702.56343666</v>
      </c>
      <c r="J4" s="129">
        <v>4714768.88848377</v>
      </c>
      <c r="K4" s="129">
        <v>3536454.60360111</v>
      </c>
      <c r="L4" s="129">
        <v>2922989.67638224</v>
      </c>
      <c r="M4" s="129">
        <v>13184792.3541609</v>
      </c>
      <c r="N4" s="129">
        <v>13363830.2356145</v>
      </c>
      <c r="O4" s="129">
        <v>3255591.01351972</v>
      </c>
      <c r="P4" s="129">
        <v>525142.488809051</v>
      </c>
      <c r="Q4" s="129">
        <v>5411562.2757036</v>
      </c>
      <c r="R4" s="129">
        <v>4239437.35448747</v>
      </c>
      <c r="S4" s="129">
        <v>488892.923132155</v>
      </c>
      <c r="T4" s="129">
        <v>280492.847582988</v>
      </c>
      <c r="U4" s="129">
        <v>4781683.32404753</v>
      </c>
      <c r="V4" s="129">
        <v>2648850.12226449</v>
      </c>
      <c r="W4" s="79">
        <v>318525.690425049</v>
      </c>
      <c r="X4" s="78">
        <v>63965.4686246014</v>
      </c>
      <c r="Y4" s="78">
        <v>859610.511928227</v>
      </c>
      <c r="Z4" s="78">
        <v>1051307.948187</v>
      </c>
      <c r="AA4" s="79">
        <v>80472.9814666033</v>
      </c>
      <c r="AB4" s="78">
        <v>67828.1239832549</v>
      </c>
      <c r="AC4" s="79">
        <v>8864587.04629894</v>
      </c>
      <c r="AD4" s="78">
        <v>6546056.10809103</v>
      </c>
      <c r="AF4" s="144"/>
    </row>
    <row r="5" spans="1:32">
      <c r="A5" s="128" t="s">
        <v>33</v>
      </c>
      <c r="B5" s="143">
        <v>698826365.567848</v>
      </c>
      <c r="C5" s="129">
        <f t="shared" si="1"/>
        <v>30715188.0727656</v>
      </c>
      <c r="D5" s="129">
        <f t="shared" si="0"/>
        <v>24779699.5734928</v>
      </c>
      <c r="E5" s="129">
        <v>2776532.88944239</v>
      </c>
      <c r="F5" s="129">
        <v>1714065.39888088</v>
      </c>
      <c r="G5" s="129">
        <v>1522927.85716451</v>
      </c>
      <c r="H5" s="129">
        <v>1079316.26313761</v>
      </c>
      <c r="I5" s="129">
        <v>1843610.43724682</v>
      </c>
      <c r="J5" s="129">
        <v>1274060.71469441</v>
      </c>
      <c r="K5" s="129">
        <v>2128514.69291213</v>
      </c>
      <c r="L5" s="129">
        <v>1294007.01039824</v>
      </c>
      <c r="M5" s="129">
        <v>9296051.60538332</v>
      </c>
      <c r="N5" s="129">
        <v>7703342.0776795</v>
      </c>
      <c r="O5" s="129">
        <v>422090.551245063</v>
      </c>
      <c r="P5" s="129">
        <v>409508.304640694</v>
      </c>
      <c r="Q5" s="129">
        <v>1395015.61587935</v>
      </c>
      <c r="R5" s="129">
        <v>1379657.41437562</v>
      </c>
      <c r="S5" s="129">
        <v>233283.287263577</v>
      </c>
      <c r="T5" s="129">
        <v>161555.242223672</v>
      </c>
      <c r="U5" s="129">
        <v>2022866.31740684</v>
      </c>
      <c r="V5" s="129">
        <v>1246400.22181289</v>
      </c>
      <c r="W5" s="79">
        <v>175530.12291834</v>
      </c>
      <c r="X5" s="78">
        <v>1404.57237056157</v>
      </c>
      <c r="Y5" s="78">
        <v>745122.457239464</v>
      </c>
      <c r="Z5" s="78">
        <v>862352.069976002</v>
      </c>
      <c r="AA5" s="79">
        <v>62155.1973853209</v>
      </c>
      <c r="AB5" s="78">
        <v>0</v>
      </c>
      <c r="AC5" s="79">
        <v>8091487.04127849</v>
      </c>
      <c r="AD5" s="78">
        <v>7654030.2833027</v>
      </c>
      <c r="AF5" s="144"/>
    </row>
    <row r="6" spans="1:32">
      <c r="A6" s="128" t="s">
        <v>35</v>
      </c>
      <c r="B6" s="143">
        <v>427273170.39118</v>
      </c>
      <c r="C6" s="129">
        <f t="shared" si="1"/>
        <v>24746493.621649</v>
      </c>
      <c r="D6" s="129">
        <f t="shared" si="0"/>
        <v>19658082.4966639</v>
      </c>
      <c r="E6" s="129">
        <v>1985682.59192024</v>
      </c>
      <c r="F6" s="129">
        <v>1724236.0054546</v>
      </c>
      <c r="G6" s="129">
        <v>1386767.66455392</v>
      </c>
      <c r="H6" s="129">
        <v>1016431.10732479</v>
      </c>
      <c r="I6" s="129">
        <v>1266695.13491056</v>
      </c>
      <c r="J6" s="129">
        <v>860578.974261478</v>
      </c>
      <c r="K6" s="129">
        <v>2409569.9971463</v>
      </c>
      <c r="L6" s="129">
        <v>1683938.96460816</v>
      </c>
      <c r="M6" s="129">
        <v>7242065.73162092</v>
      </c>
      <c r="N6" s="129">
        <v>6345978.22052341</v>
      </c>
      <c r="O6" s="129">
        <v>447247.634176969</v>
      </c>
      <c r="P6" s="129">
        <v>352018.238181606</v>
      </c>
      <c r="Q6" s="129">
        <v>2509123.87069241</v>
      </c>
      <c r="R6" s="129">
        <v>2097908.49696241</v>
      </c>
      <c r="S6" s="129">
        <v>268398.820742681</v>
      </c>
      <c r="T6" s="129">
        <v>164023.692758634</v>
      </c>
      <c r="U6" s="129">
        <v>2587227.55845015</v>
      </c>
      <c r="V6" s="129">
        <v>1646492.39187307</v>
      </c>
      <c r="W6" s="79">
        <v>416172.205916914</v>
      </c>
      <c r="X6" s="78">
        <v>7538.55497473049</v>
      </c>
      <c r="Y6" s="78">
        <v>395784.543575961</v>
      </c>
      <c r="Z6" s="78">
        <v>586417.720162699</v>
      </c>
      <c r="AA6" s="79">
        <v>0</v>
      </c>
      <c r="AB6" s="78">
        <v>0</v>
      </c>
      <c r="AC6" s="79">
        <v>3831757.867942</v>
      </c>
      <c r="AD6" s="78">
        <v>3172520.12957827</v>
      </c>
      <c r="AF6" s="144"/>
    </row>
    <row r="7" spans="1:32">
      <c r="A7" s="128" t="s">
        <v>37</v>
      </c>
      <c r="B7" s="143">
        <v>656282377.809504</v>
      </c>
      <c r="C7" s="129">
        <f t="shared" si="1"/>
        <v>64948221.7413167</v>
      </c>
      <c r="D7" s="129">
        <f t="shared" si="0"/>
        <v>87105572.3277162</v>
      </c>
      <c r="E7" s="129">
        <v>14276085.3140501</v>
      </c>
      <c r="F7" s="129">
        <v>13114330.4745858</v>
      </c>
      <c r="G7" s="129">
        <v>3828231.05944543</v>
      </c>
      <c r="H7" s="129">
        <v>4864836.65880079</v>
      </c>
      <c r="I7" s="129">
        <v>2548032.41204485</v>
      </c>
      <c r="J7" s="129">
        <v>4327657.15553863</v>
      </c>
      <c r="K7" s="129">
        <v>3713695.90667157</v>
      </c>
      <c r="L7" s="129">
        <v>5023557.93370507</v>
      </c>
      <c r="M7" s="129">
        <v>7308781.57748936</v>
      </c>
      <c r="N7" s="129">
        <v>11864279.8606983</v>
      </c>
      <c r="O7" s="129">
        <v>1529680.76316455</v>
      </c>
      <c r="P7" s="129">
        <v>469085.701117571</v>
      </c>
      <c r="Q7" s="129">
        <v>2557860.58044162</v>
      </c>
      <c r="R7" s="129">
        <v>5637024.20376777</v>
      </c>
      <c r="S7" s="129">
        <v>552861.958642676</v>
      </c>
      <c r="T7" s="129">
        <v>681580.946882654</v>
      </c>
      <c r="U7" s="129">
        <v>5357041.85479294</v>
      </c>
      <c r="V7" s="129">
        <v>5982175.67463432</v>
      </c>
      <c r="W7" s="79">
        <v>671749.441156056</v>
      </c>
      <c r="X7" s="78">
        <v>141882.307008221</v>
      </c>
      <c r="Y7" s="78">
        <v>910870.037829675</v>
      </c>
      <c r="Z7" s="78">
        <v>2223191.2598604</v>
      </c>
      <c r="AA7" s="79">
        <v>55337.8478086212</v>
      </c>
      <c r="AB7" s="78">
        <v>12200.9413704097</v>
      </c>
      <c r="AC7" s="79">
        <v>21637992.9877793</v>
      </c>
      <c r="AD7" s="78">
        <v>32763769.2097462</v>
      </c>
      <c r="AF7" s="144"/>
    </row>
    <row r="8" spans="1:32">
      <c r="A8" s="128" t="s">
        <v>40</v>
      </c>
      <c r="B8" s="143">
        <v>389475983.862822</v>
      </c>
      <c r="C8" s="129">
        <f t="shared" si="1"/>
        <v>45653252.8901128</v>
      </c>
      <c r="D8" s="129">
        <f t="shared" si="0"/>
        <v>30893893.8786371</v>
      </c>
      <c r="E8" s="129">
        <v>2313414.13129074</v>
      </c>
      <c r="F8" s="129">
        <v>1914596.02058255</v>
      </c>
      <c r="G8" s="129">
        <v>1453052.08607213</v>
      </c>
      <c r="H8" s="129">
        <v>989991.122708734</v>
      </c>
      <c r="I8" s="129">
        <v>4450789.73477399</v>
      </c>
      <c r="J8" s="129">
        <v>4171519.86815795</v>
      </c>
      <c r="K8" s="129">
        <v>2642173.65521598</v>
      </c>
      <c r="L8" s="129">
        <v>1424220.38750218</v>
      </c>
      <c r="M8" s="129">
        <v>10390898.7941492</v>
      </c>
      <c r="N8" s="129">
        <v>6899173.98784248</v>
      </c>
      <c r="O8" s="129">
        <v>906460.34506779</v>
      </c>
      <c r="P8" s="129">
        <v>492981.063088946</v>
      </c>
      <c r="Q8" s="129">
        <v>4112504.87169584</v>
      </c>
      <c r="R8" s="129">
        <v>3304242.40074305</v>
      </c>
      <c r="S8" s="129">
        <v>432180.242401808</v>
      </c>
      <c r="T8" s="129">
        <v>287463.787555477</v>
      </c>
      <c r="U8" s="129">
        <v>3635521.43435097</v>
      </c>
      <c r="V8" s="129">
        <v>2587588.10602435</v>
      </c>
      <c r="W8" s="79">
        <v>98841.7583498664</v>
      </c>
      <c r="X8" s="78">
        <v>0</v>
      </c>
      <c r="Y8" s="78">
        <v>1691926.32251738</v>
      </c>
      <c r="Z8" s="78">
        <v>2457727.06313911</v>
      </c>
      <c r="AA8" s="79">
        <v>0</v>
      </c>
      <c r="AB8" s="78">
        <v>0</v>
      </c>
      <c r="AC8" s="79">
        <v>13525489.5142271</v>
      </c>
      <c r="AD8" s="78">
        <v>6364390.07129225</v>
      </c>
      <c r="AF8" s="144"/>
    </row>
    <row r="9" spans="1:32">
      <c r="A9" s="128" t="s">
        <v>43</v>
      </c>
      <c r="B9" s="143">
        <v>198328571.093503</v>
      </c>
      <c r="C9" s="129">
        <f t="shared" si="1"/>
        <v>18999933.8398554</v>
      </c>
      <c r="D9" s="129">
        <f t="shared" si="0"/>
        <v>16584038.682022</v>
      </c>
      <c r="E9" s="129">
        <v>6834341.60432174</v>
      </c>
      <c r="F9" s="129">
        <v>4980398.77307823</v>
      </c>
      <c r="G9" s="129">
        <v>1640597.21611854</v>
      </c>
      <c r="H9" s="129">
        <v>1122150.33627903</v>
      </c>
      <c r="I9" s="129">
        <v>844073.752141887</v>
      </c>
      <c r="J9" s="129">
        <v>512123.215963289</v>
      </c>
      <c r="K9" s="129">
        <v>955386.151743504</v>
      </c>
      <c r="L9" s="129">
        <v>581544.080775803</v>
      </c>
      <c r="M9" s="129">
        <v>2683511.21792806</v>
      </c>
      <c r="N9" s="129">
        <v>2892415.79347806</v>
      </c>
      <c r="O9" s="129">
        <v>337940.534764616</v>
      </c>
      <c r="P9" s="129">
        <v>68251.58070171</v>
      </c>
      <c r="Q9" s="129">
        <v>840791.039959368</v>
      </c>
      <c r="R9" s="129">
        <v>527415.838460602</v>
      </c>
      <c r="S9" s="129">
        <v>157448.57375601</v>
      </c>
      <c r="T9" s="129">
        <v>177360.669952027</v>
      </c>
      <c r="U9" s="129">
        <v>2258082.56157686</v>
      </c>
      <c r="V9" s="129">
        <v>1025181.12202659</v>
      </c>
      <c r="W9" s="79">
        <v>12145.5781643684</v>
      </c>
      <c r="X9" s="78">
        <v>31898.1411187992</v>
      </c>
      <c r="Y9" s="78">
        <v>228396.99674029</v>
      </c>
      <c r="Z9" s="78">
        <v>524488.459632067</v>
      </c>
      <c r="AA9" s="79">
        <v>73291.9050976406</v>
      </c>
      <c r="AB9" s="78">
        <v>56124.3303038848</v>
      </c>
      <c r="AC9" s="79">
        <v>2133926.70754256</v>
      </c>
      <c r="AD9" s="78">
        <v>4084686.34025193</v>
      </c>
      <c r="AF9" s="144"/>
    </row>
    <row r="10" spans="1:32">
      <c r="A10" s="128" t="s">
        <v>45</v>
      </c>
      <c r="B10" s="143">
        <v>179158722.721931</v>
      </c>
      <c r="C10" s="129">
        <f t="shared" si="1"/>
        <v>8757465.85679786</v>
      </c>
      <c r="D10" s="129">
        <f t="shared" si="0"/>
        <v>6052865.36689635</v>
      </c>
      <c r="E10" s="129">
        <v>409940.004383339</v>
      </c>
      <c r="F10" s="129">
        <v>262228.258845381</v>
      </c>
      <c r="G10" s="129">
        <v>583595.925745395</v>
      </c>
      <c r="H10" s="129">
        <v>370895.572475528</v>
      </c>
      <c r="I10" s="129">
        <v>1576563.15651239</v>
      </c>
      <c r="J10" s="129">
        <v>1233845.58443256</v>
      </c>
      <c r="K10" s="129">
        <v>533747.566226825</v>
      </c>
      <c r="L10" s="129">
        <v>379280.754193897</v>
      </c>
      <c r="M10" s="129">
        <v>1379770.31982098</v>
      </c>
      <c r="N10" s="129">
        <v>952632.500991466</v>
      </c>
      <c r="O10" s="129">
        <v>185656.46958325</v>
      </c>
      <c r="P10" s="129">
        <v>113245.729034034</v>
      </c>
      <c r="Q10" s="129">
        <v>1385525.46419987</v>
      </c>
      <c r="R10" s="129">
        <v>1158119.53309094</v>
      </c>
      <c r="S10" s="129">
        <v>63327.3585530689</v>
      </c>
      <c r="T10" s="129">
        <v>43691.7770285947</v>
      </c>
      <c r="U10" s="129">
        <v>929028.49859747</v>
      </c>
      <c r="V10" s="129">
        <v>473386.906505464</v>
      </c>
      <c r="W10" s="79">
        <v>199279.05032055</v>
      </c>
      <c r="X10" s="78">
        <v>93930.9806303277</v>
      </c>
      <c r="Y10" s="78">
        <v>188672.570015323</v>
      </c>
      <c r="Z10" s="78">
        <v>259987.373158892</v>
      </c>
      <c r="AA10" s="79">
        <v>0</v>
      </c>
      <c r="AB10" s="78">
        <v>0</v>
      </c>
      <c r="AC10" s="79">
        <v>1322359.4728394</v>
      </c>
      <c r="AD10" s="78">
        <v>711620.396509265</v>
      </c>
      <c r="AF10" s="144"/>
    </row>
    <row r="11" spans="1:32">
      <c r="A11" s="128" t="s">
        <v>47</v>
      </c>
      <c r="B11" s="143">
        <v>344711544.421158</v>
      </c>
      <c r="C11" s="129">
        <f t="shared" si="1"/>
        <v>66607474.9939549</v>
      </c>
      <c r="D11" s="129">
        <f t="shared" si="0"/>
        <v>29083441.0920261</v>
      </c>
      <c r="E11" s="129">
        <v>4607755.79185501</v>
      </c>
      <c r="F11" s="129">
        <v>2359501.39447802</v>
      </c>
      <c r="G11" s="129">
        <v>2540909.3999292</v>
      </c>
      <c r="H11" s="129">
        <v>1134772.82986559</v>
      </c>
      <c r="I11" s="129">
        <v>3596314.34150464</v>
      </c>
      <c r="J11" s="129">
        <v>1762362.55702963</v>
      </c>
      <c r="K11" s="129">
        <v>6556809.91140712</v>
      </c>
      <c r="L11" s="129">
        <v>3101861.09861083</v>
      </c>
      <c r="M11" s="129">
        <v>12596456.094814</v>
      </c>
      <c r="N11" s="129">
        <v>7086021.56989897</v>
      </c>
      <c r="O11" s="129">
        <v>2449691.37625234</v>
      </c>
      <c r="P11" s="129">
        <v>220969.246888843</v>
      </c>
      <c r="Q11" s="129">
        <v>7595482.24057448</v>
      </c>
      <c r="R11" s="129">
        <v>3297530.97951853</v>
      </c>
      <c r="S11" s="129">
        <v>596913.660880581</v>
      </c>
      <c r="T11" s="129">
        <v>321307.192995177</v>
      </c>
      <c r="U11" s="129">
        <v>3620221.57422795</v>
      </c>
      <c r="V11" s="129">
        <v>2661354.27978699</v>
      </c>
      <c r="W11" s="79">
        <v>46135.0953997169</v>
      </c>
      <c r="X11" s="78">
        <v>53163.568531332</v>
      </c>
      <c r="Y11" s="78">
        <v>937084.036919657</v>
      </c>
      <c r="Z11" s="78">
        <v>634720.744025077</v>
      </c>
      <c r="AA11" s="79">
        <v>47725.9833740511</v>
      </c>
      <c r="AB11" s="78">
        <v>0</v>
      </c>
      <c r="AC11" s="79">
        <v>21415975.4868161</v>
      </c>
      <c r="AD11" s="78">
        <v>6449875.63039713</v>
      </c>
      <c r="AF11" s="144"/>
    </row>
    <row r="12" spans="1:32">
      <c r="A12" s="128" t="s">
        <v>49</v>
      </c>
      <c r="B12" s="143">
        <v>386375632.0024</v>
      </c>
      <c r="C12" s="129">
        <f t="shared" si="1"/>
        <v>102015049.038403</v>
      </c>
      <c r="D12" s="129">
        <f t="shared" si="0"/>
        <v>98241263.2335659</v>
      </c>
      <c r="E12" s="129">
        <v>4872223.14365075</v>
      </c>
      <c r="F12" s="129">
        <v>4849543.03694672</v>
      </c>
      <c r="G12" s="129">
        <v>6364135.52051207</v>
      </c>
      <c r="H12" s="129">
        <v>7003265.36865347</v>
      </c>
      <c r="I12" s="129">
        <v>5239218.18309572</v>
      </c>
      <c r="J12" s="129">
        <v>4197619.56103717</v>
      </c>
      <c r="K12" s="129">
        <v>9551027.25905618</v>
      </c>
      <c r="L12" s="129">
        <v>12157619.8227318</v>
      </c>
      <c r="M12" s="129">
        <v>20884566.2446589</v>
      </c>
      <c r="N12" s="129">
        <v>21760883.5310471</v>
      </c>
      <c r="O12" s="129">
        <v>1932825.79524503</v>
      </c>
      <c r="P12" s="129">
        <v>1123779.60340642</v>
      </c>
      <c r="Q12" s="129">
        <v>12264838.6123999</v>
      </c>
      <c r="R12" s="129">
        <v>15532423.3200738</v>
      </c>
      <c r="S12" s="129">
        <v>718110.896117193</v>
      </c>
      <c r="T12" s="129">
        <v>915661.476257119</v>
      </c>
      <c r="U12" s="129">
        <v>5390249.59133603</v>
      </c>
      <c r="V12" s="129">
        <v>5826662.87106554</v>
      </c>
      <c r="W12" s="79">
        <v>0</v>
      </c>
      <c r="X12" s="78">
        <v>23572.7609916925</v>
      </c>
      <c r="Y12" s="78">
        <v>375387.936292279</v>
      </c>
      <c r="Z12" s="78">
        <v>743438.848591732</v>
      </c>
      <c r="AA12" s="79">
        <v>257559.559920641</v>
      </c>
      <c r="AB12" s="78">
        <v>585443.680454634</v>
      </c>
      <c r="AC12" s="79">
        <v>34164906.2961178</v>
      </c>
      <c r="AD12" s="78">
        <v>23521349.3523087</v>
      </c>
      <c r="AF12" s="144"/>
    </row>
    <row r="13" spans="1:32">
      <c r="A13" s="128" t="s">
        <v>51</v>
      </c>
      <c r="B13" s="143">
        <v>64091698.9229827</v>
      </c>
      <c r="C13" s="129">
        <f t="shared" si="1"/>
        <v>7899931.76481104</v>
      </c>
      <c r="D13" s="129">
        <f t="shared" si="0"/>
        <v>8986378.38300598</v>
      </c>
      <c r="E13" s="129">
        <v>379677.874340309</v>
      </c>
      <c r="F13" s="129">
        <v>465696.163350852</v>
      </c>
      <c r="G13" s="129">
        <v>73416.5254792515</v>
      </c>
      <c r="H13" s="129">
        <v>52109.0409074623</v>
      </c>
      <c r="I13" s="129">
        <v>478152.20201298</v>
      </c>
      <c r="J13" s="129">
        <v>659100.941069133</v>
      </c>
      <c r="K13" s="129">
        <v>728495.759478847</v>
      </c>
      <c r="L13" s="129">
        <v>1312497.69111219</v>
      </c>
      <c r="M13" s="129">
        <v>1138052.43634851</v>
      </c>
      <c r="N13" s="129">
        <v>1474867.77979581</v>
      </c>
      <c r="O13" s="129">
        <v>261132.538995573</v>
      </c>
      <c r="P13" s="129">
        <v>52954.4316339059</v>
      </c>
      <c r="Q13" s="129">
        <v>739582.506688111</v>
      </c>
      <c r="R13" s="129">
        <v>1174846.27003248</v>
      </c>
      <c r="S13" s="129">
        <v>117930.956213061</v>
      </c>
      <c r="T13" s="129">
        <v>188543.889448894</v>
      </c>
      <c r="U13" s="129">
        <v>911264.579301738</v>
      </c>
      <c r="V13" s="129">
        <v>1414985.11114366</v>
      </c>
      <c r="W13" s="79">
        <v>0</v>
      </c>
      <c r="X13" s="78">
        <v>44899.4642431078</v>
      </c>
      <c r="Y13" s="78">
        <v>30217.2291566951</v>
      </c>
      <c r="Z13" s="78">
        <v>111781.212543468</v>
      </c>
      <c r="AA13" s="79">
        <v>0</v>
      </c>
      <c r="AB13" s="78">
        <v>0</v>
      </c>
      <c r="AC13" s="79">
        <v>3042009.15679597</v>
      </c>
      <c r="AD13" s="78">
        <v>2034096.38772502</v>
      </c>
      <c r="AF13" s="144"/>
    </row>
    <row r="14" spans="1:32">
      <c r="A14" s="128" t="s">
        <v>53</v>
      </c>
      <c r="B14" s="143">
        <v>31616254.4463448</v>
      </c>
      <c r="C14" s="129">
        <f t="shared" si="1"/>
        <v>1717344.42395459</v>
      </c>
      <c r="D14" s="129">
        <f t="shared" si="0"/>
        <v>982145.421944246</v>
      </c>
      <c r="E14" s="129">
        <v>66214.6858896656</v>
      </c>
      <c r="F14" s="129">
        <v>37908.9624514825</v>
      </c>
      <c r="G14" s="129">
        <v>40063.0812183658</v>
      </c>
      <c r="H14" s="129">
        <v>39706.6708460721</v>
      </c>
      <c r="I14" s="129">
        <v>67582.6473472278</v>
      </c>
      <c r="J14" s="129">
        <v>53318.3777771551</v>
      </c>
      <c r="K14" s="129">
        <v>52142.6848238991</v>
      </c>
      <c r="L14" s="129">
        <v>26207.019633143</v>
      </c>
      <c r="M14" s="129">
        <v>175565.961081615</v>
      </c>
      <c r="N14" s="129">
        <v>152100.466165403</v>
      </c>
      <c r="O14" s="129">
        <v>27960.7928600274</v>
      </c>
      <c r="P14" s="129">
        <v>3341.57700713078</v>
      </c>
      <c r="Q14" s="129">
        <v>64467.2172344287</v>
      </c>
      <c r="R14" s="129">
        <v>26824.8879520472</v>
      </c>
      <c r="S14" s="129">
        <v>21046.1477945805</v>
      </c>
      <c r="T14" s="129">
        <v>98337.6805058041</v>
      </c>
      <c r="U14" s="129">
        <v>785640.365713406</v>
      </c>
      <c r="V14" s="129">
        <v>307485.493135294</v>
      </c>
      <c r="W14" s="79">
        <v>1191.69030480906</v>
      </c>
      <c r="X14" s="78">
        <v>0</v>
      </c>
      <c r="Y14" s="78">
        <v>34830.5848268842</v>
      </c>
      <c r="Z14" s="78">
        <v>64011.8178840609</v>
      </c>
      <c r="AA14" s="79">
        <v>0</v>
      </c>
      <c r="AB14" s="78">
        <v>0</v>
      </c>
      <c r="AC14" s="79">
        <v>380638.564859679</v>
      </c>
      <c r="AD14" s="78">
        <v>172902.468586654</v>
      </c>
      <c r="AF14" s="144"/>
    </row>
    <row r="15" spans="1:32">
      <c r="A15" s="128" t="s">
        <v>55</v>
      </c>
      <c r="B15" s="143">
        <v>37656257.8908198</v>
      </c>
      <c r="C15" s="129">
        <f t="shared" si="1"/>
        <v>1972012.6702829</v>
      </c>
      <c r="D15" s="129">
        <f t="shared" si="0"/>
        <v>2246533.19283302</v>
      </c>
      <c r="E15" s="129">
        <v>273097.778777191</v>
      </c>
      <c r="F15" s="129">
        <v>316662.507204902</v>
      </c>
      <c r="G15" s="129">
        <v>198892.765685375</v>
      </c>
      <c r="H15" s="129">
        <v>301710.705971887</v>
      </c>
      <c r="I15" s="129">
        <v>268320.178079389</v>
      </c>
      <c r="J15" s="129">
        <v>159000.212616583</v>
      </c>
      <c r="K15" s="129">
        <v>62440.1933351715</v>
      </c>
      <c r="L15" s="129">
        <v>172753.358822158</v>
      </c>
      <c r="M15" s="129">
        <v>247768.10387232</v>
      </c>
      <c r="N15" s="129">
        <v>307589.170290838</v>
      </c>
      <c r="O15" s="129">
        <v>68695.6022637253</v>
      </c>
      <c r="P15" s="129">
        <v>39629.6169296851</v>
      </c>
      <c r="Q15" s="129">
        <v>140320.006489716</v>
      </c>
      <c r="R15" s="129">
        <v>191621.65067828</v>
      </c>
      <c r="S15" s="129">
        <v>24223.7770903335</v>
      </c>
      <c r="T15" s="129">
        <v>80008.4686742171</v>
      </c>
      <c r="U15" s="129">
        <v>492844.138469566</v>
      </c>
      <c r="V15" s="129">
        <v>324157.226120972</v>
      </c>
      <c r="W15" s="79">
        <v>0</v>
      </c>
      <c r="X15" s="78">
        <v>23923.6058390994</v>
      </c>
      <c r="Y15" s="78">
        <v>121041.721386093</v>
      </c>
      <c r="Z15" s="78">
        <v>135680.905055231</v>
      </c>
      <c r="AA15" s="79">
        <v>0</v>
      </c>
      <c r="AB15" s="78">
        <v>0</v>
      </c>
      <c r="AC15" s="79">
        <v>74368.4048340224</v>
      </c>
      <c r="AD15" s="78">
        <v>193795.764629168</v>
      </c>
      <c r="AF15" s="144"/>
    </row>
    <row r="16" spans="1:32">
      <c r="A16" s="128" t="s">
        <v>57</v>
      </c>
      <c r="B16" s="143">
        <v>40013269.1982553</v>
      </c>
      <c r="C16" s="129">
        <f t="shared" si="1"/>
        <v>4018056.03531279</v>
      </c>
      <c r="D16" s="129">
        <f t="shared" si="0"/>
        <v>2885065.96291293</v>
      </c>
      <c r="E16" s="129">
        <v>148018.621911565</v>
      </c>
      <c r="F16" s="129">
        <v>96334.3979255777</v>
      </c>
      <c r="G16" s="129">
        <v>83634.7763741289</v>
      </c>
      <c r="H16" s="129">
        <v>42533.1247610166</v>
      </c>
      <c r="I16" s="129">
        <v>340645.197749228</v>
      </c>
      <c r="J16" s="129">
        <v>278942.901137646</v>
      </c>
      <c r="K16" s="129">
        <v>372341.824714173</v>
      </c>
      <c r="L16" s="129">
        <v>251722.281214497</v>
      </c>
      <c r="M16" s="129">
        <v>941341.067669617</v>
      </c>
      <c r="N16" s="129">
        <v>580463.69599135</v>
      </c>
      <c r="O16" s="129">
        <v>31451.6789924802</v>
      </c>
      <c r="P16" s="129">
        <v>42908.4450367081</v>
      </c>
      <c r="Q16" s="129">
        <v>284063.338218255</v>
      </c>
      <c r="R16" s="129">
        <v>224867.155101156</v>
      </c>
      <c r="S16" s="129">
        <v>31634.2774116747</v>
      </c>
      <c r="T16" s="129">
        <v>30841.6158024292</v>
      </c>
      <c r="U16" s="129">
        <v>695910.467637132</v>
      </c>
      <c r="V16" s="129">
        <v>515666.086138325</v>
      </c>
      <c r="W16" s="79">
        <v>0</v>
      </c>
      <c r="X16" s="78">
        <v>95694.4233563976</v>
      </c>
      <c r="Y16" s="78">
        <v>93589.2815380903</v>
      </c>
      <c r="Z16" s="78">
        <v>110360.021337818</v>
      </c>
      <c r="AA16" s="79">
        <v>0</v>
      </c>
      <c r="AB16" s="78">
        <v>0</v>
      </c>
      <c r="AC16" s="79">
        <v>995425.503096446</v>
      </c>
      <c r="AD16" s="78">
        <v>614731.81511001</v>
      </c>
      <c r="AF16" s="144"/>
    </row>
    <row r="17" spans="1:32">
      <c r="A17" s="128" t="s">
        <v>59</v>
      </c>
      <c r="B17" s="143">
        <v>18366005.4762901</v>
      </c>
      <c r="C17" s="129">
        <f t="shared" si="1"/>
        <v>957590.878831048</v>
      </c>
      <c r="D17" s="129">
        <f t="shared" si="0"/>
        <v>720305.181398005</v>
      </c>
      <c r="E17" s="129">
        <v>153076.085833579</v>
      </c>
      <c r="F17" s="129">
        <v>76693.8151588184</v>
      </c>
      <c r="G17" s="129">
        <v>190294.553282127</v>
      </c>
      <c r="H17" s="129">
        <v>123917.603900224</v>
      </c>
      <c r="I17" s="129">
        <v>47378.6439541551</v>
      </c>
      <c r="J17" s="129">
        <v>16951.6517756453</v>
      </c>
      <c r="K17" s="129">
        <v>78088.8695513271</v>
      </c>
      <c r="L17" s="129">
        <v>20756.5332213416</v>
      </c>
      <c r="M17" s="129">
        <v>216769.468975896</v>
      </c>
      <c r="N17" s="129">
        <v>185802.299969676</v>
      </c>
      <c r="O17" s="129">
        <v>13244.6848307185</v>
      </c>
      <c r="P17" s="129">
        <v>20174.2903161884</v>
      </c>
      <c r="Q17" s="129">
        <v>59511.7546746236</v>
      </c>
      <c r="R17" s="129">
        <v>42244.2372191311</v>
      </c>
      <c r="S17" s="129">
        <v>20722.375808052</v>
      </c>
      <c r="T17" s="129">
        <v>15432.4390544007</v>
      </c>
      <c r="U17" s="129">
        <v>134324.498846136</v>
      </c>
      <c r="V17" s="129">
        <v>71473.4291123946</v>
      </c>
      <c r="W17" s="79">
        <v>0</v>
      </c>
      <c r="X17" s="78">
        <v>0</v>
      </c>
      <c r="Y17" s="78">
        <v>11486.318069905</v>
      </c>
      <c r="Z17" s="78">
        <v>22279.0034813694</v>
      </c>
      <c r="AA17" s="79">
        <v>0</v>
      </c>
      <c r="AB17" s="78">
        <v>0</v>
      </c>
      <c r="AC17" s="79">
        <v>32693.6250045282</v>
      </c>
      <c r="AD17" s="78">
        <v>124579.878188815</v>
      </c>
      <c r="AF17" s="144"/>
    </row>
    <row r="18" spans="1:32">
      <c r="A18" s="128" t="s">
        <v>61</v>
      </c>
      <c r="B18" s="143">
        <v>22574592.7798801</v>
      </c>
      <c r="C18" s="129">
        <f t="shared" si="1"/>
        <v>361972.416085099</v>
      </c>
      <c r="D18" s="129">
        <f t="shared" si="0"/>
        <v>282864.664171846</v>
      </c>
      <c r="E18" s="129">
        <v>23684.0953234254</v>
      </c>
      <c r="F18" s="129">
        <v>17470.6897491535</v>
      </c>
      <c r="G18" s="129">
        <v>102604.662297425</v>
      </c>
      <c r="H18" s="129">
        <v>75045.0022610288</v>
      </c>
      <c r="I18" s="129">
        <v>7525.50530328835</v>
      </c>
      <c r="J18" s="129">
        <v>8112.73775003799</v>
      </c>
      <c r="K18" s="129">
        <v>6866.28027770693</v>
      </c>
      <c r="L18" s="129">
        <v>6927.89241564793</v>
      </c>
      <c r="M18" s="129">
        <v>81385.7285857071</v>
      </c>
      <c r="N18" s="129">
        <v>57997.4714240832</v>
      </c>
      <c r="O18" s="129">
        <v>5904.87092419569</v>
      </c>
      <c r="P18" s="129">
        <v>3450.31664619317</v>
      </c>
      <c r="Q18" s="129">
        <v>15462.4539944379</v>
      </c>
      <c r="R18" s="129">
        <v>20615.0608663162</v>
      </c>
      <c r="S18" s="129">
        <v>3090.41599596317</v>
      </c>
      <c r="T18" s="129">
        <v>8415.76760596654</v>
      </c>
      <c r="U18" s="129">
        <v>32259.9754773415</v>
      </c>
      <c r="V18" s="129">
        <v>15045.7246973484</v>
      </c>
      <c r="W18" s="79">
        <v>0</v>
      </c>
      <c r="X18" s="78">
        <v>0</v>
      </c>
      <c r="Y18" s="78">
        <v>4106.03073275105</v>
      </c>
      <c r="Z18" s="78">
        <v>9656.37520885475</v>
      </c>
      <c r="AA18" s="79">
        <v>0</v>
      </c>
      <c r="AB18" s="78">
        <v>0</v>
      </c>
      <c r="AC18" s="79">
        <v>79082.3971728576</v>
      </c>
      <c r="AD18" s="78">
        <v>60127.6255472151</v>
      </c>
      <c r="AF18" s="144"/>
    </row>
    <row r="19" spans="1:32">
      <c r="A19" s="128" t="s">
        <v>63</v>
      </c>
      <c r="B19" s="143">
        <v>20439091.1844252</v>
      </c>
      <c r="C19" s="129">
        <f t="shared" si="1"/>
        <v>940011.765827755</v>
      </c>
      <c r="D19" s="129">
        <f t="shared" si="0"/>
        <v>1895901.91676049</v>
      </c>
      <c r="E19" s="129">
        <v>197652.267639284</v>
      </c>
      <c r="F19" s="129">
        <v>273504.902077937</v>
      </c>
      <c r="G19" s="129">
        <v>251729.061591136</v>
      </c>
      <c r="H19" s="129">
        <v>807550.433753355</v>
      </c>
      <c r="I19" s="129">
        <v>16489.740301114</v>
      </c>
      <c r="J19" s="129">
        <v>11361.517841626</v>
      </c>
      <c r="K19" s="129">
        <v>43599.6965044784</v>
      </c>
      <c r="L19" s="129">
        <v>78310.2260553198</v>
      </c>
      <c r="M19" s="129">
        <v>1088.22741280693</v>
      </c>
      <c r="N19" s="129">
        <v>559.910753632591</v>
      </c>
      <c r="O19" s="129">
        <v>21782.1439411275</v>
      </c>
      <c r="P19" s="129">
        <v>33792.7773476108</v>
      </c>
      <c r="Q19" s="129">
        <v>48401.9955876985</v>
      </c>
      <c r="R19" s="129">
        <v>73790.7368992458</v>
      </c>
      <c r="S19" s="129">
        <v>8776.52818549452</v>
      </c>
      <c r="T19" s="129">
        <v>172459.710392719</v>
      </c>
      <c r="U19" s="129">
        <v>205252.626047412</v>
      </c>
      <c r="V19" s="129">
        <v>100090.081085822</v>
      </c>
      <c r="W19" s="79">
        <v>0</v>
      </c>
      <c r="X19" s="78">
        <v>0</v>
      </c>
      <c r="Y19" s="78">
        <v>25190.9215849275</v>
      </c>
      <c r="Z19" s="78">
        <v>80183.5878581297</v>
      </c>
      <c r="AA19" s="79">
        <v>0</v>
      </c>
      <c r="AB19" s="78">
        <v>0</v>
      </c>
      <c r="AC19" s="79">
        <v>120048.557032275</v>
      </c>
      <c r="AD19" s="78">
        <v>264298.032695092</v>
      </c>
      <c r="AF19" s="144"/>
    </row>
    <row r="20" spans="1:32">
      <c r="A20" s="128" t="s">
        <v>65</v>
      </c>
      <c r="B20" s="143">
        <v>15628783.1614542</v>
      </c>
      <c r="C20" s="129">
        <f t="shared" si="1"/>
        <v>1128903.52376285</v>
      </c>
      <c r="D20" s="129">
        <f t="shared" si="0"/>
        <v>767090.056993188</v>
      </c>
      <c r="E20" s="129">
        <v>494946.316108142</v>
      </c>
      <c r="F20" s="129">
        <v>239456.181616037</v>
      </c>
      <c r="G20" s="129">
        <v>80135.9545808592</v>
      </c>
      <c r="H20" s="129">
        <v>77205.0999785641</v>
      </c>
      <c r="I20" s="129">
        <v>34964.0915600393</v>
      </c>
      <c r="J20" s="129">
        <v>17670.342754638</v>
      </c>
      <c r="K20" s="129">
        <v>28032.6394331125</v>
      </c>
      <c r="L20" s="129">
        <v>24232.9691509892</v>
      </c>
      <c r="M20" s="129">
        <v>143599.75365959</v>
      </c>
      <c r="N20" s="129">
        <v>114850.697060928</v>
      </c>
      <c r="O20" s="129">
        <v>24817.870946334</v>
      </c>
      <c r="P20" s="129">
        <v>203.325364277192</v>
      </c>
      <c r="Q20" s="129">
        <v>26545.7604342467</v>
      </c>
      <c r="R20" s="129">
        <v>23523.4608938104</v>
      </c>
      <c r="S20" s="129">
        <v>16160.9123470397</v>
      </c>
      <c r="T20" s="129">
        <v>177375.600493645</v>
      </c>
      <c r="U20" s="129">
        <v>166916.747717179</v>
      </c>
      <c r="V20" s="129">
        <v>30794.5772643534</v>
      </c>
      <c r="W20" s="79">
        <v>15003.3612618669</v>
      </c>
      <c r="X20" s="78">
        <v>0</v>
      </c>
      <c r="Y20" s="78">
        <v>0</v>
      </c>
      <c r="Z20" s="78">
        <v>712.736719772504</v>
      </c>
      <c r="AA20" s="79">
        <v>0</v>
      </c>
      <c r="AB20" s="78">
        <v>0</v>
      </c>
      <c r="AC20" s="79">
        <v>97780.1157144392</v>
      </c>
      <c r="AD20" s="78">
        <v>61065.0656961741</v>
      </c>
      <c r="AF20" s="144"/>
    </row>
    <row r="21" spans="1:32">
      <c r="A21" s="128" t="s">
        <v>67</v>
      </c>
      <c r="B21" s="143">
        <v>11422294.6642018</v>
      </c>
      <c r="C21" s="129">
        <f t="shared" si="1"/>
        <v>1057436.01140814</v>
      </c>
      <c r="D21" s="129">
        <f t="shared" si="0"/>
        <v>481016.477424904</v>
      </c>
      <c r="E21" s="129">
        <v>416949.6664317</v>
      </c>
      <c r="F21" s="129">
        <v>387243.912120666</v>
      </c>
      <c r="G21" s="129">
        <v>2300.53989790085</v>
      </c>
      <c r="H21" s="129">
        <v>4902.79733998538</v>
      </c>
      <c r="I21" s="129">
        <v>4595.28358538658</v>
      </c>
      <c r="J21" s="129">
        <v>526.845670074532</v>
      </c>
      <c r="K21" s="129">
        <v>34245.28004651</v>
      </c>
      <c r="L21" s="129">
        <v>19489.6496094344</v>
      </c>
      <c r="M21" s="129">
        <v>0</v>
      </c>
      <c r="N21" s="129">
        <v>0</v>
      </c>
      <c r="O21" s="129">
        <v>0</v>
      </c>
      <c r="P21" s="129">
        <v>0</v>
      </c>
      <c r="Q21" s="129">
        <v>0</v>
      </c>
      <c r="R21" s="129">
        <v>0</v>
      </c>
      <c r="S21" s="129">
        <v>0</v>
      </c>
      <c r="T21" s="129">
        <v>0</v>
      </c>
      <c r="U21" s="129">
        <v>577120.075115476</v>
      </c>
      <c r="V21" s="129">
        <v>43740.0527324728</v>
      </c>
      <c r="W21" s="79">
        <v>0</v>
      </c>
      <c r="X21" s="78">
        <v>0</v>
      </c>
      <c r="Y21" s="78">
        <v>0</v>
      </c>
      <c r="Z21" s="78">
        <v>0</v>
      </c>
      <c r="AA21" s="79">
        <v>0</v>
      </c>
      <c r="AB21" s="78">
        <v>0</v>
      </c>
      <c r="AC21" s="79">
        <v>22225.1663311662</v>
      </c>
      <c r="AD21" s="78">
        <v>25113.2199522708</v>
      </c>
      <c r="AF21" s="144"/>
    </row>
    <row r="22" spans="1:32">
      <c r="A22" s="128" t="s">
        <v>69</v>
      </c>
      <c r="B22" s="143">
        <v>15129249.6053284</v>
      </c>
      <c r="C22" s="129">
        <f t="shared" si="1"/>
        <v>997291.372382775</v>
      </c>
      <c r="D22" s="129">
        <f t="shared" si="0"/>
        <v>927931.534996059</v>
      </c>
      <c r="E22" s="129">
        <v>996058.338031167</v>
      </c>
      <c r="F22" s="129">
        <v>927931.534996059</v>
      </c>
      <c r="G22" s="129">
        <v>0</v>
      </c>
      <c r="H22" s="129">
        <v>0</v>
      </c>
      <c r="I22" s="129">
        <v>0</v>
      </c>
      <c r="J22" s="129">
        <v>0</v>
      </c>
      <c r="K22" s="129">
        <v>0</v>
      </c>
      <c r="L22" s="129">
        <v>0</v>
      </c>
      <c r="M22" s="129">
        <v>0</v>
      </c>
      <c r="N22" s="129">
        <v>0</v>
      </c>
      <c r="O22" s="129">
        <v>0</v>
      </c>
      <c r="P22" s="129">
        <v>0</v>
      </c>
      <c r="Q22" s="129">
        <v>0</v>
      </c>
      <c r="R22" s="129">
        <v>0</v>
      </c>
      <c r="S22" s="129">
        <v>0</v>
      </c>
      <c r="T22" s="129">
        <v>0</v>
      </c>
      <c r="U22" s="129">
        <v>0</v>
      </c>
      <c r="V22" s="129">
        <v>0</v>
      </c>
      <c r="W22" s="79">
        <v>0</v>
      </c>
      <c r="X22" s="78">
        <v>0</v>
      </c>
      <c r="Y22" s="78">
        <v>0</v>
      </c>
      <c r="Z22" s="78">
        <v>0</v>
      </c>
      <c r="AA22" s="79">
        <v>0</v>
      </c>
      <c r="AB22" s="78">
        <v>0</v>
      </c>
      <c r="AC22" s="79">
        <v>1233.03435160833</v>
      </c>
      <c r="AD22" s="78">
        <v>0</v>
      </c>
      <c r="AF22" s="144"/>
    </row>
    <row r="23" spans="1:32">
      <c r="A23" s="128" t="s">
        <v>71</v>
      </c>
      <c r="B23" s="143">
        <v>41043246.241168</v>
      </c>
      <c r="C23" s="129">
        <f t="shared" si="1"/>
        <v>2091651.38291506</v>
      </c>
      <c r="D23" s="129">
        <f t="shared" si="0"/>
        <v>2997803.9557169</v>
      </c>
      <c r="E23" s="129">
        <v>264495.520931808</v>
      </c>
      <c r="F23" s="129">
        <v>189446.715076915</v>
      </c>
      <c r="G23" s="129">
        <v>157827.662995973</v>
      </c>
      <c r="H23" s="129">
        <v>152021.458987139</v>
      </c>
      <c r="I23" s="129">
        <v>107015.993769568</v>
      </c>
      <c r="J23" s="129">
        <v>320206.295344971</v>
      </c>
      <c r="K23" s="129">
        <v>125791.308868985</v>
      </c>
      <c r="L23" s="129">
        <v>206735.359107149</v>
      </c>
      <c r="M23" s="129">
        <v>390434.835317045</v>
      </c>
      <c r="N23" s="129">
        <v>636959.400785932</v>
      </c>
      <c r="O23" s="129">
        <v>21380.1673257495</v>
      </c>
      <c r="P23" s="129">
        <v>12911.9331412073</v>
      </c>
      <c r="Q23" s="129">
        <v>36213.6739023474</v>
      </c>
      <c r="R23" s="129">
        <v>167136.242908329</v>
      </c>
      <c r="S23" s="129">
        <v>26612.2000786018</v>
      </c>
      <c r="T23" s="129">
        <v>152466.262433073</v>
      </c>
      <c r="U23" s="129">
        <v>594324.690809262</v>
      </c>
      <c r="V23" s="129">
        <v>329394.404768821</v>
      </c>
      <c r="W23" s="79">
        <v>24874.4855629704</v>
      </c>
      <c r="X23" s="78">
        <v>38379.2811747609</v>
      </c>
      <c r="Y23" s="78">
        <v>44895.9280368354</v>
      </c>
      <c r="Z23" s="78">
        <v>62174.5617363825</v>
      </c>
      <c r="AA23" s="79">
        <v>0</v>
      </c>
      <c r="AB23" s="78">
        <v>0</v>
      </c>
      <c r="AC23" s="79">
        <v>297784.915315917</v>
      </c>
      <c r="AD23" s="78">
        <v>729972.040252221</v>
      </c>
      <c r="AF23" s="144"/>
    </row>
    <row r="24" spans="1:32">
      <c r="A24" s="128" t="s">
        <v>73</v>
      </c>
      <c r="B24" s="143">
        <v>26636322.4157821</v>
      </c>
      <c r="C24" s="129">
        <f t="shared" si="1"/>
        <v>1943510.131195</v>
      </c>
      <c r="D24" s="129">
        <f t="shared" si="0"/>
        <v>897522.733106716</v>
      </c>
      <c r="E24" s="129">
        <v>159790.982944926</v>
      </c>
      <c r="F24" s="129">
        <v>87386.5060132892</v>
      </c>
      <c r="G24" s="129">
        <v>35332.6854455502</v>
      </c>
      <c r="H24" s="129">
        <v>11268.5945223149</v>
      </c>
      <c r="I24" s="129">
        <v>104280.858750829</v>
      </c>
      <c r="J24" s="129">
        <v>34707.4623470788</v>
      </c>
      <c r="K24" s="129">
        <v>86660.5317471788</v>
      </c>
      <c r="L24" s="129">
        <v>45618.0387508983</v>
      </c>
      <c r="M24" s="129">
        <v>264428.238415278</v>
      </c>
      <c r="N24" s="129">
        <v>199350.664442321</v>
      </c>
      <c r="O24" s="129">
        <v>31769.6260418277</v>
      </c>
      <c r="P24" s="129">
        <v>13969.633764558</v>
      </c>
      <c r="Q24" s="129">
        <v>101505.861024846</v>
      </c>
      <c r="R24" s="129">
        <v>62097.9183666994</v>
      </c>
      <c r="S24" s="129">
        <v>13598.8584123556</v>
      </c>
      <c r="T24" s="129">
        <v>53714.024268318</v>
      </c>
      <c r="U24" s="129">
        <v>334282.887649378</v>
      </c>
      <c r="V24" s="129">
        <v>106677.45735247</v>
      </c>
      <c r="W24" s="79">
        <v>0</v>
      </c>
      <c r="X24" s="78">
        <v>0</v>
      </c>
      <c r="Y24" s="78">
        <v>80516.1501607686</v>
      </c>
      <c r="Z24" s="78">
        <v>74884.875953515</v>
      </c>
      <c r="AA24" s="79">
        <v>0</v>
      </c>
      <c r="AB24" s="78">
        <v>0</v>
      </c>
      <c r="AC24" s="79">
        <v>731343.450602058</v>
      </c>
      <c r="AD24" s="78">
        <v>207847.557325253</v>
      </c>
      <c r="AF24" s="144"/>
    </row>
    <row r="25" spans="1:32">
      <c r="A25" s="128" t="s">
        <v>75</v>
      </c>
      <c r="B25" s="143">
        <v>12244943.7184999</v>
      </c>
      <c r="C25" s="129">
        <f t="shared" si="1"/>
        <v>2575344.97401406</v>
      </c>
      <c r="D25" s="129">
        <f t="shared" si="0"/>
        <v>3690123.47890019</v>
      </c>
      <c r="E25" s="129">
        <v>0</v>
      </c>
      <c r="F25" s="129">
        <v>0</v>
      </c>
      <c r="G25" s="129">
        <v>508514.459010481</v>
      </c>
      <c r="H25" s="129">
        <v>901996.686872872</v>
      </c>
      <c r="I25" s="129">
        <v>371799.263109724</v>
      </c>
      <c r="J25" s="129">
        <v>487.303180938854</v>
      </c>
      <c r="K25" s="129">
        <v>127471.479319005</v>
      </c>
      <c r="L25" s="129">
        <v>547211.239513835</v>
      </c>
      <c r="M25" s="129">
        <v>87525.2634978902</v>
      </c>
      <c r="N25" s="129">
        <v>26369.178583775</v>
      </c>
      <c r="O25" s="129">
        <v>20634.5177694798</v>
      </c>
      <c r="P25" s="129">
        <v>40741.3298884225</v>
      </c>
      <c r="Q25" s="129">
        <v>59632.7314474359</v>
      </c>
      <c r="R25" s="129">
        <v>534209.389997374</v>
      </c>
      <c r="S25" s="129">
        <v>79534.7395340842</v>
      </c>
      <c r="T25" s="129">
        <v>78615.8517399695</v>
      </c>
      <c r="U25" s="129">
        <v>394562.419178648</v>
      </c>
      <c r="V25" s="129">
        <v>498038.695083088</v>
      </c>
      <c r="W25" s="79">
        <v>0</v>
      </c>
      <c r="X25" s="78">
        <v>0</v>
      </c>
      <c r="Y25" s="78">
        <v>95642.9031224907</v>
      </c>
      <c r="Z25" s="78">
        <v>0</v>
      </c>
      <c r="AA25" s="79">
        <v>0</v>
      </c>
      <c r="AB25" s="78">
        <v>0</v>
      </c>
      <c r="AC25" s="79">
        <v>830027.198024819</v>
      </c>
      <c r="AD25" s="78">
        <v>1062453.80403992</v>
      </c>
      <c r="AF25" s="144"/>
    </row>
    <row r="26" spans="1:32">
      <c r="A26" s="128" t="s">
        <v>77</v>
      </c>
      <c r="B26" s="143">
        <v>50732265.5796771</v>
      </c>
      <c r="C26" s="129">
        <f t="shared" si="1"/>
        <v>6253294.05751373</v>
      </c>
      <c r="D26" s="129">
        <f t="shared" si="0"/>
        <v>4838250.07504996</v>
      </c>
      <c r="E26" s="129">
        <v>638093.697647681</v>
      </c>
      <c r="F26" s="129">
        <v>530113.472486819</v>
      </c>
      <c r="G26" s="129">
        <v>1612863.39275869</v>
      </c>
      <c r="H26" s="129">
        <v>1764809.27502894</v>
      </c>
      <c r="I26" s="129">
        <v>337408.749964278</v>
      </c>
      <c r="J26" s="129">
        <v>223482.263100945</v>
      </c>
      <c r="K26" s="129">
        <v>208965.363366297</v>
      </c>
      <c r="L26" s="129">
        <v>145195.938038269</v>
      </c>
      <c r="M26" s="129">
        <v>90371.3546168285</v>
      </c>
      <c r="N26" s="129">
        <v>58268.5607073448</v>
      </c>
      <c r="O26" s="129">
        <v>170907.771529419</v>
      </c>
      <c r="P26" s="129">
        <v>55370.5207514685</v>
      </c>
      <c r="Q26" s="129">
        <v>290077.612066639</v>
      </c>
      <c r="R26" s="129">
        <v>226823.477989605</v>
      </c>
      <c r="S26" s="129">
        <v>103362.261467759</v>
      </c>
      <c r="T26" s="129">
        <v>70254.4982521842</v>
      </c>
      <c r="U26" s="129">
        <v>554999.173203302</v>
      </c>
      <c r="V26" s="129">
        <v>300323.756035383</v>
      </c>
      <c r="W26" s="79">
        <v>0</v>
      </c>
      <c r="X26" s="78">
        <v>0</v>
      </c>
      <c r="Y26" s="78">
        <v>33355.7973818828</v>
      </c>
      <c r="Z26" s="78">
        <v>95920.6709488639</v>
      </c>
      <c r="AA26" s="79">
        <v>0</v>
      </c>
      <c r="AB26" s="78">
        <v>0</v>
      </c>
      <c r="AC26" s="79">
        <v>2212888.88351096</v>
      </c>
      <c r="AD26" s="78">
        <v>1367687.64171013</v>
      </c>
      <c r="AF26" s="144"/>
    </row>
    <row r="27" spans="1:32">
      <c r="A27" s="128" t="s">
        <v>79</v>
      </c>
      <c r="B27" s="143">
        <v>23479143.4672835</v>
      </c>
      <c r="C27" s="129">
        <f t="shared" si="1"/>
        <v>446006.668584596</v>
      </c>
      <c r="D27" s="129">
        <f t="shared" si="0"/>
        <v>278673.973597757</v>
      </c>
      <c r="E27" s="129">
        <v>95466.6476417599</v>
      </c>
      <c r="F27" s="129">
        <v>75537.5563528206</v>
      </c>
      <c r="G27" s="129">
        <v>42253.4458513831</v>
      </c>
      <c r="H27" s="129">
        <v>35480.934393519</v>
      </c>
      <c r="I27" s="129">
        <v>18940.3879112136</v>
      </c>
      <c r="J27" s="129">
        <v>12567.6087247148</v>
      </c>
      <c r="K27" s="129">
        <v>23032.4546781797</v>
      </c>
      <c r="L27" s="129">
        <v>11383.1710377959</v>
      </c>
      <c r="M27" s="129">
        <v>13323.0782570129</v>
      </c>
      <c r="N27" s="129">
        <v>9867.32731958072</v>
      </c>
      <c r="O27" s="129">
        <v>31173.7729582692</v>
      </c>
      <c r="P27" s="129">
        <v>2070.56562946998</v>
      </c>
      <c r="Q27" s="129">
        <v>29391.3598600479</v>
      </c>
      <c r="R27" s="129">
        <v>18508.9294683913</v>
      </c>
      <c r="S27" s="129">
        <v>39765.9005131119</v>
      </c>
      <c r="T27" s="129">
        <v>21072.7161101744</v>
      </c>
      <c r="U27" s="129">
        <v>59010.2844737903</v>
      </c>
      <c r="V27" s="129">
        <v>18403.7082290676</v>
      </c>
      <c r="W27" s="79">
        <v>0</v>
      </c>
      <c r="X27" s="78">
        <v>0</v>
      </c>
      <c r="Y27" s="78">
        <v>7928.91216877781</v>
      </c>
      <c r="Z27" s="78">
        <v>25810.9370459468</v>
      </c>
      <c r="AA27" s="79">
        <v>0</v>
      </c>
      <c r="AB27" s="78">
        <v>0</v>
      </c>
      <c r="AC27" s="79">
        <v>85720.4242710503</v>
      </c>
      <c r="AD27" s="78">
        <v>47970.5192862756</v>
      </c>
      <c r="AF27" s="144"/>
    </row>
    <row r="28" spans="1:32">
      <c r="A28" s="128" t="s">
        <v>81</v>
      </c>
      <c r="B28" s="143">
        <v>9889628.5929428</v>
      </c>
      <c r="C28" s="129">
        <f t="shared" si="1"/>
        <v>151742.344195733</v>
      </c>
      <c r="D28" s="129">
        <f t="shared" si="0"/>
        <v>124351.915794898</v>
      </c>
      <c r="E28" s="129">
        <v>19010.5164820103</v>
      </c>
      <c r="F28" s="129">
        <v>18713.3649100575</v>
      </c>
      <c r="G28" s="129">
        <v>0</v>
      </c>
      <c r="H28" s="129">
        <v>0</v>
      </c>
      <c r="I28" s="129">
        <v>7637.74671584808</v>
      </c>
      <c r="J28" s="129">
        <v>3826.24825733043</v>
      </c>
      <c r="K28" s="129">
        <v>3742.33102019093</v>
      </c>
      <c r="L28" s="129">
        <v>2588.80036699165</v>
      </c>
      <c r="M28" s="129">
        <v>36510.697766672</v>
      </c>
      <c r="N28" s="129">
        <v>30173.0101335423</v>
      </c>
      <c r="O28" s="129">
        <v>0</v>
      </c>
      <c r="P28" s="129">
        <v>0</v>
      </c>
      <c r="Q28" s="129">
        <v>4874.69381060963</v>
      </c>
      <c r="R28" s="129">
        <v>5672.27890467067</v>
      </c>
      <c r="S28" s="129">
        <v>385.78319903042</v>
      </c>
      <c r="T28" s="129">
        <v>2324.00123333456</v>
      </c>
      <c r="U28" s="129">
        <v>6479.25792795144</v>
      </c>
      <c r="V28" s="129">
        <v>2743.61793739398</v>
      </c>
      <c r="W28" s="79">
        <v>0</v>
      </c>
      <c r="X28" s="78">
        <v>0</v>
      </c>
      <c r="Y28" s="78">
        <v>1203.50162177932</v>
      </c>
      <c r="Z28" s="78">
        <v>201.943320380566</v>
      </c>
      <c r="AA28" s="79">
        <v>0</v>
      </c>
      <c r="AB28" s="78">
        <v>0</v>
      </c>
      <c r="AC28" s="79">
        <v>71897.8156516405</v>
      </c>
      <c r="AD28" s="78">
        <v>58108.6507311965</v>
      </c>
      <c r="AF28" s="144"/>
    </row>
    <row r="29" spans="1:32">
      <c r="A29" s="128" t="s">
        <v>83</v>
      </c>
      <c r="B29" s="143">
        <v>57650346.8627511</v>
      </c>
      <c r="C29" s="129">
        <f t="shared" si="1"/>
        <v>8078336.65403241</v>
      </c>
      <c r="D29" s="129">
        <f t="shared" si="0"/>
        <v>6283316.04332748</v>
      </c>
      <c r="E29" s="129">
        <v>1074505.95362015</v>
      </c>
      <c r="F29" s="129">
        <v>899088.431095206</v>
      </c>
      <c r="G29" s="129">
        <v>607558.332382441</v>
      </c>
      <c r="H29" s="129">
        <v>500253.281776951</v>
      </c>
      <c r="I29" s="129">
        <v>1587011.38358133</v>
      </c>
      <c r="J29" s="129">
        <v>1064172.64714281</v>
      </c>
      <c r="K29" s="129">
        <v>481507.972856414</v>
      </c>
      <c r="L29" s="129">
        <v>396399.468525434</v>
      </c>
      <c r="M29" s="129">
        <v>1208297.44836056</v>
      </c>
      <c r="N29" s="129">
        <v>943329.034594089</v>
      </c>
      <c r="O29" s="129">
        <v>161959.961361918</v>
      </c>
      <c r="P29" s="129">
        <v>64122.8981665891</v>
      </c>
      <c r="Q29" s="129">
        <v>493226.535179375</v>
      </c>
      <c r="R29" s="129">
        <v>584784.390305803</v>
      </c>
      <c r="S29" s="129">
        <v>85052.9361546185</v>
      </c>
      <c r="T29" s="129">
        <v>72983.110327758</v>
      </c>
      <c r="U29" s="129">
        <v>536077.927966549</v>
      </c>
      <c r="V29" s="129">
        <v>523560.461002174</v>
      </c>
      <c r="W29" s="79">
        <v>41138.5659709128</v>
      </c>
      <c r="X29" s="78">
        <v>0</v>
      </c>
      <c r="Y29" s="78">
        <v>37809.8798493283</v>
      </c>
      <c r="Z29" s="78">
        <v>81590.6270264809</v>
      </c>
      <c r="AA29" s="79">
        <v>0</v>
      </c>
      <c r="AB29" s="78">
        <v>0</v>
      </c>
      <c r="AC29" s="79">
        <v>1764189.75674882</v>
      </c>
      <c r="AD29" s="78">
        <v>1153031.69336418</v>
      </c>
      <c r="AF29" s="144"/>
    </row>
    <row r="30" spans="1:32">
      <c r="A30" s="128" t="s">
        <v>85</v>
      </c>
      <c r="B30" s="143">
        <v>9047663.7242151</v>
      </c>
      <c r="C30" s="129">
        <f t="shared" si="1"/>
        <v>511780.442077008</v>
      </c>
      <c r="D30" s="129">
        <f t="shared" si="0"/>
        <v>391731.865680767</v>
      </c>
      <c r="E30" s="129">
        <v>67980.0061825021</v>
      </c>
      <c r="F30" s="129">
        <v>22331.6341509908</v>
      </c>
      <c r="G30" s="129">
        <v>55750.053704976</v>
      </c>
      <c r="H30" s="129">
        <v>44998.191439922</v>
      </c>
      <c r="I30" s="129">
        <v>19223.1070427974</v>
      </c>
      <c r="J30" s="129">
        <v>18255.6169450173</v>
      </c>
      <c r="K30" s="129">
        <v>14601.9155052534</v>
      </c>
      <c r="L30" s="129">
        <v>10262.3697402522</v>
      </c>
      <c r="M30" s="129">
        <v>253054.698617456</v>
      </c>
      <c r="N30" s="129">
        <v>235984.832495567</v>
      </c>
      <c r="O30" s="129">
        <v>18785.5811333099</v>
      </c>
      <c r="P30" s="129">
        <v>7839.87010561022</v>
      </c>
      <c r="Q30" s="129">
        <v>25282.3820079676</v>
      </c>
      <c r="R30" s="129">
        <v>10883.5000907663</v>
      </c>
      <c r="S30" s="129">
        <v>4822.29527818168</v>
      </c>
      <c r="T30" s="129">
        <v>5203.315596181</v>
      </c>
      <c r="U30" s="129">
        <v>0</v>
      </c>
      <c r="V30" s="129">
        <v>0</v>
      </c>
      <c r="W30" s="79">
        <v>8037.51496171441</v>
      </c>
      <c r="X30" s="78">
        <v>0</v>
      </c>
      <c r="Y30" s="78">
        <v>0</v>
      </c>
      <c r="Z30" s="78">
        <v>0</v>
      </c>
      <c r="AA30" s="79">
        <v>0</v>
      </c>
      <c r="AB30" s="78">
        <v>0</v>
      </c>
      <c r="AC30" s="79">
        <v>44242.8876428497</v>
      </c>
      <c r="AD30" s="78">
        <v>35972.5351164601</v>
      </c>
      <c r="AF30" s="144"/>
    </row>
    <row r="31" spans="1:32">
      <c r="A31" s="128" t="s">
        <v>87</v>
      </c>
      <c r="B31" s="143">
        <v>14385524.7004523</v>
      </c>
      <c r="C31" s="129">
        <f t="shared" si="1"/>
        <v>396420.927306207</v>
      </c>
      <c r="D31" s="129">
        <f t="shared" si="0"/>
        <v>283741.957747132</v>
      </c>
      <c r="E31" s="129">
        <v>45334.1255534936</v>
      </c>
      <c r="F31" s="129">
        <v>6693.12494295103</v>
      </c>
      <c r="G31" s="129">
        <v>23388.7333197925</v>
      </c>
      <c r="H31" s="129">
        <v>20719.3211768315</v>
      </c>
      <c r="I31" s="129">
        <v>5601.61690162625</v>
      </c>
      <c r="J31" s="129">
        <v>7837.37661126788</v>
      </c>
      <c r="K31" s="129">
        <v>26563.0625989003</v>
      </c>
      <c r="L31" s="129">
        <v>23856.0020472583</v>
      </c>
      <c r="M31" s="129">
        <v>70637.8242559447</v>
      </c>
      <c r="N31" s="129">
        <v>78814.175726061</v>
      </c>
      <c r="O31" s="129">
        <v>18671.6865925775</v>
      </c>
      <c r="P31" s="129">
        <v>13538.5386105349</v>
      </c>
      <c r="Q31" s="129">
        <v>21428.7603760508</v>
      </c>
      <c r="R31" s="129">
        <v>28086.4518471389</v>
      </c>
      <c r="S31" s="129">
        <v>5484.82133246905</v>
      </c>
      <c r="T31" s="129">
        <v>3677.25205261569</v>
      </c>
      <c r="U31" s="129">
        <v>48254.3218639099</v>
      </c>
      <c r="V31" s="129">
        <v>27445.5930313884</v>
      </c>
      <c r="W31" s="79">
        <v>31102.3845830122</v>
      </c>
      <c r="X31" s="78">
        <v>0</v>
      </c>
      <c r="Y31" s="78">
        <v>1628.25434242653</v>
      </c>
      <c r="Z31" s="78">
        <v>29913.2425105146</v>
      </c>
      <c r="AA31" s="79">
        <v>0</v>
      </c>
      <c r="AB31" s="78">
        <v>0</v>
      </c>
      <c r="AC31" s="79">
        <v>98325.3355860037</v>
      </c>
      <c r="AD31" s="78">
        <v>43160.8791905696</v>
      </c>
      <c r="AF31" s="144"/>
    </row>
    <row r="32" spans="1:32">
      <c r="A32" s="128" t="s">
        <v>89</v>
      </c>
      <c r="B32" s="143">
        <v>16217760.6839869</v>
      </c>
      <c r="C32" s="129">
        <f t="shared" si="1"/>
        <v>391855.317108823</v>
      </c>
      <c r="D32" s="129">
        <f t="shared" si="0"/>
        <v>263423.102707089</v>
      </c>
      <c r="E32" s="129">
        <v>16380.9424980693</v>
      </c>
      <c r="F32" s="129">
        <v>11224.4040516996</v>
      </c>
      <c r="G32" s="129">
        <v>38448.1929496671</v>
      </c>
      <c r="H32" s="129">
        <v>27582.1797599585</v>
      </c>
      <c r="I32" s="129">
        <v>44699.5117682033</v>
      </c>
      <c r="J32" s="129">
        <v>38950.8833310755</v>
      </c>
      <c r="K32" s="129">
        <v>9389.22600721898</v>
      </c>
      <c r="L32" s="129">
        <v>12150.8026957338</v>
      </c>
      <c r="M32" s="129">
        <v>116797.301769058</v>
      </c>
      <c r="N32" s="129">
        <v>88841.5472920627</v>
      </c>
      <c r="O32" s="129">
        <v>43511.922521293</v>
      </c>
      <c r="P32" s="129">
        <v>9034.02237711724</v>
      </c>
      <c r="Q32" s="129">
        <v>30714.6976197908</v>
      </c>
      <c r="R32" s="129">
        <v>19715.5048282402</v>
      </c>
      <c r="S32" s="129">
        <v>9975.10171018865</v>
      </c>
      <c r="T32" s="129">
        <v>8180.62618270925</v>
      </c>
      <c r="U32" s="129">
        <v>0</v>
      </c>
      <c r="V32" s="129">
        <v>0</v>
      </c>
      <c r="W32" s="79">
        <v>0</v>
      </c>
      <c r="X32" s="78">
        <v>0</v>
      </c>
      <c r="Y32" s="78">
        <v>18534.4898260342</v>
      </c>
      <c r="Z32" s="78">
        <v>2779.6822471159</v>
      </c>
      <c r="AA32" s="79">
        <v>0</v>
      </c>
      <c r="AB32" s="78">
        <v>0</v>
      </c>
      <c r="AC32" s="79">
        <v>63403.9304392989</v>
      </c>
      <c r="AD32" s="78">
        <v>44963.449941376</v>
      </c>
      <c r="AF32" s="144"/>
    </row>
    <row r="33" spans="1:32">
      <c r="A33" s="128" t="s">
        <v>91</v>
      </c>
      <c r="B33" s="143">
        <v>5163581.04171685</v>
      </c>
      <c r="C33" s="129">
        <f t="shared" si="1"/>
        <v>216136.600329129</v>
      </c>
      <c r="D33" s="129">
        <f t="shared" si="0"/>
        <v>181936.587364653</v>
      </c>
      <c r="E33" s="129">
        <v>207907.679520803</v>
      </c>
      <c r="F33" s="129">
        <v>175199.804344453</v>
      </c>
      <c r="G33" s="129">
        <v>0</v>
      </c>
      <c r="H33" s="129">
        <v>0</v>
      </c>
      <c r="I33" s="129">
        <v>0</v>
      </c>
      <c r="J33" s="129">
        <v>0</v>
      </c>
      <c r="K33" s="129">
        <v>0</v>
      </c>
      <c r="L33" s="129">
        <v>0</v>
      </c>
      <c r="M33" s="129">
        <v>0</v>
      </c>
      <c r="N33" s="129">
        <v>0</v>
      </c>
      <c r="O33" s="129">
        <v>0</v>
      </c>
      <c r="P33" s="129">
        <v>0</v>
      </c>
      <c r="Q33" s="129">
        <v>0</v>
      </c>
      <c r="R33" s="129">
        <v>0</v>
      </c>
      <c r="S33" s="129">
        <v>0</v>
      </c>
      <c r="T33" s="129">
        <v>0</v>
      </c>
      <c r="U33" s="129">
        <v>0</v>
      </c>
      <c r="V33" s="129">
        <v>0</v>
      </c>
      <c r="W33" s="79">
        <v>0</v>
      </c>
      <c r="X33" s="78">
        <v>0</v>
      </c>
      <c r="Y33" s="78">
        <v>0</v>
      </c>
      <c r="Z33" s="78">
        <v>0</v>
      </c>
      <c r="AA33" s="79">
        <v>0</v>
      </c>
      <c r="AB33" s="78">
        <v>0</v>
      </c>
      <c r="AC33" s="79">
        <v>8228.92080832603</v>
      </c>
      <c r="AD33" s="78">
        <v>6736.78302019992</v>
      </c>
      <c r="AF33" s="144"/>
    </row>
    <row r="34" spans="1:32">
      <c r="A34" s="128" t="s">
        <v>93</v>
      </c>
      <c r="B34" s="143">
        <v>3194447.97693158</v>
      </c>
      <c r="C34" s="129">
        <f t="shared" si="1"/>
        <v>2031680.13509317</v>
      </c>
      <c r="D34" s="129">
        <f t="shared" si="0"/>
        <v>1643995.93745536</v>
      </c>
      <c r="E34" s="129">
        <v>84829.9145913566</v>
      </c>
      <c r="F34" s="129">
        <v>326594.8472593</v>
      </c>
      <c r="G34" s="129">
        <v>185041.575933412</v>
      </c>
      <c r="H34" s="129">
        <v>219205.759675877</v>
      </c>
      <c r="I34" s="129">
        <v>107128.814417903</v>
      </c>
      <c r="J34" s="129">
        <v>3999.30345515106</v>
      </c>
      <c r="K34" s="129">
        <v>65009.8344716989</v>
      </c>
      <c r="L34" s="129">
        <v>82611.1855765969</v>
      </c>
      <c r="M34" s="129">
        <v>0</v>
      </c>
      <c r="N34" s="129">
        <v>0</v>
      </c>
      <c r="O34" s="129">
        <v>13623.5421542323</v>
      </c>
      <c r="P34" s="129">
        <v>13787.1925796692</v>
      </c>
      <c r="Q34" s="129">
        <v>191102.387615929</v>
      </c>
      <c r="R34" s="129">
        <v>199589.348438731</v>
      </c>
      <c r="S34" s="129">
        <v>0</v>
      </c>
      <c r="T34" s="129">
        <v>0</v>
      </c>
      <c r="U34" s="129">
        <v>0</v>
      </c>
      <c r="V34" s="129">
        <v>290303.306681054</v>
      </c>
      <c r="W34" s="79">
        <v>0</v>
      </c>
      <c r="X34" s="78">
        <v>13290.892132833</v>
      </c>
      <c r="Y34" s="78">
        <v>100075.674230528</v>
      </c>
      <c r="Z34" s="78">
        <v>87524.0891291848</v>
      </c>
      <c r="AA34" s="79">
        <v>0</v>
      </c>
      <c r="AB34" s="78">
        <v>0</v>
      </c>
      <c r="AC34" s="79">
        <v>1284868.39167811</v>
      </c>
      <c r="AD34" s="78">
        <v>407090.012526959</v>
      </c>
      <c r="AF34" s="144"/>
    </row>
    <row r="35" spans="1:32">
      <c r="A35" s="128" t="s">
        <v>95</v>
      </c>
      <c r="B35" s="143">
        <v>15836665.9031425</v>
      </c>
      <c r="C35" s="129">
        <f t="shared" si="1"/>
        <v>1651950.23253588</v>
      </c>
      <c r="D35" s="129">
        <f t="shared" si="0"/>
        <v>976699.063867254</v>
      </c>
      <c r="E35" s="129">
        <v>176753.712198127</v>
      </c>
      <c r="F35" s="129">
        <v>37869.3529142449</v>
      </c>
      <c r="G35" s="129">
        <v>68700.3310689863</v>
      </c>
      <c r="H35" s="129">
        <v>79413.1866325705</v>
      </c>
      <c r="I35" s="129">
        <v>88556.3024142069</v>
      </c>
      <c r="J35" s="129">
        <v>34274.8772319427</v>
      </c>
      <c r="K35" s="129">
        <v>106331.02032177</v>
      </c>
      <c r="L35" s="129">
        <v>85607.7528736089</v>
      </c>
      <c r="M35" s="129">
        <v>208913.245546419</v>
      </c>
      <c r="N35" s="129">
        <v>169873.119857327</v>
      </c>
      <c r="O35" s="129">
        <v>935.132195026433</v>
      </c>
      <c r="P35" s="129">
        <v>2374.59427446734</v>
      </c>
      <c r="Q35" s="129">
        <v>64474.6239756212</v>
      </c>
      <c r="R35" s="129">
        <v>69725.4626879876</v>
      </c>
      <c r="S35" s="129">
        <v>52806.0547292351</v>
      </c>
      <c r="T35" s="129">
        <v>34144.4747091635</v>
      </c>
      <c r="U35" s="129">
        <v>436529.077811327</v>
      </c>
      <c r="V35" s="129">
        <v>217309.841373689</v>
      </c>
      <c r="W35" s="79">
        <v>8573.34929249537</v>
      </c>
      <c r="X35" s="78">
        <v>21265.4274125328</v>
      </c>
      <c r="Y35" s="78">
        <v>14890.3009569835</v>
      </c>
      <c r="Z35" s="78">
        <v>51049.3971476177</v>
      </c>
      <c r="AA35" s="79">
        <v>0</v>
      </c>
      <c r="AB35" s="78">
        <v>0</v>
      </c>
      <c r="AC35" s="79">
        <v>424487.082025686</v>
      </c>
      <c r="AD35" s="78">
        <v>173791.576752103</v>
      </c>
      <c r="AF35" s="144"/>
    </row>
    <row r="36" spans="1:32">
      <c r="A36" s="128" t="s">
        <v>97</v>
      </c>
      <c r="B36" s="143">
        <v>3576864.54318362</v>
      </c>
      <c r="C36" s="129">
        <f t="shared" si="1"/>
        <v>28500.5626754101</v>
      </c>
      <c r="D36" s="129">
        <f t="shared" si="0"/>
        <v>21706.0509035846</v>
      </c>
      <c r="E36" s="129">
        <v>5027.13296275601</v>
      </c>
      <c r="F36" s="129">
        <v>751.475939713793</v>
      </c>
      <c r="G36" s="129">
        <v>0</v>
      </c>
      <c r="H36" s="129">
        <v>0</v>
      </c>
      <c r="I36" s="129">
        <v>0</v>
      </c>
      <c r="J36" s="129">
        <v>0</v>
      </c>
      <c r="K36" s="129">
        <v>0</v>
      </c>
      <c r="L36" s="129">
        <v>0</v>
      </c>
      <c r="M36" s="129">
        <v>1088.22694482419</v>
      </c>
      <c r="N36" s="129">
        <v>253.293711118719</v>
      </c>
      <c r="O36" s="129">
        <v>0</v>
      </c>
      <c r="P36" s="129">
        <v>7727.58822636271</v>
      </c>
      <c r="Q36" s="129">
        <v>0</v>
      </c>
      <c r="R36" s="129">
        <v>0</v>
      </c>
      <c r="S36" s="129">
        <v>0</v>
      </c>
      <c r="T36" s="129">
        <v>0</v>
      </c>
      <c r="U36" s="129">
        <v>0</v>
      </c>
      <c r="V36" s="129">
        <v>0</v>
      </c>
      <c r="W36" s="79">
        <v>0</v>
      </c>
      <c r="X36" s="78">
        <v>0</v>
      </c>
      <c r="Y36" s="78">
        <v>0</v>
      </c>
      <c r="Z36" s="78">
        <v>0</v>
      </c>
      <c r="AA36" s="79">
        <v>0</v>
      </c>
      <c r="AB36" s="78">
        <v>0</v>
      </c>
      <c r="AC36" s="79">
        <v>22385.2027678299</v>
      </c>
      <c r="AD36" s="78">
        <v>12973.6930263893</v>
      </c>
      <c r="AF36" s="144"/>
    </row>
    <row r="37" spans="1:32">
      <c r="A37" s="128" t="s">
        <v>99</v>
      </c>
      <c r="B37" s="143">
        <v>3320366.2540562</v>
      </c>
      <c r="C37" s="129">
        <f t="shared" si="1"/>
        <v>30388.3797503508</v>
      </c>
      <c r="D37" s="129">
        <f t="shared" si="0"/>
        <v>17946.6988866388</v>
      </c>
      <c r="E37" s="129">
        <v>0</v>
      </c>
      <c r="F37" s="129">
        <v>0</v>
      </c>
      <c r="G37" s="129">
        <v>0</v>
      </c>
      <c r="H37" s="129">
        <v>0</v>
      </c>
      <c r="I37" s="129">
        <v>6336.92254032558</v>
      </c>
      <c r="J37" s="129">
        <v>4663.04757217427</v>
      </c>
      <c r="K37" s="129">
        <v>1738.4064119241</v>
      </c>
      <c r="L37" s="129">
        <v>1983.52577277615</v>
      </c>
      <c r="M37" s="129">
        <v>83.709652942061</v>
      </c>
      <c r="N37" s="129">
        <v>0</v>
      </c>
      <c r="O37" s="129">
        <v>0</v>
      </c>
      <c r="P37" s="129">
        <v>0</v>
      </c>
      <c r="Q37" s="129">
        <v>0</v>
      </c>
      <c r="R37" s="129">
        <v>0</v>
      </c>
      <c r="S37" s="129">
        <v>1253.78465291638</v>
      </c>
      <c r="T37" s="129">
        <v>4257.26393212539</v>
      </c>
      <c r="U37" s="129">
        <v>18137.8829171572</v>
      </c>
      <c r="V37" s="129">
        <v>5155.23594343359</v>
      </c>
      <c r="W37" s="79">
        <v>0</v>
      </c>
      <c r="X37" s="78">
        <v>0</v>
      </c>
      <c r="Y37" s="78">
        <v>0</v>
      </c>
      <c r="Z37" s="78">
        <v>0</v>
      </c>
      <c r="AA37" s="79">
        <v>0</v>
      </c>
      <c r="AB37" s="78">
        <v>0</v>
      </c>
      <c r="AC37" s="79">
        <v>2837.67357508547</v>
      </c>
      <c r="AD37" s="78">
        <v>1887.62566612942</v>
      </c>
      <c r="AF37" s="144"/>
    </row>
    <row r="38" spans="1:32">
      <c r="A38" s="128" t="s">
        <v>101</v>
      </c>
      <c r="B38" s="143">
        <v>510.362894602435</v>
      </c>
      <c r="C38" s="129">
        <f t="shared" si="1"/>
        <v>0</v>
      </c>
      <c r="D38" s="129">
        <f t="shared" si="0"/>
        <v>0</v>
      </c>
      <c r="E38" s="129">
        <v>0</v>
      </c>
      <c r="F38" s="129">
        <v>0</v>
      </c>
      <c r="G38" s="129">
        <v>0</v>
      </c>
      <c r="H38" s="129">
        <v>0</v>
      </c>
      <c r="I38" s="129">
        <v>0</v>
      </c>
      <c r="J38" s="129">
        <v>0</v>
      </c>
      <c r="K38" s="129">
        <v>0</v>
      </c>
      <c r="L38" s="129">
        <v>0</v>
      </c>
      <c r="M38" s="129">
        <v>0</v>
      </c>
      <c r="N38" s="129">
        <v>0</v>
      </c>
      <c r="O38" s="129">
        <v>0</v>
      </c>
      <c r="P38" s="129">
        <v>0</v>
      </c>
      <c r="Q38" s="129">
        <v>0</v>
      </c>
      <c r="R38" s="129">
        <v>0</v>
      </c>
      <c r="S38" s="129">
        <v>0</v>
      </c>
      <c r="T38" s="129">
        <v>0</v>
      </c>
      <c r="U38" s="129">
        <v>0</v>
      </c>
      <c r="V38" s="129">
        <v>0</v>
      </c>
      <c r="W38" s="79">
        <v>0</v>
      </c>
      <c r="X38" s="78">
        <v>0</v>
      </c>
      <c r="Y38" s="78">
        <v>0</v>
      </c>
      <c r="Z38" s="78">
        <v>0</v>
      </c>
      <c r="AA38" s="79">
        <v>0</v>
      </c>
      <c r="AB38" s="78">
        <v>0</v>
      </c>
      <c r="AC38" s="79">
        <v>0</v>
      </c>
      <c r="AD38" s="78">
        <v>0</v>
      </c>
      <c r="AF38" s="144"/>
    </row>
    <row r="39" spans="1:32">
      <c r="A39" s="128" t="s">
        <v>103</v>
      </c>
      <c r="B39" s="143">
        <v>9913205.23579398</v>
      </c>
      <c r="C39" s="129">
        <f t="shared" si="1"/>
        <v>1071020.76247189</v>
      </c>
      <c r="D39" s="129">
        <f t="shared" si="0"/>
        <v>1112779.20901569</v>
      </c>
      <c r="E39" s="129">
        <v>0</v>
      </c>
      <c r="F39" s="129">
        <v>0</v>
      </c>
      <c r="G39" s="129">
        <v>323765.255414682</v>
      </c>
      <c r="H39" s="129">
        <v>367601.950296447</v>
      </c>
      <c r="I39" s="129">
        <v>182870.513013535</v>
      </c>
      <c r="J39" s="129">
        <v>30478.8993761541</v>
      </c>
      <c r="K39" s="129">
        <v>118463.474710186</v>
      </c>
      <c r="L39" s="129">
        <v>55190.6945709248</v>
      </c>
      <c r="M39" s="129">
        <v>58680.5640809453</v>
      </c>
      <c r="N39" s="129">
        <v>224671.090955076</v>
      </c>
      <c r="O39" s="129">
        <v>18001.4299086875</v>
      </c>
      <c r="P39" s="129">
        <v>7543.44947323762</v>
      </c>
      <c r="Q39" s="129">
        <v>170903.146277848</v>
      </c>
      <c r="R39" s="129">
        <v>243035.578639774</v>
      </c>
      <c r="S39" s="129">
        <v>0</v>
      </c>
      <c r="T39" s="129">
        <v>0</v>
      </c>
      <c r="U39" s="129">
        <v>0</v>
      </c>
      <c r="V39" s="129">
        <v>0</v>
      </c>
      <c r="W39" s="79">
        <v>0</v>
      </c>
      <c r="X39" s="78">
        <v>0</v>
      </c>
      <c r="Y39" s="78">
        <v>8566.0443635668</v>
      </c>
      <c r="Z39" s="78">
        <v>17034.3878885326</v>
      </c>
      <c r="AA39" s="79">
        <v>0</v>
      </c>
      <c r="AB39" s="78">
        <v>0</v>
      </c>
      <c r="AC39" s="79">
        <v>189770.334702442</v>
      </c>
      <c r="AD39" s="78">
        <v>167223.157815541</v>
      </c>
      <c r="AF39" s="144"/>
    </row>
    <row r="40" spans="1:32">
      <c r="A40" s="128" t="s">
        <v>105</v>
      </c>
      <c r="B40" s="143">
        <v>11408395.8152336</v>
      </c>
      <c r="C40" s="129">
        <f t="shared" si="1"/>
        <v>513403.794030619</v>
      </c>
      <c r="D40" s="129">
        <f t="shared" si="0"/>
        <v>285547.080567864</v>
      </c>
      <c r="E40" s="129">
        <v>34874.2790170608</v>
      </c>
      <c r="F40" s="129">
        <v>32279.6953096555</v>
      </c>
      <c r="G40" s="129">
        <v>2525.84341686641</v>
      </c>
      <c r="H40" s="129">
        <v>1213.50974543356</v>
      </c>
      <c r="I40" s="129">
        <v>1708.76705657325</v>
      </c>
      <c r="J40" s="129">
        <v>2321.83156157937</v>
      </c>
      <c r="K40" s="129">
        <v>14140.7999584777</v>
      </c>
      <c r="L40" s="129">
        <v>12960.1145073084</v>
      </c>
      <c r="M40" s="129">
        <v>91290.2713828789</v>
      </c>
      <c r="N40" s="129">
        <v>69891.3349723588</v>
      </c>
      <c r="O40" s="129">
        <v>3814.20611230329</v>
      </c>
      <c r="P40" s="129">
        <v>2788.27073140187</v>
      </c>
      <c r="Q40" s="129">
        <v>0</v>
      </c>
      <c r="R40" s="129">
        <v>0</v>
      </c>
      <c r="S40" s="129">
        <v>15125.3072301394</v>
      </c>
      <c r="T40" s="129">
        <v>10250.2484271748</v>
      </c>
      <c r="U40" s="129">
        <v>335667.574488636</v>
      </c>
      <c r="V40" s="129">
        <v>121211.896298331</v>
      </c>
      <c r="W40" s="79">
        <v>0</v>
      </c>
      <c r="X40" s="78">
        <v>0</v>
      </c>
      <c r="Y40" s="78">
        <v>0</v>
      </c>
      <c r="Z40" s="78">
        <v>7730.51645229161</v>
      </c>
      <c r="AA40" s="79">
        <v>0</v>
      </c>
      <c r="AB40" s="78">
        <v>0</v>
      </c>
      <c r="AC40" s="79">
        <v>14256.7453676833</v>
      </c>
      <c r="AD40" s="78">
        <v>24899.6625623283</v>
      </c>
      <c r="AF40" s="144"/>
    </row>
    <row r="41" spans="1:32">
      <c r="A41" s="128" t="s">
        <v>107</v>
      </c>
      <c r="B41" s="143">
        <v>3868842.30297745</v>
      </c>
      <c r="C41" s="129">
        <f t="shared" si="1"/>
        <v>51226.872775361</v>
      </c>
      <c r="D41" s="129">
        <f t="shared" si="0"/>
        <v>31917.3554400511</v>
      </c>
      <c r="E41" s="129">
        <v>0</v>
      </c>
      <c r="F41" s="129">
        <v>0</v>
      </c>
      <c r="G41" s="129">
        <v>5367.96541028131</v>
      </c>
      <c r="H41" s="129">
        <v>313.127275323007</v>
      </c>
      <c r="I41" s="129">
        <v>1252.04474374781</v>
      </c>
      <c r="J41" s="129">
        <v>648.920743274053</v>
      </c>
      <c r="K41" s="129">
        <v>0</v>
      </c>
      <c r="L41" s="129">
        <v>0</v>
      </c>
      <c r="M41" s="129">
        <v>22416.7394407443</v>
      </c>
      <c r="N41" s="129">
        <v>11091.6252165338</v>
      </c>
      <c r="O41" s="129">
        <v>12252.3451369893</v>
      </c>
      <c r="P41" s="129">
        <v>5895.50231638503</v>
      </c>
      <c r="Q41" s="129">
        <v>4604.17140609928</v>
      </c>
      <c r="R41" s="129">
        <v>5054.01037379867</v>
      </c>
      <c r="S41" s="129">
        <v>0</v>
      </c>
      <c r="T41" s="129">
        <v>0</v>
      </c>
      <c r="U41" s="129">
        <v>1454.8417132216</v>
      </c>
      <c r="V41" s="129">
        <v>4881.47260155751</v>
      </c>
      <c r="W41" s="79">
        <v>0</v>
      </c>
      <c r="X41" s="78">
        <v>0</v>
      </c>
      <c r="Y41" s="78">
        <v>0</v>
      </c>
      <c r="Z41" s="78">
        <v>0</v>
      </c>
      <c r="AA41" s="79">
        <v>0</v>
      </c>
      <c r="AB41" s="78">
        <v>0</v>
      </c>
      <c r="AC41" s="79">
        <v>3878.76492427737</v>
      </c>
      <c r="AD41" s="78">
        <v>4032.69691317901</v>
      </c>
      <c r="AF41" s="144"/>
    </row>
    <row r="42" spans="1:32">
      <c r="A42" s="128" t="s">
        <v>109</v>
      </c>
      <c r="B42" s="143">
        <v>10708516.3639049</v>
      </c>
      <c r="C42" s="129">
        <f t="shared" si="1"/>
        <v>278001.440759548</v>
      </c>
      <c r="D42" s="129">
        <f t="shared" si="0"/>
        <v>218148.683697071</v>
      </c>
      <c r="E42" s="129">
        <v>16714.7655188937</v>
      </c>
      <c r="F42" s="129">
        <v>10709.8785406188</v>
      </c>
      <c r="G42" s="129">
        <v>21385.481990415</v>
      </c>
      <c r="H42" s="129">
        <v>20505.3295856996</v>
      </c>
      <c r="I42" s="129">
        <v>18906.5474554617</v>
      </c>
      <c r="J42" s="129">
        <v>20561.2032900726</v>
      </c>
      <c r="K42" s="129">
        <v>16965.1823172736</v>
      </c>
      <c r="L42" s="129">
        <v>11625.7161324682</v>
      </c>
      <c r="M42" s="129">
        <v>54030.5717460945</v>
      </c>
      <c r="N42" s="129">
        <v>42764.5187046137</v>
      </c>
      <c r="O42" s="129">
        <v>8050.93433052783</v>
      </c>
      <c r="P42" s="129">
        <v>5626.64942440209</v>
      </c>
      <c r="Q42" s="129">
        <v>29592.752680094</v>
      </c>
      <c r="R42" s="129">
        <v>21304.180009905</v>
      </c>
      <c r="S42" s="129">
        <v>1815.63784044677</v>
      </c>
      <c r="T42" s="129">
        <v>1641.18329222501</v>
      </c>
      <c r="U42" s="129">
        <v>49570.666628669</v>
      </c>
      <c r="V42" s="129">
        <v>34366.6935338335</v>
      </c>
      <c r="W42" s="79">
        <v>1278.9191493548</v>
      </c>
      <c r="X42" s="78">
        <v>0</v>
      </c>
      <c r="Y42" s="78">
        <v>23733.4030943935</v>
      </c>
      <c r="Z42" s="78">
        <v>24828.1932715029</v>
      </c>
      <c r="AA42" s="79">
        <v>0</v>
      </c>
      <c r="AB42" s="78">
        <v>0</v>
      </c>
      <c r="AC42" s="79">
        <v>35956.5780079238</v>
      </c>
      <c r="AD42" s="78">
        <v>24215.13791173</v>
      </c>
      <c r="AF42" s="144"/>
    </row>
    <row r="43" spans="1:32">
      <c r="A43" s="128" t="s">
        <v>111</v>
      </c>
      <c r="B43" s="143">
        <v>10122166.1370276</v>
      </c>
      <c r="C43" s="129">
        <f t="shared" si="1"/>
        <v>795386.950958581</v>
      </c>
      <c r="D43" s="129">
        <f t="shared" si="0"/>
        <v>1088835.85574873</v>
      </c>
      <c r="E43" s="129">
        <v>0</v>
      </c>
      <c r="F43" s="129">
        <v>80890.7366745904</v>
      </c>
      <c r="G43" s="129">
        <v>114280.005234848</v>
      </c>
      <c r="H43" s="129">
        <v>135495.026205436</v>
      </c>
      <c r="I43" s="129">
        <v>83220.7000959308</v>
      </c>
      <c r="J43" s="129">
        <v>54089.2725572153</v>
      </c>
      <c r="K43" s="129">
        <v>10603.8199482235</v>
      </c>
      <c r="L43" s="129">
        <v>78732.8750786116</v>
      </c>
      <c r="M43" s="129">
        <v>253054.685867913</v>
      </c>
      <c r="N43" s="129">
        <v>175110.037913976</v>
      </c>
      <c r="O43" s="129">
        <v>0</v>
      </c>
      <c r="P43" s="129">
        <v>4136.46339666272</v>
      </c>
      <c r="Q43" s="129">
        <v>53067.1844331463</v>
      </c>
      <c r="R43" s="129">
        <v>91368.7386652237</v>
      </c>
      <c r="S43" s="129">
        <v>13405.9737339198</v>
      </c>
      <c r="T43" s="129">
        <v>17123.6762083769</v>
      </c>
      <c r="U43" s="129">
        <v>128351.674276591</v>
      </c>
      <c r="V43" s="129">
        <v>132424.373090032</v>
      </c>
      <c r="W43" s="79">
        <v>0</v>
      </c>
      <c r="X43" s="78">
        <v>0</v>
      </c>
      <c r="Y43" s="78">
        <v>90629.8803012208</v>
      </c>
      <c r="Z43" s="78">
        <v>33997.4781246599</v>
      </c>
      <c r="AA43" s="79">
        <v>0</v>
      </c>
      <c r="AB43" s="78">
        <v>0</v>
      </c>
      <c r="AC43" s="79">
        <v>48773.0270667874</v>
      </c>
      <c r="AD43" s="78">
        <v>285467.177833947</v>
      </c>
      <c r="AF43" s="144"/>
    </row>
    <row r="44" spans="1:32">
      <c r="A44" s="128" t="s">
        <v>113</v>
      </c>
      <c r="B44" s="143">
        <v>14138790.5977003</v>
      </c>
      <c r="C44" s="129">
        <f t="shared" si="1"/>
        <v>2175153.96708349</v>
      </c>
      <c r="D44" s="129">
        <f t="shared" si="0"/>
        <v>2009446.6046087</v>
      </c>
      <c r="E44" s="129">
        <v>386834.832501856</v>
      </c>
      <c r="F44" s="129">
        <v>660639.832192781</v>
      </c>
      <c r="G44" s="129">
        <v>427213.54932328</v>
      </c>
      <c r="H44" s="129">
        <v>280192.446334037</v>
      </c>
      <c r="I44" s="129">
        <v>133188.30583711</v>
      </c>
      <c r="J44" s="129">
        <v>126661.017066969</v>
      </c>
      <c r="K44" s="129">
        <v>130892.724642375</v>
      </c>
      <c r="L44" s="129">
        <v>73126.2717009241</v>
      </c>
      <c r="M44" s="129">
        <v>230620.51194459</v>
      </c>
      <c r="N44" s="129">
        <v>285123.747480532</v>
      </c>
      <c r="O44" s="129">
        <v>53533.1867213787</v>
      </c>
      <c r="P44" s="129">
        <v>33424.3569313309</v>
      </c>
      <c r="Q44" s="129">
        <v>192510.726548406</v>
      </c>
      <c r="R44" s="129">
        <v>106334.080025943</v>
      </c>
      <c r="S44" s="129">
        <v>25797.2153730507</v>
      </c>
      <c r="T44" s="129">
        <v>69943.009194379</v>
      </c>
      <c r="U44" s="129">
        <v>199516.298719623</v>
      </c>
      <c r="V44" s="129">
        <v>188057.411595709</v>
      </c>
      <c r="W44" s="79">
        <v>13395.858269524</v>
      </c>
      <c r="X44" s="78">
        <v>21265.4274125328</v>
      </c>
      <c r="Y44" s="78">
        <v>23361.932944766</v>
      </c>
      <c r="Z44" s="78">
        <v>34744.6815735713</v>
      </c>
      <c r="AA44" s="79">
        <v>0</v>
      </c>
      <c r="AB44" s="78">
        <v>0</v>
      </c>
      <c r="AC44" s="79">
        <v>358288.824257535</v>
      </c>
      <c r="AD44" s="78">
        <v>129934.323099986</v>
      </c>
      <c r="AF44" s="144"/>
    </row>
    <row r="45" spans="1:32">
      <c r="A45" s="128" t="s">
        <v>115</v>
      </c>
      <c r="B45" s="143">
        <v>16452162.9957369</v>
      </c>
      <c r="C45" s="129">
        <f t="shared" si="1"/>
        <v>2815885.54001531</v>
      </c>
      <c r="D45" s="129">
        <f t="shared" si="0"/>
        <v>1611016.89297203</v>
      </c>
      <c r="E45" s="129">
        <v>319217.374495977</v>
      </c>
      <c r="F45" s="129">
        <v>182982.736286568</v>
      </c>
      <c r="G45" s="129">
        <v>192719.70917581</v>
      </c>
      <c r="H45" s="129">
        <v>97485.3958055003</v>
      </c>
      <c r="I45" s="129">
        <v>177148.660201019</v>
      </c>
      <c r="J45" s="129">
        <v>102459.251555588</v>
      </c>
      <c r="K45" s="129">
        <v>215864.743027681</v>
      </c>
      <c r="L45" s="129">
        <v>129285.967253366</v>
      </c>
      <c r="M45" s="129">
        <v>691073.027913555</v>
      </c>
      <c r="N45" s="129">
        <v>464144.407739689</v>
      </c>
      <c r="O45" s="129">
        <v>15448.8795838171</v>
      </c>
      <c r="P45" s="129">
        <v>8953.89546576701</v>
      </c>
      <c r="Q45" s="129">
        <v>196946.659118845</v>
      </c>
      <c r="R45" s="129">
        <v>133099.749555421</v>
      </c>
      <c r="S45" s="129">
        <v>41676.1515968402</v>
      </c>
      <c r="T45" s="129">
        <v>53254.9919544905</v>
      </c>
      <c r="U45" s="129">
        <v>311466.131268394</v>
      </c>
      <c r="V45" s="129">
        <v>169853.557524111</v>
      </c>
      <c r="W45" s="79">
        <v>7501.68063093345</v>
      </c>
      <c r="X45" s="78">
        <v>38600.524911611</v>
      </c>
      <c r="Y45" s="78">
        <v>17592.2568913806</v>
      </c>
      <c r="Z45" s="78">
        <v>33486.9035007866</v>
      </c>
      <c r="AA45" s="79">
        <v>0</v>
      </c>
      <c r="AB45" s="78">
        <v>0</v>
      </c>
      <c r="AC45" s="79">
        <v>629230.266111059</v>
      </c>
      <c r="AD45" s="78">
        <v>197409.511419137</v>
      </c>
      <c r="AF45" s="144"/>
    </row>
    <row r="46" spans="1:32">
      <c r="A46" s="128" t="s">
        <v>117</v>
      </c>
      <c r="B46" s="143">
        <v>4327162.96034967</v>
      </c>
      <c r="C46" s="129">
        <f t="shared" si="1"/>
        <v>159035.079767928</v>
      </c>
      <c r="D46" s="129">
        <f t="shared" si="0"/>
        <v>88887.2136392378</v>
      </c>
      <c r="E46" s="129">
        <v>11110.8153058241</v>
      </c>
      <c r="F46" s="129">
        <v>6663.16616935573</v>
      </c>
      <c r="G46" s="129">
        <v>0</v>
      </c>
      <c r="H46" s="129">
        <v>0</v>
      </c>
      <c r="I46" s="129">
        <v>5817.29612186684</v>
      </c>
      <c r="J46" s="129">
        <v>3632.23757011147</v>
      </c>
      <c r="K46" s="129">
        <v>13065.820866206</v>
      </c>
      <c r="L46" s="129">
        <v>4295.94191585139</v>
      </c>
      <c r="M46" s="129">
        <v>38066.1559445575</v>
      </c>
      <c r="N46" s="129">
        <v>25027.3106751849</v>
      </c>
      <c r="O46" s="129">
        <v>30024.9080114468</v>
      </c>
      <c r="P46" s="129">
        <v>7480.93468670591</v>
      </c>
      <c r="Q46" s="129">
        <v>9208.34281219856</v>
      </c>
      <c r="R46" s="129">
        <v>13351.6393457069</v>
      </c>
      <c r="S46" s="129">
        <v>2431.97065711902</v>
      </c>
      <c r="T46" s="129">
        <v>2056.49413889327</v>
      </c>
      <c r="U46" s="129">
        <v>29192.820914455</v>
      </c>
      <c r="V46" s="129">
        <v>8493.61069166858</v>
      </c>
      <c r="W46" s="79">
        <v>0</v>
      </c>
      <c r="X46" s="78">
        <v>0</v>
      </c>
      <c r="Y46" s="78">
        <v>3634.08942673043</v>
      </c>
      <c r="Z46" s="78">
        <v>5880.09451730792</v>
      </c>
      <c r="AA46" s="79">
        <v>0</v>
      </c>
      <c r="AB46" s="78">
        <v>0</v>
      </c>
      <c r="AC46" s="79">
        <v>16482.8597075233</v>
      </c>
      <c r="AD46" s="78">
        <v>12005.7839284517</v>
      </c>
      <c r="AF46" s="144"/>
    </row>
    <row r="47" spans="1:32">
      <c r="A47" s="128" t="s">
        <v>119</v>
      </c>
      <c r="B47" s="143">
        <v>1567038.41518359</v>
      </c>
      <c r="C47" s="129">
        <f t="shared" si="1"/>
        <v>48062.3918025889</v>
      </c>
      <c r="D47" s="129">
        <f t="shared" si="0"/>
        <v>69867.7332579583</v>
      </c>
      <c r="E47" s="129">
        <v>0</v>
      </c>
      <c r="F47" s="129">
        <v>0</v>
      </c>
      <c r="G47" s="129">
        <v>0</v>
      </c>
      <c r="H47" s="129">
        <v>0</v>
      </c>
      <c r="I47" s="129">
        <v>0</v>
      </c>
      <c r="J47" s="129">
        <v>0</v>
      </c>
      <c r="K47" s="129">
        <v>309.909434660257</v>
      </c>
      <c r="L47" s="129">
        <v>614.975619205995</v>
      </c>
      <c r="M47" s="129">
        <v>37880.891224962</v>
      </c>
      <c r="N47" s="129">
        <v>61905.7348406632</v>
      </c>
      <c r="O47" s="129">
        <v>7146.96843692025</v>
      </c>
      <c r="P47" s="129">
        <v>7026.43244520669</v>
      </c>
      <c r="Q47" s="129">
        <v>0</v>
      </c>
      <c r="R47" s="129">
        <v>0</v>
      </c>
      <c r="S47" s="129">
        <v>0</v>
      </c>
      <c r="T47" s="129">
        <v>0</v>
      </c>
      <c r="U47" s="129">
        <v>2647.93742722349</v>
      </c>
      <c r="V47" s="129">
        <v>205.031520058195</v>
      </c>
      <c r="W47" s="79">
        <v>0</v>
      </c>
      <c r="X47" s="78">
        <v>0</v>
      </c>
      <c r="Y47" s="78">
        <v>0</v>
      </c>
      <c r="Z47" s="78">
        <v>0</v>
      </c>
      <c r="AA47" s="79">
        <v>0</v>
      </c>
      <c r="AB47" s="78">
        <v>0</v>
      </c>
      <c r="AC47" s="79">
        <v>76.685278822881</v>
      </c>
      <c r="AD47" s="78">
        <v>115.558832824186</v>
      </c>
      <c r="AF47" s="144"/>
    </row>
    <row r="48" spans="1:32">
      <c r="A48" s="128" t="s">
        <v>121</v>
      </c>
      <c r="B48" s="143">
        <v>6068677.88893381</v>
      </c>
      <c r="C48" s="129">
        <f t="shared" si="1"/>
        <v>458418.115152281</v>
      </c>
      <c r="D48" s="129">
        <f t="shared" si="0"/>
        <v>231068.59816858</v>
      </c>
      <c r="E48" s="129">
        <v>133148.767438183</v>
      </c>
      <c r="F48" s="129">
        <v>35398.4915325336</v>
      </c>
      <c r="G48" s="129">
        <v>0</v>
      </c>
      <c r="H48" s="129">
        <v>0</v>
      </c>
      <c r="I48" s="129">
        <v>25939.9331175346</v>
      </c>
      <c r="J48" s="129">
        <v>11491.511330566</v>
      </c>
      <c r="K48" s="129">
        <v>27392.9800992382</v>
      </c>
      <c r="L48" s="129">
        <v>17089.346522334</v>
      </c>
      <c r="M48" s="129">
        <v>55063.4238474512</v>
      </c>
      <c r="N48" s="129">
        <v>51518.5153172313</v>
      </c>
      <c r="O48" s="129">
        <v>4248.86121782164</v>
      </c>
      <c r="P48" s="129">
        <v>689.453782130396</v>
      </c>
      <c r="Q48" s="129">
        <v>26304.5122925451</v>
      </c>
      <c r="R48" s="129">
        <v>8777.01620223091</v>
      </c>
      <c r="S48" s="129">
        <v>2893.36932666413</v>
      </c>
      <c r="T48" s="129">
        <v>2365.15160003025</v>
      </c>
      <c r="U48" s="129">
        <v>92638.4299141071</v>
      </c>
      <c r="V48" s="129">
        <v>51337.2496053246</v>
      </c>
      <c r="W48" s="79">
        <v>5358.34330780961</v>
      </c>
      <c r="X48" s="78">
        <v>0</v>
      </c>
      <c r="Y48" s="78">
        <v>12318.1138010751</v>
      </c>
      <c r="Z48" s="78">
        <v>12021.4381369603</v>
      </c>
      <c r="AA48" s="79">
        <v>0</v>
      </c>
      <c r="AB48" s="78">
        <v>0</v>
      </c>
      <c r="AC48" s="79">
        <v>73111.3807898514</v>
      </c>
      <c r="AD48" s="78">
        <v>40380.4241392385</v>
      </c>
      <c r="AF48" s="144"/>
    </row>
    <row r="49" spans="1:32">
      <c r="A49" s="128" t="s">
        <v>123</v>
      </c>
      <c r="B49" s="143">
        <v>480753.548957469</v>
      </c>
      <c r="C49" s="129">
        <f t="shared" si="1"/>
        <v>2240.7961704685</v>
      </c>
      <c r="D49" s="129">
        <f t="shared" si="0"/>
        <v>1628.7328016295</v>
      </c>
      <c r="E49" s="129">
        <v>157.226787525977</v>
      </c>
      <c r="F49" s="129">
        <v>0</v>
      </c>
      <c r="G49" s="129">
        <v>0</v>
      </c>
      <c r="H49" s="129">
        <v>0</v>
      </c>
      <c r="I49" s="129">
        <v>0</v>
      </c>
      <c r="J49" s="129">
        <v>0</v>
      </c>
      <c r="K49" s="129">
        <v>0</v>
      </c>
      <c r="L49" s="129">
        <v>0</v>
      </c>
      <c r="M49" s="129">
        <v>0</v>
      </c>
      <c r="N49" s="129">
        <v>0</v>
      </c>
      <c r="O49" s="129">
        <v>0</v>
      </c>
      <c r="P49" s="129">
        <v>0</v>
      </c>
      <c r="Q49" s="129">
        <v>0</v>
      </c>
      <c r="R49" s="129">
        <v>0</v>
      </c>
      <c r="S49" s="129">
        <v>0</v>
      </c>
      <c r="T49" s="129">
        <v>0</v>
      </c>
      <c r="U49" s="129">
        <v>0</v>
      </c>
      <c r="V49" s="129">
        <v>0</v>
      </c>
      <c r="W49" s="79">
        <v>0</v>
      </c>
      <c r="X49" s="78">
        <v>0</v>
      </c>
      <c r="Y49" s="78">
        <v>0</v>
      </c>
      <c r="Z49" s="78">
        <v>0</v>
      </c>
      <c r="AA49" s="79">
        <v>0</v>
      </c>
      <c r="AB49" s="78">
        <v>0</v>
      </c>
      <c r="AC49" s="79">
        <v>2083.56938294252</v>
      </c>
      <c r="AD49" s="78">
        <v>1628.7328016295</v>
      </c>
      <c r="AF49" s="144"/>
    </row>
    <row r="50" spans="1:32">
      <c r="A50" s="128" t="s">
        <v>125</v>
      </c>
      <c r="B50" s="143">
        <v>1998294.48741256</v>
      </c>
      <c r="C50" s="129">
        <f t="shared" si="1"/>
        <v>61964.979099683</v>
      </c>
      <c r="D50" s="129">
        <f t="shared" si="0"/>
        <v>52819.3723210836</v>
      </c>
      <c r="E50" s="129">
        <v>3747.77401470749</v>
      </c>
      <c r="F50" s="129">
        <v>7596.06017375903</v>
      </c>
      <c r="G50" s="129">
        <v>6978.30198934385</v>
      </c>
      <c r="H50" s="129">
        <v>5710.45261289276</v>
      </c>
      <c r="I50" s="129">
        <v>5572.53627278974</v>
      </c>
      <c r="J50" s="129">
        <v>4910.98713489572</v>
      </c>
      <c r="K50" s="129">
        <v>5301.92981286488</v>
      </c>
      <c r="L50" s="129">
        <v>4311.89053101403</v>
      </c>
      <c r="M50" s="129">
        <v>0</v>
      </c>
      <c r="N50" s="129">
        <v>0</v>
      </c>
      <c r="O50" s="129">
        <v>677.052081997113</v>
      </c>
      <c r="P50" s="129">
        <v>3180.92791670263</v>
      </c>
      <c r="Q50" s="129">
        <v>24107.8844759995</v>
      </c>
      <c r="R50" s="129">
        <v>21064.8388853542</v>
      </c>
      <c r="S50" s="129">
        <v>0</v>
      </c>
      <c r="T50" s="129">
        <v>0</v>
      </c>
      <c r="U50" s="129">
        <v>0</v>
      </c>
      <c r="V50" s="129">
        <v>0</v>
      </c>
      <c r="W50" s="79">
        <v>0</v>
      </c>
      <c r="X50" s="78">
        <v>0</v>
      </c>
      <c r="Y50" s="78">
        <v>6159.05276250207</v>
      </c>
      <c r="Z50" s="78">
        <v>2708.39113710222</v>
      </c>
      <c r="AA50" s="79">
        <v>0</v>
      </c>
      <c r="AB50" s="78">
        <v>0</v>
      </c>
      <c r="AC50" s="79">
        <v>9420.44768947833</v>
      </c>
      <c r="AD50" s="78">
        <v>3335.82392936301</v>
      </c>
      <c r="AF50" s="144"/>
    </row>
    <row r="51" spans="1:32">
      <c r="A51" s="128" t="s">
        <v>127</v>
      </c>
      <c r="B51" s="143">
        <v>589300.823787342</v>
      </c>
      <c r="C51" s="129">
        <f t="shared" si="1"/>
        <v>0</v>
      </c>
      <c r="D51" s="129">
        <f t="shared" si="0"/>
        <v>1288.74157314341</v>
      </c>
      <c r="E51" s="129">
        <v>0</v>
      </c>
      <c r="F51" s="129">
        <v>0</v>
      </c>
      <c r="G51" s="129">
        <v>0</v>
      </c>
      <c r="H51" s="129">
        <v>0</v>
      </c>
      <c r="I51" s="129">
        <v>0</v>
      </c>
      <c r="J51" s="129">
        <v>0</v>
      </c>
      <c r="K51" s="129">
        <v>0</v>
      </c>
      <c r="L51" s="129">
        <v>0</v>
      </c>
      <c r="M51" s="129">
        <v>0</v>
      </c>
      <c r="N51" s="129">
        <v>0</v>
      </c>
      <c r="O51" s="129">
        <v>0</v>
      </c>
      <c r="P51" s="129">
        <v>0</v>
      </c>
      <c r="Q51" s="129">
        <v>0</v>
      </c>
      <c r="R51" s="129">
        <v>0</v>
      </c>
      <c r="S51" s="129">
        <v>0</v>
      </c>
      <c r="T51" s="129">
        <v>0</v>
      </c>
      <c r="U51" s="129">
        <v>0</v>
      </c>
      <c r="V51" s="129">
        <v>0</v>
      </c>
      <c r="W51" s="79">
        <v>0</v>
      </c>
      <c r="X51" s="78">
        <v>0</v>
      </c>
      <c r="Y51" s="78">
        <v>0</v>
      </c>
      <c r="Z51" s="78">
        <v>0</v>
      </c>
      <c r="AA51" s="79">
        <v>0</v>
      </c>
      <c r="AB51" s="78">
        <v>0</v>
      </c>
      <c r="AC51" s="79">
        <v>0</v>
      </c>
      <c r="AD51" s="78">
        <v>1288.74157314341</v>
      </c>
      <c r="AF51" s="144"/>
    </row>
    <row r="52" spans="1:32">
      <c r="A52" s="128" t="s">
        <v>129</v>
      </c>
      <c r="B52" s="143">
        <v>283926.842356884</v>
      </c>
      <c r="C52" s="129">
        <f t="shared" si="1"/>
        <v>0</v>
      </c>
      <c r="D52" s="129">
        <f t="shared" si="0"/>
        <v>0</v>
      </c>
      <c r="E52" s="129">
        <v>0</v>
      </c>
      <c r="F52" s="129">
        <v>0</v>
      </c>
      <c r="G52" s="129">
        <v>0</v>
      </c>
      <c r="H52" s="129">
        <v>0</v>
      </c>
      <c r="I52" s="129">
        <v>0</v>
      </c>
      <c r="J52" s="129">
        <v>0</v>
      </c>
      <c r="K52" s="129">
        <v>0</v>
      </c>
      <c r="L52" s="129">
        <v>0</v>
      </c>
      <c r="M52" s="129">
        <v>0</v>
      </c>
      <c r="N52" s="129">
        <v>0</v>
      </c>
      <c r="O52" s="129">
        <v>0</v>
      </c>
      <c r="P52" s="129">
        <v>0</v>
      </c>
      <c r="Q52" s="129">
        <v>0</v>
      </c>
      <c r="R52" s="129">
        <v>0</v>
      </c>
      <c r="S52" s="129">
        <v>0</v>
      </c>
      <c r="T52" s="129">
        <v>0</v>
      </c>
      <c r="U52" s="129">
        <v>0</v>
      </c>
      <c r="V52" s="129">
        <v>0</v>
      </c>
      <c r="W52" s="79">
        <v>0</v>
      </c>
      <c r="X52" s="78">
        <v>0</v>
      </c>
      <c r="Y52" s="78">
        <v>0</v>
      </c>
      <c r="Z52" s="78">
        <v>0</v>
      </c>
      <c r="AA52" s="79">
        <v>0</v>
      </c>
      <c r="AB52" s="78">
        <v>0</v>
      </c>
      <c r="AC52" s="79">
        <v>0</v>
      </c>
      <c r="AD52" s="78">
        <v>0</v>
      </c>
      <c r="AF52" s="144"/>
    </row>
    <row r="53" spans="1:32">
      <c r="A53" s="128" t="s">
        <v>131</v>
      </c>
      <c r="B53" s="143">
        <v>1149345.87713395</v>
      </c>
      <c r="C53" s="129">
        <f t="shared" si="1"/>
        <v>18889.0908359589</v>
      </c>
      <c r="D53" s="129">
        <f t="shared" si="0"/>
        <v>18541.1490746738</v>
      </c>
      <c r="E53" s="129">
        <v>0</v>
      </c>
      <c r="F53" s="129">
        <v>0</v>
      </c>
      <c r="G53" s="129">
        <v>0</v>
      </c>
      <c r="H53" s="129">
        <v>0</v>
      </c>
      <c r="I53" s="129">
        <v>361.525448433784</v>
      </c>
      <c r="J53" s="129">
        <v>146.109328958216</v>
      </c>
      <c r="K53" s="129">
        <v>0</v>
      </c>
      <c r="L53" s="129">
        <v>258.719880997289</v>
      </c>
      <c r="M53" s="129">
        <v>9710.33455473458</v>
      </c>
      <c r="N53" s="129">
        <v>10469.4496114173</v>
      </c>
      <c r="O53" s="129">
        <v>1278.88138912753</v>
      </c>
      <c r="P53" s="129">
        <v>517.524524159917</v>
      </c>
      <c r="Q53" s="129">
        <v>3425.08874863108</v>
      </c>
      <c r="R53" s="129">
        <v>3510.80648089236</v>
      </c>
      <c r="S53" s="129">
        <v>0</v>
      </c>
      <c r="T53" s="129">
        <v>0</v>
      </c>
      <c r="U53" s="129">
        <v>960.195530726257</v>
      </c>
      <c r="V53" s="129">
        <v>644.370786571703</v>
      </c>
      <c r="W53" s="79">
        <v>0</v>
      </c>
      <c r="X53" s="78">
        <v>0</v>
      </c>
      <c r="Y53" s="78">
        <v>0</v>
      </c>
      <c r="Z53" s="78">
        <v>0</v>
      </c>
      <c r="AA53" s="79">
        <v>0</v>
      </c>
      <c r="AB53" s="78">
        <v>0</v>
      </c>
      <c r="AC53" s="79">
        <v>3153.0651643057</v>
      </c>
      <c r="AD53" s="78">
        <v>2994.16846167701</v>
      </c>
      <c r="AF53" s="144"/>
    </row>
    <row r="54" spans="1:32">
      <c r="A54" s="128" t="s">
        <v>304</v>
      </c>
      <c r="B54" s="143">
        <v>1380154.04662911</v>
      </c>
      <c r="C54" s="129">
        <f t="shared" si="1"/>
        <v>274725.799222972</v>
      </c>
      <c r="D54" s="129">
        <f t="shared" si="0"/>
        <v>143122.164686346</v>
      </c>
      <c r="E54" s="129">
        <v>30922.9938976876</v>
      </c>
      <c r="F54" s="129">
        <v>12584.0582154042</v>
      </c>
      <c r="G54" s="129">
        <v>15298.7630228224</v>
      </c>
      <c r="H54" s="129">
        <v>10793.0873283219</v>
      </c>
      <c r="I54" s="129">
        <v>8073.77541807767</v>
      </c>
      <c r="J54" s="129">
        <v>5031.99754600002</v>
      </c>
      <c r="K54" s="129">
        <v>17666.5025042612</v>
      </c>
      <c r="L54" s="129">
        <v>12118.3815096519</v>
      </c>
      <c r="M54" s="129">
        <v>47417.2395034677</v>
      </c>
      <c r="N54" s="129">
        <v>39193.831427839</v>
      </c>
      <c r="O54" s="129">
        <v>3925.80414267775</v>
      </c>
      <c r="P54" s="129">
        <v>1218.8244443801</v>
      </c>
      <c r="Q54" s="129">
        <v>70446.573588619</v>
      </c>
      <c r="R54" s="129">
        <v>35935.0077812302</v>
      </c>
      <c r="S54" s="129">
        <v>1979.06379963658</v>
      </c>
      <c r="T54" s="129">
        <v>1455.99102941985</v>
      </c>
      <c r="U54" s="129">
        <v>22881.1924942165</v>
      </c>
      <c r="V54" s="129">
        <v>8475.04513036755</v>
      </c>
      <c r="W54" s="79">
        <v>0</v>
      </c>
      <c r="X54" s="78">
        <v>0</v>
      </c>
      <c r="Y54" s="78">
        <v>3008.7566201255</v>
      </c>
      <c r="Z54" s="78">
        <v>2625.26328927627</v>
      </c>
      <c r="AA54" s="79">
        <v>0</v>
      </c>
      <c r="AB54" s="78">
        <v>0</v>
      </c>
      <c r="AC54" s="79">
        <v>53105.1342313802</v>
      </c>
      <c r="AD54" s="78">
        <v>13690.6769844551</v>
      </c>
      <c r="AF54" s="144"/>
    </row>
    <row r="55" spans="1:32">
      <c r="A55" s="128" t="s">
        <v>135</v>
      </c>
      <c r="B55" s="143">
        <v>370621.830433846</v>
      </c>
      <c r="C55" s="129">
        <f t="shared" si="1"/>
        <v>225.650977570685</v>
      </c>
      <c r="D55" s="129">
        <f t="shared" si="0"/>
        <v>0</v>
      </c>
      <c r="E55" s="129">
        <v>0</v>
      </c>
      <c r="F55" s="129">
        <v>0</v>
      </c>
      <c r="G55" s="129">
        <v>0</v>
      </c>
      <c r="H55" s="129">
        <v>0</v>
      </c>
      <c r="I55" s="129">
        <v>0</v>
      </c>
      <c r="J55" s="129">
        <v>0</v>
      </c>
      <c r="K55" s="129">
        <v>0</v>
      </c>
      <c r="L55" s="129">
        <v>0</v>
      </c>
      <c r="M55" s="129">
        <v>0</v>
      </c>
      <c r="N55" s="129">
        <v>0</v>
      </c>
      <c r="O55" s="129">
        <v>225.650977570685</v>
      </c>
      <c r="P55" s="129">
        <v>0</v>
      </c>
      <c r="Q55" s="129">
        <v>0</v>
      </c>
      <c r="R55" s="129">
        <v>0</v>
      </c>
      <c r="S55" s="129">
        <v>0</v>
      </c>
      <c r="T55" s="129">
        <v>0</v>
      </c>
      <c r="U55" s="129">
        <v>0</v>
      </c>
      <c r="V55" s="129">
        <v>0</v>
      </c>
      <c r="W55" s="79">
        <v>0</v>
      </c>
      <c r="X55" s="78">
        <v>0</v>
      </c>
      <c r="Y55" s="78">
        <v>0</v>
      </c>
      <c r="Z55" s="78">
        <v>0</v>
      </c>
      <c r="AA55" s="79">
        <v>0</v>
      </c>
      <c r="AB55" s="78">
        <v>0</v>
      </c>
      <c r="AC55" s="79">
        <v>0</v>
      </c>
      <c r="AD55" s="78">
        <v>0</v>
      </c>
      <c r="AF55" s="144"/>
    </row>
    <row r="56" spans="1:32">
      <c r="A56" s="128" t="s">
        <v>137</v>
      </c>
      <c r="B56" s="143">
        <v>1664636.39277826</v>
      </c>
      <c r="C56" s="129">
        <f t="shared" si="1"/>
        <v>11669.6925762731</v>
      </c>
      <c r="D56" s="129">
        <f t="shared" si="0"/>
        <v>8788.05420208747</v>
      </c>
      <c r="E56" s="129">
        <v>0</v>
      </c>
      <c r="F56" s="129">
        <v>0</v>
      </c>
      <c r="G56" s="129">
        <v>0</v>
      </c>
      <c r="H56" s="129">
        <v>0</v>
      </c>
      <c r="I56" s="129">
        <v>0</v>
      </c>
      <c r="J56" s="129">
        <v>0</v>
      </c>
      <c r="K56" s="129">
        <v>782.210576024714</v>
      </c>
      <c r="L56" s="129">
        <v>258.722610189793</v>
      </c>
      <c r="M56" s="129">
        <v>0</v>
      </c>
      <c r="N56" s="129">
        <v>0</v>
      </c>
      <c r="O56" s="129">
        <v>0</v>
      </c>
      <c r="P56" s="129">
        <v>0</v>
      </c>
      <c r="Q56" s="129">
        <v>4303.31663289546</v>
      </c>
      <c r="R56" s="129">
        <v>6231.68150358395</v>
      </c>
      <c r="S56" s="129">
        <v>0</v>
      </c>
      <c r="T56" s="129">
        <v>0</v>
      </c>
      <c r="U56" s="129">
        <v>2774.01076381357</v>
      </c>
      <c r="V56" s="129">
        <v>214.790262190568</v>
      </c>
      <c r="W56" s="79">
        <v>0</v>
      </c>
      <c r="X56" s="78">
        <v>0</v>
      </c>
      <c r="Y56" s="78">
        <v>0</v>
      </c>
      <c r="Z56" s="78">
        <v>0</v>
      </c>
      <c r="AA56" s="79">
        <v>0</v>
      </c>
      <c r="AB56" s="78">
        <v>0</v>
      </c>
      <c r="AC56" s="79">
        <v>3810.15460353932</v>
      </c>
      <c r="AD56" s="78">
        <v>2082.85982612317</v>
      </c>
      <c r="AF56" s="144"/>
    </row>
    <row r="57" spans="1:32">
      <c r="A57" s="128" t="s">
        <v>139</v>
      </c>
      <c r="B57" s="143">
        <v>530651.60242519</v>
      </c>
      <c r="C57" s="129">
        <f t="shared" si="1"/>
        <v>2859.856815528</v>
      </c>
      <c r="D57" s="129">
        <f t="shared" si="0"/>
        <v>2764.38016330204</v>
      </c>
      <c r="E57" s="129">
        <v>0</v>
      </c>
      <c r="F57" s="129">
        <v>0</v>
      </c>
      <c r="G57" s="129">
        <v>0</v>
      </c>
      <c r="H57" s="129">
        <v>0</v>
      </c>
      <c r="I57" s="129">
        <v>0</v>
      </c>
      <c r="J57" s="129">
        <v>0</v>
      </c>
      <c r="K57" s="129">
        <v>0</v>
      </c>
      <c r="L57" s="129">
        <v>0</v>
      </c>
      <c r="M57" s="129">
        <v>0</v>
      </c>
      <c r="N57" s="129">
        <v>0</v>
      </c>
      <c r="O57" s="129">
        <v>2859.856815528</v>
      </c>
      <c r="P57" s="129">
        <v>2588.83983925742</v>
      </c>
      <c r="Q57" s="129">
        <v>0</v>
      </c>
      <c r="R57" s="129">
        <v>175.540324044618</v>
      </c>
      <c r="S57" s="129">
        <v>0</v>
      </c>
      <c r="T57" s="129">
        <v>0</v>
      </c>
      <c r="U57" s="129">
        <v>0</v>
      </c>
      <c r="V57" s="129">
        <v>0</v>
      </c>
      <c r="W57" s="79">
        <v>0</v>
      </c>
      <c r="X57" s="78">
        <v>0</v>
      </c>
      <c r="Y57" s="78">
        <v>0</v>
      </c>
      <c r="Z57" s="78">
        <v>0</v>
      </c>
      <c r="AA57" s="79">
        <v>0</v>
      </c>
      <c r="AB57" s="78">
        <v>0</v>
      </c>
      <c r="AC57" s="79">
        <v>0</v>
      </c>
      <c r="AD57" s="78">
        <v>0</v>
      </c>
      <c r="AF57" s="144"/>
    </row>
    <row r="58" spans="1:32">
      <c r="A58" s="128" t="s">
        <v>141</v>
      </c>
      <c r="B58" s="143">
        <v>2275692.38041064</v>
      </c>
      <c r="C58" s="129">
        <f t="shared" si="1"/>
        <v>15495.7826399366</v>
      </c>
      <c r="D58" s="129">
        <f t="shared" si="0"/>
        <v>42462.4114489708</v>
      </c>
      <c r="E58" s="129">
        <v>7214.08822942942</v>
      </c>
      <c r="F58" s="129">
        <v>11143.5724812509</v>
      </c>
      <c r="G58" s="129">
        <v>0</v>
      </c>
      <c r="H58" s="129">
        <v>0</v>
      </c>
      <c r="I58" s="129">
        <v>5928.27113173218</v>
      </c>
      <c r="J58" s="129">
        <v>496.597856519007</v>
      </c>
      <c r="K58" s="129">
        <v>0</v>
      </c>
      <c r="L58" s="129">
        <v>0</v>
      </c>
      <c r="M58" s="129">
        <v>0</v>
      </c>
      <c r="N58" s="129">
        <v>0</v>
      </c>
      <c r="O58" s="129">
        <v>0</v>
      </c>
      <c r="P58" s="129">
        <v>0</v>
      </c>
      <c r="Q58" s="129">
        <v>0</v>
      </c>
      <c r="R58" s="129">
        <v>0</v>
      </c>
      <c r="S58" s="129">
        <v>0</v>
      </c>
      <c r="T58" s="129">
        <v>0</v>
      </c>
      <c r="U58" s="129">
        <v>0</v>
      </c>
      <c r="V58" s="129">
        <v>0</v>
      </c>
      <c r="W58" s="79">
        <v>0</v>
      </c>
      <c r="X58" s="78">
        <v>0</v>
      </c>
      <c r="Y58" s="78">
        <v>0</v>
      </c>
      <c r="Z58" s="78">
        <v>23785.0031451316</v>
      </c>
      <c r="AA58" s="79">
        <v>0</v>
      </c>
      <c r="AB58" s="78">
        <v>0</v>
      </c>
      <c r="AC58" s="79">
        <v>2353.42327877495</v>
      </c>
      <c r="AD58" s="78">
        <v>7037.23796606943</v>
      </c>
      <c r="AF58" s="144"/>
    </row>
    <row r="59" spans="1:32">
      <c r="A59" s="128" t="s">
        <v>143</v>
      </c>
      <c r="B59" s="143">
        <v>437687.410587044</v>
      </c>
      <c r="C59" s="129">
        <f t="shared" si="1"/>
        <v>5577.90623956137</v>
      </c>
      <c r="D59" s="129">
        <f t="shared" si="0"/>
        <v>6099.88441467983</v>
      </c>
      <c r="E59" s="129">
        <v>0</v>
      </c>
      <c r="F59" s="129">
        <v>0</v>
      </c>
      <c r="G59" s="129">
        <v>0</v>
      </c>
      <c r="H59" s="129">
        <v>0</v>
      </c>
      <c r="I59" s="129">
        <v>370.93016838735</v>
      </c>
      <c r="J59" s="129">
        <v>0</v>
      </c>
      <c r="K59" s="129">
        <v>2259.63551857663</v>
      </c>
      <c r="L59" s="129">
        <v>1552.23394978194</v>
      </c>
      <c r="M59" s="129">
        <v>0</v>
      </c>
      <c r="N59" s="129">
        <v>0</v>
      </c>
      <c r="O59" s="129">
        <v>2859.51776417096</v>
      </c>
      <c r="P59" s="129">
        <v>3845.48916871942</v>
      </c>
      <c r="Q59" s="129">
        <v>87.8227884264378</v>
      </c>
      <c r="R59" s="129">
        <v>702.161296178473</v>
      </c>
      <c r="S59" s="129">
        <v>0</v>
      </c>
      <c r="T59" s="129">
        <v>0</v>
      </c>
      <c r="U59" s="129">
        <v>0</v>
      </c>
      <c r="V59" s="129">
        <v>0</v>
      </c>
      <c r="W59" s="79">
        <v>0</v>
      </c>
      <c r="X59" s="78">
        <v>0</v>
      </c>
      <c r="Y59" s="78">
        <v>0</v>
      </c>
      <c r="Z59" s="78">
        <v>0</v>
      </c>
      <c r="AA59" s="79">
        <v>0</v>
      </c>
      <c r="AB59" s="78">
        <v>0</v>
      </c>
      <c r="AC59" s="79">
        <v>0</v>
      </c>
      <c r="AD59" s="78">
        <v>0</v>
      </c>
      <c r="AF59" s="144"/>
    </row>
    <row r="60" spans="1:32">
      <c r="A60" s="128" t="s">
        <v>145</v>
      </c>
      <c r="B60" s="143">
        <v>0</v>
      </c>
      <c r="C60" s="129">
        <f t="shared" si="1"/>
        <v>0</v>
      </c>
      <c r="D60" s="129">
        <f t="shared" si="0"/>
        <v>0</v>
      </c>
      <c r="E60" s="129">
        <v>0</v>
      </c>
      <c r="F60" s="129">
        <v>0</v>
      </c>
      <c r="G60" s="129">
        <v>0</v>
      </c>
      <c r="H60" s="129">
        <v>0</v>
      </c>
      <c r="I60" s="129">
        <v>0</v>
      </c>
      <c r="J60" s="129">
        <v>0</v>
      </c>
      <c r="K60" s="129">
        <v>0</v>
      </c>
      <c r="L60" s="129">
        <v>0</v>
      </c>
      <c r="M60" s="129">
        <v>0</v>
      </c>
      <c r="N60" s="129">
        <v>0</v>
      </c>
      <c r="O60" s="129">
        <v>0</v>
      </c>
      <c r="P60" s="129">
        <v>0</v>
      </c>
      <c r="Q60" s="129">
        <v>0</v>
      </c>
      <c r="R60" s="129">
        <v>0</v>
      </c>
      <c r="S60" s="129">
        <v>0</v>
      </c>
      <c r="T60" s="129">
        <v>0</v>
      </c>
      <c r="U60" s="129">
        <v>0</v>
      </c>
      <c r="V60" s="129">
        <v>0</v>
      </c>
      <c r="W60" s="79">
        <v>0</v>
      </c>
      <c r="X60" s="78">
        <v>0</v>
      </c>
      <c r="Y60" s="78">
        <v>0</v>
      </c>
      <c r="Z60" s="78">
        <v>0</v>
      </c>
      <c r="AA60" s="79">
        <v>0</v>
      </c>
      <c r="AB60" s="78">
        <v>0</v>
      </c>
      <c r="AC60" s="79">
        <v>0</v>
      </c>
      <c r="AD60" s="78">
        <v>0</v>
      </c>
      <c r="AF60" s="144"/>
    </row>
    <row r="61" spans="1:32">
      <c r="A61" s="128" t="s">
        <v>147</v>
      </c>
      <c r="B61" s="143">
        <v>257023.623930102</v>
      </c>
      <c r="C61" s="129">
        <f t="shared" si="1"/>
        <v>837.097282093685</v>
      </c>
      <c r="D61" s="129">
        <f t="shared" si="0"/>
        <v>0</v>
      </c>
      <c r="E61" s="129">
        <v>0</v>
      </c>
      <c r="F61" s="129">
        <v>0</v>
      </c>
      <c r="G61" s="129">
        <v>0</v>
      </c>
      <c r="H61" s="129">
        <v>0</v>
      </c>
      <c r="I61" s="129">
        <v>0</v>
      </c>
      <c r="J61" s="129">
        <v>0</v>
      </c>
      <c r="K61" s="129">
        <v>0</v>
      </c>
      <c r="L61" s="129">
        <v>0</v>
      </c>
      <c r="M61" s="129">
        <v>837.097282093685</v>
      </c>
      <c r="N61" s="129">
        <v>0</v>
      </c>
      <c r="O61" s="129">
        <v>0</v>
      </c>
      <c r="P61" s="129">
        <v>0</v>
      </c>
      <c r="Q61" s="129">
        <v>0</v>
      </c>
      <c r="R61" s="129">
        <v>0</v>
      </c>
      <c r="S61" s="129">
        <v>0</v>
      </c>
      <c r="T61" s="129">
        <v>0</v>
      </c>
      <c r="U61" s="129">
        <v>0</v>
      </c>
      <c r="V61" s="129">
        <v>0</v>
      </c>
      <c r="W61" s="79">
        <v>0</v>
      </c>
      <c r="X61" s="78">
        <v>0</v>
      </c>
      <c r="Y61" s="78">
        <v>0</v>
      </c>
      <c r="Z61" s="78">
        <v>0</v>
      </c>
      <c r="AA61" s="79">
        <v>0</v>
      </c>
      <c r="AB61" s="78">
        <v>0</v>
      </c>
      <c r="AC61" s="79">
        <v>0</v>
      </c>
      <c r="AD61" s="78">
        <v>0</v>
      </c>
      <c r="AF61" s="144"/>
    </row>
    <row r="62" spans="1:32">
      <c r="A62" s="128" t="s">
        <v>149</v>
      </c>
      <c r="B62" s="143">
        <v>0</v>
      </c>
      <c r="C62" s="129">
        <f t="shared" si="1"/>
        <v>0</v>
      </c>
      <c r="D62" s="129">
        <f t="shared" si="0"/>
        <v>0</v>
      </c>
      <c r="E62" s="129">
        <v>0</v>
      </c>
      <c r="F62" s="129">
        <v>0</v>
      </c>
      <c r="G62" s="129">
        <v>0</v>
      </c>
      <c r="H62" s="129">
        <v>0</v>
      </c>
      <c r="I62" s="129">
        <v>0</v>
      </c>
      <c r="J62" s="129">
        <v>0</v>
      </c>
      <c r="K62" s="129">
        <v>0</v>
      </c>
      <c r="L62" s="129">
        <v>0</v>
      </c>
      <c r="M62" s="129">
        <v>0</v>
      </c>
      <c r="N62" s="129">
        <v>0</v>
      </c>
      <c r="O62" s="129">
        <v>0</v>
      </c>
      <c r="P62" s="129">
        <v>0</v>
      </c>
      <c r="Q62" s="129">
        <v>0</v>
      </c>
      <c r="R62" s="129">
        <v>0</v>
      </c>
      <c r="S62" s="129">
        <v>0</v>
      </c>
      <c r="T62" s="129">
        <v>0</v>
      </c>
      <c r="U62" s="129">
        <v>0</v>
      </c>
      <c r="V62" s="129">
        <v>0</v>
      </c>
      <c r="W62" s="79">
        <v>0</v>
      </c>
      <c r="X62" s="78">
        <v>0</v>
      </c>
      <c r="Y62" s="78">
        <v>0</v>
      </c>
      <c r="Z62" s="78">
        <v>0</v>
      </c>
      <c r="AA62" s="79">
        <v>0</v>
      </c>
      <c r="AB62" s="78">
        <v>0</v>
      </c>
      <c r="AC62" s="79">
        <v>0</v>
      </c>
      <c r="AD62" s="78">
        <v>0</v>
      </c>
      <c r="AF62" s="144"/>
    </row>
    <row r="63" spans="1:32">
      <c r="A63" s="128" t="s">
        <v>151</v>
      </c>
      <c r="B63" s="143">
        <v>310239.672612739</v>
      </c>
      <c r="C63" s="129">
        <f t="shared" si="1"/>
        <v>2885.06132321535</v>
      </c>
      <c r="D63" s="129">
        <f t="shared" si="0"/>
        <v>5443.03659793393</v>
      </c>
      <c r="E63" s="129">
        <v>0</v>
      </c>
      <c r="F63" s="129">
        <v>0</v>
      </c>
      <c r="G63" s="129">
        <v>0</v>
      </c>
      <c r="H63" s="129">
        <v>0</v>
      </c>
      <c r="I63" s="129">
        <v>0</v>
      </c>
      <c r="J63" s="129">
        <v>0</v>
      </c>
      <c r="K63" s="129">
        <v>0</v>
      </c>
      <c r="L63" s="129">
        <v>0</v>
      </c>
      <c r="M63" s="129">
        <v>0</v>
      </c>
      <c r="N63" s="129">
        <v>0</v>
      </c>
      <c r="O63" s="129">
        <v>300.740705944521</v>
      </c>
      <c r="P63" s="129">
        <v>887.606096433457</v>
      </c>
      <c r="Q63" s="129">
        <v>0</v>
      </c>
      <c r="R63" s="129">
        <v>0</v>
      </c>
      <c r="S63" s="129">
        <v>0</v>
      </c>
      <c r="T63" s="129">
        <v>94.6062804998935</v>
      </c>
      <c r="U63" s="129">
        <v>0</v>
      </c>
      <c r="V63" s="129">
        <v>0</v>
      </c>
      <c r="W63" s="79">
        <v>0</v>
      </c>
      <c r="X63" s="78">
        <v>0</v>
      </c>
      <c r="Y63" s="78">
        <v>0</v>
      </c>
      <c r="Z63" s="78">
        <v>0</v>
      </c>
      <c r="AA63" s="79">
        <v>0</v>
      </c>
      <c r="AB63" s="78">
        <v>0</v>
      </c>
      <c r="AC63" s="79">
        <v>2584.32061727083</v>
      </c>
      <c r="AD63" s="78">
        <v>4460.82422100058</v>
      </c>
      <c r="AF63" s="144"/>
    </row>
    <row r="64" spans="1:32">
      <c r="A64" s="128" t="s">
        <v>153</v>
      </c>
      <c r="B64" s="143">
        <v>564826.170842236</v>
      </c>
      <c r="C64" s="129">
        <f t="shared" si="1"/>
        <v>3203.31939097211</v>
      </c>
      <c r="D64" s="129">
        <f t="shared" si="0"/>
        <v>1930.85186312111</v>
      </c>
      <c r="E64" s="129">
        <v>1817.61646180167</v>
      </c>
      <c r="F64" s="129">
        <v>1159.98947220105</v>
      </c>
      <c r="G64" s="129">
        <v>0</v>
      </c>
      <c r="H64" s="129">
        <v>0</v>
      </c>
      <c r="I64" s="129">
        <v>0</v>
      </c>
      <c r="J64" s="129">
        <v>0</v>
      </c>
      <c r="K64" s="129">
        <v>260.700220235278</v>
      </c>
      <c r="L64" s="129">
        <v>603.681836897383</v>
      </c>
      <c r="M64" s="129">
        <v>0</v>
      </c>
      <c r="N64" s="129">
        <v>0</v>
      </c>
      <c r="O64" s="129">
        <v>0</v>
      </c>
      <c r="P64" s="129">
        <v>0</v>
      </c>
      <c r="Q64" s="129">
        <v>0</v>
      </c>
      <c r="R64" s="129">
        <v>0</v>
      </c>
      <c r="S64" s="129">
        <v>96.4444429016033</v>
      </c>
      <c r="T64" s="129">
        <v>0</v>
      </c>
      <c r="U64" s="129">
        <v>960.223333752142</v>
      </c>
      <c r="V64" s="129">
        <v>107.399662839697</v>
      </c>
      <c r="W64" s="79">
        <v>0</v>
      </c>
      <c r="X64" s="78">
        <v>0</v>
      </c>
      <c r="Y64" s="78">
        <v>0</v>
      </c>
      <c r="Z64" s="78">
        <v>0</v>
      </c>
      <c r="AA64" s="79">
        <v>0</v>
      </c>
      <c r="AB64" s="78">
        <v>0</v>
      </c>
      <c r="AC64" s="79">
        <v>68.334932281422</v>
      </c>
      <c r="AD64" s="78">
        <v>59.7808911829769</v>
      </c>
      <c r="AF64" s="144"/>
    </row>
    <row r="65" spans="1:32">
      <c r="A65" s="128" t="s">
        <v>155</v>
      </c>
      <c r="B65" s="143">
        <v>367240.496440736</v>
      </c>
      <c r="C65" s="129">
        <f t="shared" si="1"/>
        <v>5608.5518634311</v>
      </c>
      <c r="D65" s="129">
        <f t="shared" si="0"/>
        <v>7261.06976237188</v>
      </c>
      <c r="E65" s="129">
        <v>0</v>
      </c>
      <c r="F65" s="129">
        <v>0</v>
      </c>
      <c r="G65" s="129">
        <v>0</v>
      </c>
      <c r="H65" s="129">
        <v>0</v>
      </c>
      <c r="I65" s="129">
        <v>0</v>
      </c>
      <c r="J65" s="129">
        <v>0</v>
      </c>
      <c r="K65" s="129">
        <v>0</v>
      </c>
      <c r="L65" s="129">
        <v>0</v>
      </c>
      <c r="M65" s="129">
        <v>5608.5518634311</v>
      </c>
      <c r="N65" s="129">
        <v>7261.06976237188</v>
      </c>
      <c r="O65" s="129">
        <v>0</v>
      </c>
      <c r="P65" s="129">
        <v>0</v>
      </c>
      <c r="Q65" s="129">
        <v>0</v>
      </c>
      <c r="R65" s="129">
        <v>0</v>
      </c>
      <c r="S65" s="129">
        <v>0</v>
      </c>
      <c r="T65" s="129">
        <v>0</v>
      </c>
      <c r="U65" s="129">
        <v>0</v>
      </c>
      <c r="V65" s="129">
        <v>0</v>
      </c>
      <c r="W65" s="79">
        <v>0</v>
      </c>
      <c r="X65" s="78">
        <v>0</v>
      </c>
      <c r="Y65" s="78">
        <v>0</v>
      </c>
      <c r="Z65" s="78">
        <v>0</v>
      </c>
      <c r="AA65" s="79">
        <v>0</v>
      </c>
      <c r="AB65" s="78">
        <v>0</v>
      </c>
      <c r="AC65" s="79">
        <v>0</v>
      </c>
      <c r="AD65" s="78">
        <v>0</v>
      </c>
      <c r="AF65" s="144"/>
    </row>
    <row r="66" spans="1:32">
      <c r="A66" s="128" t="s">
        <v>157</v>
      </c>
      <c r="B66" s="143">
        <v>247067.093248807</v>
      </c>
      <c r="C66" s="129">
        <f t="shared" si="1"/>
        <v>79.1242385415964</v>
      </c>
      <c r="D66" s="129">
        <f t="shared" si="0"/>
        <v>1623.97293378444</v>
      </c>
      <c r="E66" s="129">
        <v>0</v>
      </c>
      <c r="F66" s="129">
        <v>0</v>
      </c>
      <c r="G66" s="129">
        <v>0</v>
      </c>
      <c r="H66" s="129">
        <v>0</v>
      </c>
      <c r="I66" s="129">
        <v>0</v>
      </c>
      <c r="J66" s="129">
        <v>0</v>
      </c>
      <c r="K66" s="129">
        <v>0</v>
      </c>
      <c r="L66" s="129">
        <v>0</v>
      </c>
      <c r="M66" s="129">
        <v>0</v>
      </c>
      <c r="N66" s="129">
        <v>0</v>
      </c>
      <c r="O66" s="129">
        <v>0</v>
      </c>
      <c r="P66" s="129">
        <v>0</v>
      </c>
      <c r="Q66" s="129">
        <v>0</v>
      </c>
      <c r="R66" s="129">
        <v>0</v>
      </c>
      <c r="S66" s="129">
        <v>0</v>
      </c>
      <c r="T66" s="129">
        <v>0</v>
      </c>
      <c r="U66" s="129">
        <v>0</v>
      </c>
      <c r="V66" s="129">
        <v>0</v>
      </c>
      <c r="W66" s="79">
        <v>0</v>
      </c>
      <c r="X66" s="78">
        <v>0</v>
      </c>
      <c r="Y66" s="78">
        <v>0</v>
      </c>
      <c r="Z66" s="78">
        <v>0</v>
      </c>
      <c r="AA66" s="79">
        <v>0</v>
      </c>
      <c r="AB66" s="78">
        <v>0</v>
      </c>
      <c r="AC66" s="79">
        <v>79.1242385415964</v>
      </c>
      <c r="AD66" s="78">
        <v>1623.97293378444</v>
      </c>
      <c r="AF66" s="144"/>
    </row>
    <row r="67" spans="1:32">
      <c r="A67" s="128" t="s">
        <v>159</v>
      </c>
      <c r="B67" s="143">
        <v>243590.466466253</v>
      </c>
      <c r="C67" s="129">
        <f t="shared" si="1"/>
        <v>602.480623103783</v>
      </c>
      <c r="D67" s="129">
        <f t="shared" ref="D67:D130" si="2">F67+H67+J67+L67+N67+P67+R67+T67+V67+X67+Z67+AD67+AB67</f>
        <v>164.519087012441</v>
      </c>
      <c r="E67" s="129">
        <v>267.044305077888</v>
      </c>
      <c r="F67" s="129">
        <v>0</v>
      </c>
      <c r="G67" s="129">
        <v>0</v>
      </c>
      <c r="H67" s="129">
        <v>0</v>
      </c>
      <c r="I67" s="129">
        <v>0</v>
      </c>
      <c r="J67" s="129">
        <v>0</v>
      </c>
      <c r="K67" s="129">
        <v>0</v>
      </c>
      <c r="L67" s="129">
        <v>0</v>
      </c>
      <c r="M67" s="129">
        <v>0</v>
      </c>
      <c r="N67" s="129">
        <v>0</v>
      </c>
      <c r="O67" s="129">
        <v>0</v>
      </c>
      <c r="P67" s="129">
        <v>0</v>
      </c>
      <c r="Q67" s="129">
        <v>0</v>
      </c>
      <c r="R67" s="129">
        <v>0</v>
      </c>
      <c r="S67" s="129">
        <v>335.436318025895</v>
      </c>
      <c r="T67" s="129">
        <v>164.519087012441</v>
      </c>
      <c r="U67" s="129">
        <v>0</v>
      </c>
      <c r="V67" s="129">
        <v>0</v>
      </c>
      <c r="W67" s="79">
        <v>0</v>
      </c>
      <c r="X67" s="78">
        <v>0</v>
      </c>
      <c r="Y67" s="78">
        <v>0</v>
      </c>
      <c r="Z67" s="78">
        <v>0</v>
      </c>
      <c r="AA67" s="79">
        <v>0</v>
      </c>
      <c r="AB67" s="78">
        <v>0</v>
      </c>
      <c r="AC67" s="79">
        <v>0</v>
      </c>
      <c r="AD67" s="78">
        <v>0</v>
      </c>
      <c r="AF67" s="144"/>
    </row>
    <row r="68" spans="1:32">
      <c r="A68" s="128" t="s">
        <v>161</v>
      </c>
      <c r="B68" s="143">
        <v>233192.819205995</v>
      </c>
      <c r="C68" s="129">
        <f t="shared" ref="C68:C131" si="3">E68+G68+I68+K68+M68+O68+Q68+S68+U68+W68+Y68+AC68+AA68</f>
        <v>4626.18901831154</v>
      </c>
      <c r="D68" s="129">
        <f t="shared" si="2"/>
        <v>2948.820325253</v>
      </c>
      <c r="E68" s="129">
        <v>0</v>
      </c>
      <c r="F68" s="129">
        <v>0</v>
      </c>
      <c r="G68" s="129">
        <v>0</v>
      </c>
      <c r="H68" s="129">
        <v>0</v>
      </c>
      <c r="I68" s="129">
        <v>0</v>
      </c>
      <c r="J68" s="129">
        <v>0</v>
      </c>
      <c r="K68" s="129">
        <v>0</v>
      </c>
      <c r="L68" s="129">
        <v>0</v>
      </c>
      <c r="M68" s="129">
        <v>0</v>
      </c>
      <c r="N68" s="129">
        <v>0</v>
      </c>
      <c r="O68" s="129">
        <v>2783.79821780141</v>
      </c>
      <c r="P68" s="129">
        <v>2071.26721220792</v>
      </c>
      <c r="Q68" s="129">
        <v>0</v>
      </c>
      <c r="R68" s="129">
        <v>0</v>
      </c>
      <c r="S68" s="129">
        <v>1253.79499694731</v>
      </c>
      <c r="T68" s="129">
        <v>378.424891033205</v>
      </c>
      <c r="U68" s="129">
        <v>0</v>
      </c>
      <c r="V68" s="129">
        <v>0</v>
      </c>
      <c r="W68" s="79">
        <v>0</v>
      </c>
      <c r="X68" s="78">
        <v>0</v>
      </c>
      <c r="Y68" s="78">
        <v>0</v>
      </c>
      <c r="Z68" s="78">
        <v>0</v>
      </c>
      <c r="AA68" s="79">
        <v>0</v>
      </c>
      <c r="AB68" s="78">
        <v>0</v>
      </c>
      <c r="AC68" s="79">
        <v>588.595803562808</v>
      </c>
      <c r="AD68" s="78">
        <v>499.12822201188</v>
      </c>
      <c r="AF68" s="144"/>
    </row>
    <row r="69" spans="1:32">
      <c r="A69" s="128" t="s">
        <v>163</v>
      </c>
      <c r="B69" s="143">
        <v>209085.182931985</v>
      </c>
      <c r="C69" s="129">
        <f t="shared" si="3"/>
        <v>4777.19101049577</v>
      </c>
      <c r="D69" s="129">
        <f t="shared" si="2"/>
        <v>1929.9146124934</v>
      </c>
      <c r="E69" s="129">
        <v>79.1242385415964</v>
      </c>
      <c r="F69" s="129">
        <v>154.664088931851</v>
      </c>
      <c r="G69" s="129">
        <v>0</v>
      </c>
      <c r="H69" s="129">
        <v>0</v>
      </c>
      <c r="I69" s="129">
        <v>0</v>
      </c>
      <c r="J69" s="129">
        <v>0</v>
      </c>
      <c r="K69" s="129">
        <v>0</v>
      </c>
      <c r="L69" s="129">
        <v>0</v>
      </c>
      <c r="M69" s="129">
        <v>1004.51713416196</v>
      </c>
      <c r="N69" s="129">
        <v>0</v>
      </c>
      <c r="O69" s="129">
        <v>3310.1232436778</v>
      </c>
      <c r="P69" s="129">
        <v>1775.25052356155</v>
      </c>
      <c r="Q69" s="129">
        <v>0</v>
      </c>
      <c r="R69" s="129">
        <v>0</v>
      </c>
      <c r="S69" s="129">
        <v>0</v>
      </c>
      <c r="T69" s="129">
        <v>0</v>
      </c>
      <c r="U69" s="129">
        <v>0</v>
      </c>
      <c r="V69" s="129">
        <v>0</v>
      </c>
      <c r="W69" s="79">
        <v>0</v>
      </c>
      <c r="X69" s="78">
        <v>0</v>
      </c>
      <c r="Y69" s="78">
        <v>0</v>
      </c>
      <c r="Z69" s="78">
        <v>0</v>
      </c>
      <c r="AA69" s="79">
        <v>0</v>
      </c>
      <c r="AB69" s="78">
        <v>0</v>
      </c>
      <c r="AC69" s="79">
        <v>383.426394114405</v>
      </c>
      <c r="AD69" s="78">
        <v>0</v>
      </c>
      <c r="AF69" s="144"/>
    </row>
    <row r="70" spans="1:32">
      <c r="A70" s="128" t="s">
        <v>165</v>
      </c>
      <c r="B70" s="143">
        <v>1092726.84150138</v>
      </c>
      <c r="C70" s="129">
        <f t="shared" si="3"/>
        <v>73360.6625601277</v>
      </c>
      <c r="D70" s="129">
        <f t="shared" si="2"/>
        <v>70482.4373151616</v>
      </c>
      <c r="E70" s="129">
        <v>0</v>
      </c>
      <c r="F70" s="129">
        <v>0</v>
      </c>
      <c r="G70" s="129">
        <v>46164.4229560498</v>
      </c>
      <c r="H70" s="129">
        <v>42753.4021272225</v>
      </c>
      <c r="I70" s="129">
        <v>0</v>
      </c>
      <c r="J70" s="129">
        <v>0</v>
      </c>
      <c r="K70" s="129">
        <v>1303.81657112613</v>
      </c>
      <c r="L70" s="129">
        <v>515.607524854657</v>
      </c>
      <c r="M70" s="129">
        <v>0</v>
      </c>
      <c r="N70" s="129">
        <v>0</v>
      </c>
      <c r="O70" s="129">
        <v>8117.69194664519</v>
      </c>
      <c r="P70" s="129">
        <v>2603.41368232606</v>
      </c>
      <c r="Q70" s="129">
        <v>11439.1827190147</v>
      </c>
      <c r="R70" s="129">
        <v>7548.23393391858</v>
      </c>
      <c r="S70" s="129">
        <v>0</v>
      </c>
      <c r="T70" s="129">
        <v>0</v>
      </c>
      <c r="U70" s="129">
        <v>0</v>
      </c>
      <c r="V70" s="129">
        <v>0</v>
      </c>
      <c r="W70" s="79">
        <v>0</v>
      </c>
      <c r="X70" s="78">
        <v>0</v>
      </c>
      <c r="Y70" s="78">
        <v>389.37184832428</v>
      </c>
      <c r="Z70" s="78">
        <v>9622.03892755934</v>
      </c>
      <c r="AA70" s="79">
        <v>0</v>
      </c>
      <c r="AB70" s="78">
        <v>0</v>
      </c>
      <c r="AC70" s="79">
        <v>5946.17651896762</v>
      </c>
      <c r="AD70" s="78">
        <v>7439.74111928046</v>
      </c>
      <c r="AF70" s="144"/>
    </row>
    <row r="71" spans="1:32">
      <c r="A71" s="128" t="s">
        <v>167</v>
      </c>
      <c r="B71" s="143">
        <v>238019.027690359</v>
      </c>
      <c r="C71" s="129">
        <f t="shared" si="3"/>
        <v>772.107974210303</v>
      </c>
      <c r="D71" s="129">
        <f t="shared" si="2"/>
        <v>473.032296900929</v>
      </c>
      <c r="E71" s="129">
        <v>0</v>
      </c>
      <c r="F71" s="129">
        <v>0</v>
      </c>
      <c r="G71" s="129">
        <v>0</v>
      </c>
      <c r="H71" s="129">
        <v>0</v>
      </c>
      <c r="I71" s="129">
        <v>0</v>
      </c>
      <c r="J71" s="129">
        <v>0</v>
      </c>
      <c r="K71" s="129">
        <v>0</v>
      </c>
      <c r="L71" s="129">
        <v>0</v>
      </c>
      <c r="M71" s="129">
        <v>0</v>
      </c>
      <c r="N71" s="129">
        <v>0</v>
      </c>
      <c r="O71" s="129">
        <v>0</v>
      </c>
      <c r="P71" s="129">
        <v>0</v>
      </c>
      <c r="Q71" s="129">
        <v>0</v>
      </c>
      <c r="R71" s="129">
        <v>0</v>
      </c>
      <c r="S71" s="129">
        <v>675.120096722069</v>
      </c>
      <c r="T71" s="129">
        <v>473.032296900929</v>
      </c>
      <c r="U71" s="129">
        <v>96.9878774882348</v>
      </c>
      <c r="V71" s="129">
        <v>0</v>
      </c>
      <c r="W71" s="79">
        <v>0</v>
      </c>
      <c r="X71" s="78">
        <v>0</v>
      </c>
      <c r="Y71" s="78">
        <v>0</v>
      </c>
      <c r="Z71" s="78">
        <v>0</v>
      </c>
      <c r="AA71" s="79">
        <v>0</v>
      </c>
      <c r="AB71" s="78">
        <v>0</v>
      </c>
      <c r="AC71" s="79">
        <v>0</v>
      </c>
      <c r="AD71" s="78">
        <v>0</v>
      </c>
      <c r="AF71" s="144"/>
    </row>
    <row r="72" spans="1:32">
      <c r="A72" s="128" t="s">
        <v>169</v>
      </c>
      <c r="B72" s="143">
        <v>385495.952439782</v>
      </c>
      <c r="C72" s="129">
        <f t="shared" si="3"/>
        <v>0</v>
      </c>
      <c r="D72" s="129">
        <f t="shared" si="2"/>
        <v>0</v>
      </c>
      <c r="E72" s="129">
        <v>0</v>
      </c>
      <c r="F72" s="129">
        <v>0</v>
      </c>
      <c r="G72" s="129">
        <v>0</v>
      </c>
      <c r="H72" s="129">
        <v>0</v>
      </c>
      <c r="I72" s="129">
        <v>0</v>
      </c>
      <c r="J72" s="129">
        <v>0</v>
      </c>
      <c r="K72" s="129">
        <v>0</v>
      </c>
      <c r="L72" s="129">
        <v>0</v>
      </c>
      <c r="M72" s="129">
        <v>0</v>
      </c>
      <c r="N72" s="129">
        <v>0</v>
      </c>
      <c r="O72" s="129">
        <v>0</v>
      </c>
      <c r="P72" s="129">
        <v>0</v>
      </c>
      <c r="Q72" s="129">
        <v>0</v>
      </c>
      <c r="R72" s="129">
        <v>0</v>
      </c>
      <c r="S72" s="129">
        <v>0</v>
      </c>
      <c r="T72" s="129">
        <v>0</v>
      </c>
      <c r="U72" s="129">
        <v>0</v>
      </c>
      <c r="V72" s="129">
        <v>0</v>
      </c>
      <c r="W72" s="79">
        <v>0</v>
      </c>
      <c r="X72" s="78">
        <v>0</v>
      </c>
      <c r="Y72" s="78">
        <v>0</v>
      </c>
      <c r="Z72" s="78">
        <v>0</v>
      </c>
      <c r="AA72" s="79">
        <v>0</v>
      </c>
      <c r="AB72" s="78">
        <v>0</v>
      </c>
      <c r="AC72" s="79">
        <v>0</v>
      </c>
      <c r="AD72" s="78">
        <v>0</v>
      </c>
      <c r="AF72" s="144"/>
    </row>
    <row r="73" spans="1:32">
      <c r="A73" s="128" t="s">
        <v>171</v>
      </c>
      <c r="B73" s="143">
        <v>283868.478829384</v>
      </c>
      <c r="C73" s="129">
        <f t="shared" si="3"/>
        <v>1506.77762173533</v>
      </c>
      <c r="D73" s="129">
        <f t="shared" si="2"/>
        <v>77.3320444659256</v>
      </c>
      <c r="E73" s="129">
        <v>0</v>
      </c>
      <c r="F73" s="129">
        <v>0</v>
      </c>
      <c r="G73" s="129">
        <v>0</v>
      </c>
      <c r="H73" s="129">
        <v>0</v>
      </c>
      <c r="I73" s="129">
        <v>0</v>
      </c>
      <c r="J73" s="129">
        <v>0</v>
      </c>
      <c r="K73" s="129">
        <v>0</v>
      </c>
      <c r="L73" s="129">
        <v>0</v>
      </c>
      <c r="M73" s="129">
        <v>1506.77762173533</v>
      </c>
      <c r="N73" s="129">
        <v>0</v>
      </c>
      <c r="O73" s="129">
        <v>0</v>
      </c>
      <c r="P73" s="129">
        <v>0</v>
      </c>
      <c r="Q73" s="129">
        <v>0</v>
      </c>
      <c r="R73" s="129">
        <v>0</v>
      </c>
      <c r="S73" s="129">
        <v>0</v>
      </c>
      <c r="T73" s="129">
        <v>0</v>
      </c>
      <c r="U73" s="129">
        <v>0</v>
      </c>
      <c r="V73" s="129">
        <v>0</v>
      </c>
      <c r="W73" s="79">
        <v>0</v>
      </c>
      <c r="X73" s="78">
        <v>0</v>
      </c>
      <c r="Y73" s="78">
        <v>0</v>
      </c>
      <c r="Z73" s="78">
        <v>0</v>
      </c>
      <c r="AA73" s="79">
        <v>0</v>
      </c>
      <c r="AB73" s="78">
        <v>0</v>
      </c>
      <c r="AC73" s="79">
        <v>0</v>
      </c>
      <c r="AD73" s="78">
        <v>77.3320444659256</v>
      </c>
      <c r="AF73" s="144"/>
    </row>
    <row r="74" spans="1:32">
      <c r="A74" s="128" t="s">
        <v>173</v>
      </c>
      <c r="B74" s="143">
        <v>204304.859370841</v>
      </c>
      <c r="C74" s="129">
        <f t="shared" si="3"/>
        <v>1806.71072131859</v>
      </c>
      <c r="D74" s="129">
        <f t="shared" si="2"/>
        <v>259.678187225867</v>
      </c>
      <c r="E74" s="129">
        <v>279.407467350012</v>
      </c>
      <c r="F74" s="129">
        <v>0</v>
      </c>
      <c r="G74" s="129">
        <v>0</v>
      </c>
      <c r="H74" s="129">
        <v>0</v>
      </c>
      <c r="I74" s="129">
        <v>0</v>
      </c>
      <c r="J74" s="129">
        <v>0</v>
      </c>
      <c r="K74" s="129">
        <v>0</v>
      </c>
      <c r="L74" s="129">
        <v>0</v>
      </c>
      <c r="M74" s="129">
        <v>0</v>
      </c>
      <c r="N74" s="129">
        <v>0</v>
      </c>
      <c r="O74" s="129">
        <v>0</v>
      </c>
      <c r="P74" s="129">
        <v>0</v>
      </c>
      <c r="Q74" s="129">
        <v>0</v>
      </c>
      <c r="R74" s="129">
        <v>0</v>
      </c>
      <c r="S74" s="129">
        <v>0</v>
      </c>
      <c r="T74" s="129">
        <v>0</v>
      </c>
      <c r="U74" s="129">
        <v>0</v>
      </c>
      <c r="V74" s="129">
        <v>107.395131095284</v>
      </c>
      <c r="W74" s="79">
        <v>0</v>
      </c>
      <c r="X74" s="78">
        <v>0</v>
      </c>
      <c r="Y74" s="78">
        <v>0</v>
      </c>
      <c r="Z74" s="78">
        <v>0</v>
      </c>
      <c r="AA74" s="79">
        <v>0</v>
      </c>
      <c r="AB74" s="78">
        <v>0</v>
      </c>
      <c r="AC74" s="79">
        <v>1527.30325396858</v>
      </c>
      <c r="AD74" s="78">
        <v>152.283056130583</v>
      </c>
      <c r="AF74" s="144"/>
    </row>
    <row r="75" spans="1:32">
      <c r="A75" s="128" t="s">
        <v>175</v>
      </c>
      <c r="B75" s="143">
        <v>241414.437860003</v>
      </c>
      <c r="C75" s="129">
        <f t="shared" si="3"/>
        <v>2027.58341422428</v>
      </c>
      <c r="D75" s="129">
        <f t="shared" si="2"/>
        <v>760.289858973117</v>
      </c>
      <c r="E75" s="129">
        <v>0</v>
      </c>
      <c r="F75" s="129">
        <v>0</v>
      </c>
      <c r="G75" s="129">
        <v>0</v>
      </c>
      <c r="H75" s="129">
        <v>0</v>
      </c>
      <c r="I75" s="129">
        <v>0</v>
      </c>
      <c r="J75" s="129">
        <v>0</v>
      </c>
      <c r="K75" s="129">
        <v>0</v>
      </c>
      <c r="L75" s="129">
        <v>0</v>
      </c>
      <c r="M75" s="129">
        <v>83.709652942061</v>
      </c>
      <c r="N75" s="129">
        <v>0</v>
      </c>
      <c r="O75" s="129">
        <v>1730.48680435885</v>
      </c>
      <c r="P75" s="129">
        <v>665.683866972301</v>
      </c>
      <c r="Q75" s="129">
        <v>0</v>
      </c>
      <c r="R75" s="129">
        <v>0</v>
      </c>
      <c r="S75" s="129">
        <v>0</v>
      </c>
      <c r="T75" s="129">
        <v>94.6059920008165</v>
      </c>
      <c r="U75" s="129">
        <v>213.386956923369</v>
      </c>
      <c r="V75" s="129">
        <v>0</v>
      </c>
      <c r="W75" s="79">
        <v>0</v>
      </c>
      <c r="X75" s="78">
        <v>0</v>
      </c>
      <c r="Y75" s="78">
        <v>0</v>
      </c>
      <c r="Z75" s="78">
        <v>0</v>
      </c>
      <c r="AA75" s="79">
        <v>0</v>
      </c>
      <c r="AB75" s="78">
        <v>0</v>
      </c>
      <c r="AC75" s="79">
        <v>0</v>
      </c>
      <c r="AD75" s="78">
        <v>0</v>
      </c>
      <c r="AF75" s="144"/>
    </row>
    <row r="76" spans="1:32">
      <c r="A76" s="128" t="s">
        <v>177</v>
      </c>
      <c r="B76" s="143">
        <v>165874.190168992</v>
      </c>
      <c r="C76" s="129">
        <f t="shared" si="3"/>
        <v>0</v>
      </c>
      <c r="D76" s="129">
        <f t="shared" si="2"/>
        <v>0</v>
      </c>
      <c r="E76" s="129">
        <v>0</v>
      </c>
      <c r="F76" s="129">
        <v>0</v>
      </c>
      <c r="G76" s="129">
        <v>0</v>
      </c>
      <c r="H76" s="129">
        <v>0</v>
      </c>
      <c r="I76" s="129">
        <v>0</v>
      </c>
      <c r="J76" s="129">
        <v>0</v>
      </c>
      <c r="K76" s="129">
        <v>0</v>
      </c>
      <c r="L76" s="129">
        <v>0</v>
      </c>
      <c r="M76" s="129">
        <v>0</v>
      </c>
      <c r="N76" s="129">
        <v>0</v>
      </c>
      <c r="O76" s="129">
        <v>0</v>
      </c>
      <c r="P76" s="129">
        <v>0</v>
      </c>
      <c r="Q76" s="129">
        <v>0</v>
      </c>
      <c r="R76" s="129">
        <v>0</v>
      </c>
      <c r="S76" s="129">
        <v>0</v>
      </c>
      <c r="T76" s="129">
        <v>0</v>
      </c>
      <c r="U76" s="129">
        <v>0</v>
      </c>
      <c r="V76" s="129">
        <v>0</v>
      </c>
      <c r="W76" s="79">
        <v>0</v>
      </c>
      <c r="X76" s="78">
        <v>0</v>
      </c>
      <c r="Y76" s="78">
        <v>0</v>
      </c>
      <c r="Z76" s="78">
        <v>0</v>
      </c>
      <c r="AA76" s="79">
        <v>0</v>
      </c>
      <c r="AB76" s="78">
        <v>0</v>
      </c>
      <c r="AC76" s="79">
        <v>0</v>
      </c>
      <c r="AD76" s="78">
        <v>0</v>
      </c>
      <c r="AF76" s="144"/>
    </row>
    <row r="77" spans="1:32">
      <c r="A77" s="128" t="s">
        <v>179</v>
      </c>
      <c r="B77" s="143">
        <v>160857.783909887</v>
      </c>
      <c r="C77" s="129">
        <f t="shared" si="3"/>
        <v>2076.29417397089</v>
      </c>
      <c r="D77" s="129">
        <f t="shared" si="2"/>
        <v>2437.31810109121</v>
      </c>
      <c r="E77" s="129">
        <v>93.9600332681458</v>
      </c>
      <c r="F77" s="129">
        <v>367.327211213146</v>
      </c>
      <c r="G77" s="129">
        <v>0</v>
      </c>
      <c r="H77" s="129">
        <v>0</v>
      </c>
      <c r="I77" s="129">
        <v>0</v>
      </c>
      <c r="J77" s="129">
        <v>0</v>
      </c>
      <c r="K77" s="129">
        <v>0</v>
      </c>
      <c r="L77" s="129">
        <v>0</v>
      </c>
      <c r="M77" s="129">
        <v>969.272502605259</v>
      </c>
      <c r="N77" s="129">
        <v>0</v>
      </c>
      <c r="O77" s="129">
        <v>0</v>
      </c>
      <c r="P77" s="129">
        <v>0</v>
      </c>
      <c r="Q77" s="129">
        <v>0</v>
      </c>
      <c r="R77" s="129">
        <v>0</v>
      </c>
      <c r="S77" s="129">
        <v>243.235033681657</v>
      </c>
      <c r="T77" s="129">
        <v>238.597315838687</v>
      </c>
      <c r="U77" s="129">
        <v>581.906537879534</v>
      </c>
      <c r="V77" s="129">
        <v>439.32135176886</v>
      </c>
      <c r="W77" s="79">
        <v>0</v>
      </c>
      <c r="X77" s="78">
        <v>0</v>
      </c>
      <c r="Y77" s="78">
        <v>0</v>
      </c>
      <c r="Z77" s="78">
        <v>0</v>
      </c>
      <c r="AA77" s="79">
        <v>0</v>
      </c>
      <c r="AB77" s="78">
        <v>0</v>
      </c>
      <c r="AC77" s="79">
        <v>187.920066536292</v>
      </c>
      <c r="AD77" s="78">
        <v>1392.07222227051</v>
      </c>
      <c r="AF77" s="144"/>
    </row>
    <row r="78" spans="1:32">
      <c r="A78" s="128" t="s">
        <v>181</v>
      </c>
      <c r="B78" s="143">
        <v>198293.845996062</v>
      </c>
      <c r="C78" s="129">
        <f t="shared" si="3"/>
        <v>367.728839951062</v>
      </c>
      <c r="D78" s="129">
        <f t="shared" si="2"/>
        <v>202.546058136823</v>
      </c>
      <c r="E78" s="129">
        <v>0</v>
      </c>
      <c r="F78" s="129">
        <v>0</v>
      </c>
      <c r="G78" s="129">
        <v>0</v>
      </c>
      <c r="H78" s="129">
        <v>0</v>
      </c>
      <c r="I78" s="129">
        <v>0</v>
      </c>
      <c r="J78" s="129">
        <v>0</v>
      </c>
      <c r="K78" s="129">
        <v>0</v>
      </c>
      <c r="L78" s="129">
        <v>0</v>
      </c>
      <c r="M78" s="129">
        <v>0</v>
      </c>
      <c r="N78" s="129">
        <v>0</v>
      </c>
      <c r="O78" s="129">
        <v>0</v>
      </c>
      <c r="P78" s="129">
        <v>0</v>
      </c>
      <c r="Q78" s="129">
        <v>0</v>
      </c>
      <c r="R78" s="129">
        <v>0</v>
      </c>
      <c r="S78" s="129">
        <v>0</v>
      </c>
      <c r="T78" s="129">
        <v>0</v>
      </c>
      <c r="U78" s="129">
        <v>0</v>
      </c>
      <c r="V78" s="129">
        <v>0</v>
      </c>
      <c r="W78" s="79">
        <v>0</v>
      </c>
      <c r="X78" s="78">
        <v>0</v>
      </c>
      <c r="Y78" s="78">
        <v>0</v>
      </c>
      <c r="Z78" s="78">
        <v>0</v>
      </c>
      <c r="AA78" s="79">
        <v>0</v>
      </c>
      <c r="AB78" s="78">
        <v>0</v>
      </c>
      <c r="AC78" s="79">
        <v>367.728839951062</v>
      </c>
      <c r="AD78" s="78">
        <v>202.546058136823</v>
      </c>
      <c r="AF78" s="144"/>
    </row>
    <row r="79" spans="1:32">
      <c r="A79" s="128" t="s">
        <v>183</v>
      </c>
      <c r="B79" s="143">
        <v>89501.6258662407</v>
      </c>
      <c r="C79" s="129">
        <f t="shared" si="3"/>
        <v>4367.37155121138</v>
      </c>
      <c r="D79" s="129">
        <f t="shared" si="2"/>
        <v>3076.88515302425</v>
      </c>
      <c r="E79" s="129">
        <v>0</v>
      </c>
      <c r="F79" s="129">
        <v>0</v>
      </c>
      <c r="G79" s="129">
        <v>0</v>
      </c>
      <c r="H79" s="129">
        <v>0</v>
      </c>
      <c r="I79" s="129">
        <v>203.908223059306</v>
      </c>
      <c r="J79" s="129">
        <v>200.798346555759</v>
      </c>
      <c r="K79" s="129">
        <v>0</v>
      </c>
      <c r="L79" s="129">
        <v>0</v>
      </c>
      <c r="M79" s="129">
        <v>4163.46332815207</v>
      </c>
      <c r="N79" s="129">
        <v>1866.37216370553</v>
      </c>
      <c r="O79" s="129">
        <v>0</v>
      </c>
      <c r="P79" s="129">
        <v>0</v>
      </c>
      <c r="Q79" s="129">
        <v>0</v>
      </c>
      <c r="R79" s="129">
        <v>0</v>
      </c>
      <c r="S79" s="129">
        <v>0</v>
      </c>
      <c r="T79" s="129">
        <v>0</v>
      </c>
      <c r="U79" s="129">
        <v>0</v>
      </c>
      <c r="V79" s="129">
        <v>0</v>
      </c>
      <c r="W79" s="79">
        <v>0</v>
      </c>
      <c r="X79" s="78">
        <v>0</v>
      </c>
      <c r="Y79" s="78">
        <v>0</v>
      </c>
      <c r="Z79" s="78">
        <v>0</v>
      </c>
      <c r="AA79" s="79">
        <v>0</v>
      </c>
      <c r="AB79" s="78">
        <v>0</v>
      </c>
      <c r="AC79" s="79">
        <v>0</v>
      </c>
      <c r="AD79" s="78">
        <v>1009.71464276296</v>
      </c>
      <c r="AF79" s="144"/>
    </row>
    <row r="80" spans="1:32">
      <c r="A80" s="128" t="s">
        <v>185</v>
      </c>
      <c r="B80" s="143">
        <v>150019.117058598</v>
      </c>
      <c r="C80" s="129">
        <f t="shared" si="3"/>
        <v>24066.3422696027</v>
      </c>
      <c r="D80" s="129">
        <f t="shared" si="2"/>
        <v>5143.69359290756</v>
      </c>
      <c r="E80" s="129">
        <v>0</v>
      </c>
      <c r="F80" s="129">
        <v>0</v>
      </c>
      <c r="G80" s="129">
        <v>0</v>
      </c>
      <c r="H80" s="129">
        <v>0</v>
      </c>
      <c r="I80" s="129">
        <v>0</v>
      </c>
      <c r="J80" s="129">
        <v>0</v>
      </c>
      <c r="K80" s="129">
        <v>0</v>
      </c>
      <c r="L80" s="129">
        <v>0</v>
      </c>
      <c r="M80" s="129">
        <v>0</v>
      </c>
      <c r="N80" s="129">
        <v>0</v>
      </c>
      <c r="O80" s="129">
        <v>0</v>
      </c>
      <c r="P80" s="129">
        <v>0</v>
      </c>
      <c r="Q80" s="129">
        <v>0</v>
      </c>
      <c r="R80" s="129">
        <v>0</v>
      </c>
      <c r="S80" s="129">
        <v>0</v>
      </c>
      <c r="T80" s="129">
        <v>0</v>
      </c>
      <c r="U80" s="129">
        <v>0</v>
      </c>
      <c r="V80" s="129">
        <v>0</v>
      </c>
      <c r="W80" s="79">
        <v>0</v>
      </c>
      <c r="X80" s="78">
        <v>0</v>
      </c>
      <c r="Y80" s="78">
        <v>0</v>
      </c>
      <c r="Z80" s="78">
        <v>0</v>
      </c>
      <c r="AA80" s="79">
        <v>0</v>
      </c>
      <c r="AB80" s="78">
        <v>0</v>
      </c>
      <c r="AC80" s="79">
        <v>24066.3422696027</v>
      </c>
      <c r="AD80" s="78">
        <v>5143.69359290756</v>
      </c>
      <c r="AF80" s="144"/>
    </row>
    <row r="81" spans="1:32">
      <c r="A81" s="128" t="s">
        <v>187</v>
      </c>
      <c r="B81" s="143">
        <v>112994.645066229</v>
      </c>
      <c r="C81" s="129">
        <f t="shared" si="3"/>
        <v>385.77895686351</v>
      </c>
      <c r="D81" s="129">
        <f t="shared" si="2"/>
        <v>1662.40851083452</v>
      </c>
      <c r="E81" s="129">
        <v>0</v>
      </c>
      <c r="F81" s="129">
        <v>154.668614958325</v>
      </c>
      <c r="G81" s="129">
        <v>0</v>
      </c>
      <c r="H81" s="129">
        <v>0</v>
      </c>
      <c r="I81" s="129">
        <v>0</v>
      </c>
      <c r="J81" s="129">
        <v>0</v>
      </c>
      <c r="K81" s="129">
        <v>0</v>
      </c>
      <c r="L81" s="129">
        <v>0</v>
      </c>
      <c r="M81" s="129">
        <v>0</v>
      </c>
      <c r="N81" s="129">
        <v>0</v>
      </c>
      <c r="O81" s="129">
        <v>0</v>
      </c>
      <c r="P81" s="129">
        <v>0</v>
      </c>
      <c r="Q81" s="129">
        <v>0</v>
      </c>
      <c r="R81" s="129">
        <v>0</v>
      </c>
      <c r="S81" s="129">
        <v>385.77895686351</v>
      </c>
      <c r="T81" s="129">
        <v>82.2604002108432</v>
      </c>
      <c r="U81" s="129">
        <v>0</v>
      </c>
      <c r="V81" s="129">
        <v>0</v>
      </c>
      <c r="W81" s="79">
        <v>0</v>
      </c>
      <c r="X81" s="78">
        <v>0</v>
      </c>
      <c r="Y81" s="78">
        <v>0</v>
      </c>
      <c r="Z81" s="78">
        <v>0</v>
      </c>
      <c r="AA81" s="79">
        <v>0</v>
      </c>
      <c r="AB81" s="78">
        <v>0</v>
      </c>
      <c r="AC81" s="79">
        <v>0</v>
      </c>
      <c r="AD81" s="78">
        <v>1425.47949566535</v>
      </c>
      <c r="AF81" s="144"/>
    </row>
    <row r="82" spans="1:32">
      <c r="A82" s="128" t="s">
        <v>189</v>
      </c>
      <c r="B82" s="143">
        <v>175557.699901261</v>
      </c>
      <c r="C82" s="129">
        <f t="shared" si="3"/>
        <v>1789.35690906488</v>
      </c>
      <c r="D82" s="129">
        <f t="shared" si="2"/>
        <v>394.290552679641</v>
      </c>
      <c r="E82" s="129">
        <v>267.044305077888</v>
      </c>
      <c r="F82" s="129">
        <v>65.2489125181247</v>
      </c>
      <c r="G82" s="129">
        <v>0</v>
      </c>
      <c r="H82" s="129">
        <v>0</v>
      </c>
      <c r="I82" s="129">
        <v>0</v>
      </c>
      <c r="J82" s="129">
        <v>0</v>
      </c>
      <c r="K82" s="129">
        <v>0</v>
      </c>
      <c r="L82" s="129">
        <v>0</v>
      </c>
      <c r="M82" s="129">
        <v>0</v>
      </c>
      <c r="N82" s="129">
        <v>0</v>
      </c>
      <c r="O82" s="129">
        <v>0</v>
      </c>
      <c r="P82" s="129">
        <v>0</v>
      </c>
      <c r="Q82" s="129">
        <v>0</v>
      </c>
      <c r="R82" s="129">
        <v>0</v>
      </c>
      <c r="S82" s="129">
        <v>251.577387290095</v>
      </c>
      <c r="T82" s="129">
        <v>329.041640161516</v>
      </c>
      <c r="U82" s="129">
        <v>0</v>
      </c>
      <c r="V82" s="129">
        <v>0</v>
      </c>
      <c r="W82" s="79">
        <v>0</v>
      </c>
      <c r="X82" s="78">
        <v>0</v>
      </c>
      <c r="Y82" s="78">
        <v>0</v>
      </c>
      <c r="Z82" s="78">
        <v>0</v>
      </c>
      <c r="AA82" s="79">
        <v>0</v>
      </c>
      <c r="AB82" s="78">
        <v>0</v>
      </c>
      <c r="AC82" s="79">
        <v>1270.7352166969</v>
      </c>
      <c r="AD82" s="78">
        <v>0</v>
      </c>
      <c r="AF82" s="144"/>
    </row>
    <row r="83" spans="1:32">
      <c r="A83" s="128" t="s">
        <v>191</v>
      </c>
      <c r="B83" s="143">
        <v>123164.238480626</v>
      </c>
      <c r="C83" s="129">
        <f t="shared" si="3"/>
        <v>601.820404435421</v>
      </c>
      <c r="D83" s="129">
        <f t="shared" si="2"/>
        <v>533.087101771905</v>
      </c>
      <c r="E83" s="129">
        <v>0</v>
      </c>
      <c r="F83" s="129">
        <v>154.664088931851</v>
      </c>
      <c r="G83" s="129">
        <v>0</v>
      </c>
      <c r="H83" s="129">
        <v>0</v>
      </c>
      <c r="I83" s="129">
        <v>0</v>
      </c>
      <c r="J83" s="129">
        <v>0</v>
      </c>
      <c r="K83" s="129">
        <v>0</v>
      </c>
      <c r="L83" s="129">
        <v>0</v>
      </c>
      <c r="M83" s="129">
        <v>0</v>
      </c>
      <c r="N83" s="129">
        <v>0</v>
      </c>
      <c r="O83" s="129">
        <v>601.820404435421</v>
      </c>
      <c r="P83" s="129">
        <v>0</v>
      </c>
      <c r="Q83" s="129">
        <v>0</v>
      </c>
      <c r="R83" s="129">
        <v>0</v>
      </c>
      <c r="S83" s="129">
        <v>0</v>
      </c>
      <c r="T83" s="129">
        <v>378.423012840054</v>
      </c>
      <c r="U83" s="129">
        <v>0</v>
      </c>
      <c r="V83" s="129">
        <v>0</v>
      </c>
      <c r="W83" s="79">
        <v>0</v>
      </c>
      <c r="X83" s="78">
        <v>0</v>
      </c>
      <c r="Y83" s="78">
        <v>0</v>
      </c>
      <c r="Z83" s="78">
        <v>0</v>
      </c>
      <c r="AA83" s="79">
        <v>0</v>
      </c>
      <c r="AB83" s="78">
        <v>0</v>
      </c>
      <c r="AC83" s="79">
        <v>0</v>
      </c>
      <c r="AD83" s="78">
        <v>0</v>
      </c>
      <c r="AF83" s="144"/>
    </row>
    <row r="84" spans="1:32">
      <c r="A84" s="128" t="s">
        <v>193</v>
      </c>
      <c r="B84" s="143">
        <v>72994.5516013966</v>
      </c>
      <c r="C84" s="129">
        <f t="shared" si="3"/>
        <v>1049.76945102463</v>
      </c>
      <c r="D84" s="129">
        <f t="shared" si="2"/>
        <v>3055.39133697184</v>
      </c>
      <c r="E84" s="129">
        <v>395.621192707982</v>
      </c>
      <c r="F84" s="129">
        <v>0</v>
      </c>
      <c r="G84" s="129">
        <v>0</v>
      </c>
      <c r="H84" s="129">
        <v>0</v>
      </c>
      <c r="I84" s="129">
        <v>0</v>
      </c>
      <c r="J84" s="129">
        <v>0</v>
      </c>
      <c r="K84" s="129">
        <v>0</v>
      </c>
      <c r="L84" s="129">
        <v>0</v>
      </c>
      <c r="M84" s="129">
        <v>0</v>
      </c>
      <c r="N84" s="129">
        <v>0</v>
      </c>
      <c r="O84" s="129">
        <v>0</v>
      </c>
      <c r="P84" s="129">
        <v>0</v>
      </c>
      <c r="Q84" s="129">
        <v>0</v>
      </c>
      <c r="R84" s="129">
        <v>0</v>
      </c>
      <c r="S84" s="129">
        <v>578.670038544525</v>
      </c>
      <c r="T84" s="129">
        <v>473.032057535156</v>
      </c>
      <c r="U84" s="129">
        <v>0</v>
      </c>
      <c r="V84" s="129">
        <v>0</v>
      </c>
      <c r="W84" s="79">
        <v>0</v>
      </c>
      <c r="X84" s="78">
        <v>0</v>
      </c>
      <c r="Y84" s="78">
        <v>0</v>
      </c>
      <c r="Z84" s="78">
        <v>0</v>
      </c>
      <c r="AA84" s="79">
        <v>0</v>
      </c>
      <c r="AB84" s="78">
        <v>0</v>
      </c>
      <c r="AC84" s="79">
        <v>75.4782197721193</v>
      </c>
      <c r="AD84" s="78">
        <v>2582.35927943668</v>
      </c>
      <c r="AF84" s="144"/>
    </row>
    <row r="85" spans="1:32">
      <c r="A85" s="128" t="s">
        <v>195</v>
      </c>
      <c r="B85" s="143">
        <v>43236.6305290454</v>
      </c>
      <c r="C85" s="129">
        <f t="shared" si="3"/>
        <v>0</v>
      </c>
      <c r="D85" s="129">
        <f t="shared" si="2"/>
        <v>0</v>
      </c>
      <c r="E85" s="129">
        <v>0</v>
      </c>
      <c r="F85" s="129">
        <v>0</v>
      </c>
      <c r="G85" s="129">
        <v>0</v>
      </c>
      <c r="H85" s="129">
        <v>0</v>
      </c>
      <c r="I85" s="129">
        <v>0</v>
      </c>
      <c r="J85" s="129">
        <v>0</v>
      </c>
      <c r="K85" s="129">
        <v>0</v>
      </c>
      <c r="L85" s="129">
        <v>0</v>
      </c>
      <c r="M85" s="129">
        <v>0</v>
      </c>
      <c r="N85" s="129">
        <v>0</v>
      </c>
      <c r="O85" s="129">
        <v>0</v>
      </c>
      <c r="P85" s="129">
        <v>0</v>
      </c>
      <c r="Q85" s="129">
        <v>0</v>
      </c>
      <c r="R85" s="129">
        <v>0</v>
      </c>
      <c r="S85" s="129">
        <v>0</v>
      </c>
      <c r="T85" s="129">
        <v>0</v>
      </c>
      <c r="U85" s="129">
        <v>0</v>
      </c>
      <c r="V85" s="129">
        <v>0</v>
      </c>
      <c r="W85" s="79">
        <v>0</v>
      </c>
      <c r="X85" s="78">
        <v>0</v>
      </c>
      <c r="Y85" s="78">
        <v>0</v>
      </c>
      <c r="Z85" s="78">
        <v>0</v>
      </c>
      <c r="AA85" s="79">
        <v>0</v>
      </c>
      <c r="AB85" s="78">
        <v>0</v>
      </c>
      <c r="AC85" s="79">
        <v>0</v>
      </c>
      <c r="AD85" s="78">
        <v>0</v>
      </c>
      <c r="AF85" s="144"/>
    </row>
    <row r="86" spans="1:32">
      <c r="A86" s="128" t="s">
        <v>305</v>
      </c>
      <c r="B86" s="143">
        <v>9831444.72849882</v>
      </c>
      <c r="C86" s="129">
        <f t="shared" si="3"/>
        <v>362727.238978264</v>
      </c>
      <c r="D86" s="129">
        <f t="shared" si="2"/>
        <v>337371.816698421</v>
      </c>
      <c r="E86" s="129">
        <v>87862.4463790908</v>
      </c>
      <c r="F86" s="129">
        <v>74050.7607196443</v>
      </c>
      <c r="G86" s="129">
        <v>73847.8117784729</v>
      </c>
      <c r="H86" s="129">
        <v>55810.0118115106</v>
      </c>
      <c r="I86" s="129">
        <v>36092.3899225376</v>
      </c>
      <c r="J86" s="129">
        <v>30690.7408168525</v>
      </c>
      <c r="K86" s="129">
        <v>9039.16282089276</v>
      </c>
      <c r="L86" s="129">
        <v>10175.7806126347</v>
      </c>
      <c r="M86" s="129">
        <v>0</v>
      </c>
      <c r="N86" s="129">
        <v>3292.81168783715</v>
      </c>
      <c r="O86" s="129">
        <v>0</v>
      </c>
      <c r="P86" s="129">
        <v>0</v>
      </c>
      <c r="Q86" s="129">
        <v>31089.267102959</v>
      </c>
      <c r="R86" s="129">
        <v>21240.3792093988</v>
      </c>
      <c r="S86" s="129">
        <v>3761.36415334415</v>
      </c>
      <c r="T86" s="129">
        <v>42038.4370768588</v>
      </c>
      <c r="U86" s="129">
        <v>102532.195453505</v>
      </c>
      <c r="V86" s="129">
        <v>81624.2322079083</v>
      </c>
      <c r="W86" s="79">
        <v>0</v>
      </c>
      <c r="X86" s="78">
        <v>0</v>
      </c>
      <c r="Y86" s="78">
        <v>0</v>
      </c>
      <c r="Z86" s="78">
        <v>4418.9640419564</v>
      </c>
      <c r="AA86" s="79">
        <v>0</v>
      </c>
      <c r="AB86" s="78">
        <v>0</v>
      </c>
      <c r="AC86" s="79">
        <v>18502.6013674619</v>
      </c>
      <c r="AD86" s="78">
        <v>14029.6985138195</v>
      </c>
      <c r="AF86" s="144"/>
    </row>
    <row r="87" spans="1:32">
      <c r="A87" s="128" t="s">
        <v>199</v>
      </c>
      <c r="B87" s="143">
        <v>98747.7928253841</v>
      </c>
      <c r="C87" s="129">
        <f t="shared" si="3"/>
        <v>971.340157373758</v>
      </c>
      <c r="D87" s="129">
        <f t="shared" si="2"/>
        <v>1085.87328710826</v>
      </c>
      <c r="E87" s="129">
        <v>0</v>
      </c>
      <c r="F87" s="129">
        <v>0</v>
      </c>
      <c r="G87" s="129">
        <v>0</v>
      </c>
      <c r="H87" s="129">
        <v>0</v>
      </c>
      <c r="I87" s="129">
        <v>0</v>
      </c>
      <c r="J87" s="129">
        <v>297.524620622149</v>
      </c>
      <c r="K87" s="129">
        <v>0</v>
      </c>
      <c r="L87" s="129">
        <v>0</v>
      </c>
      <c r="M87" s="129">
        <v>462.607307805594</v>
      </c>
      <c r="N87" s="129">
        <v>466.59331304221</v>
      </c>
      <c r="O87" s="129">
        <v>300.943115389541</v>
      </c>
      <c r="P87" s="129">
        <v>0</v>
      </c>
      <c r="Q87" s="129">
        <v>0</v>
      </c>
      <c r="R87" s="129">
        <v>0</v>
      </c>
      <c r="S87" s="129">
        <v>0</v>
      </c>
      <c r="T87" s="129">
        <v>0</v>
      </c>
      <c r="U87" s="129">
        <v>0</v>
      </c>
      <c r="V87" s="129">
        <v>0</v>
      </c>
      <c r="W87" s="79">
        <v>0</v>
      </c>
      <c r="X87" s="78">
        <v>0</v>
      </c>
      <c r="Y87" s="78">
        <v>0</v>
      </c>
      <c r="Z87" s="78">
        <v>0</v>
      </c>
      <c r="AA87" s="79">
        <v>0</v>
      </c>
      <c r="AB87" s="78">
        <v>0</v>
      </c>
      <c r="AC87" s="79">
        <v>207.789734178623</v>
      </c>
      <c r="AD87" s="78">
        <v>321.7553534439</v>
      </c>
      <c r="AF87" s="144"/>
    </row>
    <row r="88" spans="1:32">
      <c r="A88" s="128" t="s">
        <v>201</v>
      </c>
      <c r="B88" s="143">
        <v>32645.784404646</v>
      </c>
      <c r="C88" s="129">
        <f t="shared" si="3"/>
        <v>0</v>
      </c>
      <c r="D88" s="129">
        <f t="shared" si="2"/>
        <v>0</v>
      </c>
      <c r="E88" s="129">
        <v>0</v>
      </c>
      <c r="F88" s="129">
        <v>0</v>
      </c>
      <c r="G88" s="129">
        <v>0</v>
      </c>
      <c r="H88" s="129">
        <v>0</v>
      </c>
      <c r="I88" s="129">
        <v>0</v>
      </c>
      <c r="J88" s="129">
        <v>0</v>
      </c>
      <c r="K88" s="129">
        <v>0</v>
      </c>
      <c r="L88" s="129">
        <v>0</v>
      </c>
      <c r="M88" s="129">
        <v>0</v>
      </c>
      <c r="N88" s="129">
        <v>0</v>
      </c>
      <c r="O88" s="129">
        <v>0</v>
      </c>
      <c r="P88" s="129">
        <v>0</v>
      </c>
      <c r="Q88" s="129">
        <v>0</v>
      </c>
      <c r="R88" s="129">
        <v>0</v>
      </c>
      <c r="S88" s="129">
        <v>0</v>
      </c>
      <c r="T88" s="129">
        <v>0</v>
      </c>
      <c r="U88" s="129">
        <v>0</v>
      </c>
      <c r="V88" s="129">
        <v>0</v>
      </c>
      <c r="W88" s="79">
        <v>0</v>
      </c>
      <c r="X88" s="78">
        <v>0</v>
      </c>
      <c r="Y88" s="78">
        <v>0</v>
      </c>
      <c r="Z88" s="78">
        <v>0</v>
      </c>
      <c r="AA88" s="79">
        <v>0</v>
      </c>
      <c r="AB88" s="78">
        <v>0</v>
      </c>
      <c r="AC88" s="79">
        <v>0</v>
      </c>
      <c r="AD88" s="78">
        <v>0</v>
      </c>
      <c r="AF88" s="144"/>
    </row>
    <row r="89" spans="1:32">
      <c r="A89" s="128" t="s">
        <v>203</v>
      </c>
      <c r="B89" s="143">
        <v>37166.6078660741</v>
      </c>
      <c r="C89" s="129">
        <f t="shared" si="3"/>
        <v>0</v>
      </c>
      <c r="D89" s="129">
        <f t="shared" si="2"/>
        <v>0</v>
      </c>
      <c r="E89" s="129">
        <v>0</v>
      </c>
      <c r="F89" s="129">
        <v>0</v>
      </c>
      <c r="G89" s="129">
        <v>0</v>
      </c>
      <c r="H89" s="129">
        <v>0</v>
      </c>
      <c r="I89" s="129">
        <v>0</v>
      </c>
      <c r="J89" s="129">
        <v>0</v>
      </c>
      <c r="K89" s="129">
        <v>0</v>
      </c>
      <c r="L89" s="129">
        <v>0</v>
      </c>
      <c r="M89" s="129">
        <v>0</v>
      </c>
      <c r="N89" s="129">
        <v>0</v>
      </c>
      <c r="O89" s="129">
        <v>0</v>
      </c>
      <c r="P89" s="129">
        <v>0</v>
      </c>
      <c r="Q89" s="129">
        <v>0</v>
      </c>
      <c r="R89" s="129">
        <v>0</v>
      </c>
      <c r="S89" s="129">
        <v>0</v>
      </c>
      <c r="T89" s="129">
        <v>0</v>
      </c>
      <c r="U89" s="129">
        <v>0</v>
      </c>
      <c r="V89" s="129">
        <v>0</v>
      </c>
      <c r="W89" s="79">
        <v>0</v>
      </c>
      <c r="X89" s="78">
        <v>0</v>
      </c>
      <c r="Y89" s="78">
        <v>0</v>
      </c>
      <c r="Z89" s="78">
        <v>0</v>
      </c>
      <c r="AA89" s="79">
        <v>0</v>
      </c>
      <c r="AB89" s="78">
        <v>0</v>
      </c>
      <c r="AC89" s="79">
        <v>0</v>
      </c>
      <c r="AD89" s="78">
        <v>0</v>
      </c>
      <c r="AF89" s="144"/>
    </row>
    <row r="90" spans="1:32">
      <c r="A90" s="128" t="s">
        <v>205</v>
      </c>
      <c r="B90" s="143">
        <v>40832.8636820778</v>
      </c>
      <c r="C90" s="129">
        <f t="shared" si="3"/>
        <v>0</v>
      </c>
      <c r="D90" s="129">
        <f t="shared" si="2"/>
        <v>378.42022496696</v>
      </c>
      <c r="E90" s="129">
        <v>0</v>
      </c>
      <c r="F90" s="129">
        <v>0</v>
      </c>
      <c r="G90" s="129">
        <v>0</v>
      </c>
      <c r="H90" s="129">
        <v>0</v>
      </c>
      <c r="I90" s="129">
        <v>0</v>
      </c>
      <c r="J90" s="129">
        <v>0</v>
      </c>
      <c r="K90" s="129">
        <v>0</v>
      </c>
      <c r="L90" s="129">
        <v>0</v>
      </c>
      <c r="M90" s="129">
        <v>0</v>
      </c>
      <c r="N90" s="129">
        <v>0</v>
      </c>
      <c r="O90" s="129">
        <v>0</v>
      </c>
      <c r="P90" s="129">
        <v>0</v>
      </c>
      <c r="Q90" s="129">
        <v>0</v>
      </c>
      <c r="R90" s="129">
        <v>0</v>
      </c>
      <c r="S90" s="129">
        <v>0</v>
      </c>
      <c r="T90" s="129">
        <v>378.42022496696</v>
      </c>
      <c r="U90" s="129">
        <v>0</v>
      </c>
      <c r="V90" s="129">
        <v>0</v>
      </c>
      <c r="W90" s="79">
        <v>0</v>
      </c>
      <c r="X90" s="78">
        <v>0</v>
      </c>
      <c r="Y90" s="78">
        <v>0</v>
      </c>
      <c r="Z90" s="78">
        <v>0</v>
      </c>
      <c r="AA90" s="79">
        <v>0</v>
      </c>
      <c r="AB90" s="78">
        <v>0</v>
      </c>
      <c r="AC90" s="79">
        <v>0</v>
      </c>
      <c r="AD90" s="78">
        <v>0</v>
      </c>
      <c r="AF90" s="144"/>
    </row>
    <row r="91" spans="1:32">
      <c r="A91" s="128" t="s">
        <v>207</v>
      </c>
      <c r="B91" s="143">
        <v>9399.73480456272</v>
      </c>
      <c r="C91" s="129">
        <f t="shared" si="3"/>
        <v>0</v>
      </c>
      <c r="D91" s="129">
        <f t="shared" si="2"/>
        <v>0</v>
      </c>
      <c r="E91" s="129">
        <v>0</v>
      </c>
      <c r="F91" s="129">
        <v>0</v>
      </c>
      <c r="G91" s="129">
        <v>0</v>
      </c>
      <c r="H91" s="129">
        <v>0</v>
      </c>
      <c r="I91" s="129">
        <v>0</v>
      </c>
      <c r="J91" s="129">
        <v>0</v>
      </c>
      <c r="K91" s="129">
        <v>0</v>
      </c>
      <c r="L91" s="129">
        <v>0</v>
      </c>
      <c r="M91" s="129">
        <v>0</v>
      </c>
      <c r="N91" s="129">
        <v>0</v>
      </c>
      <c r="O91" s="129">
        <v>0</v>
      </c>
      <c r="P91" s="129">
        <v>0</v>
      </c>
      <c r="Q91" s="129">
        <v>0</v>
      </c>
      <c r="R91" s="129">
        <v>0</v>
      </c>
      <c r="S91" s="129">
        <v>0</v>
      </c>
      <c r="T91" s="129">
        <v>0</v>
      </c>
      <c r="U91" s="129">
        <v>0</v>
      </c>
      <c r="V91" s="129">
        <v>0</v>
      </c>
      <c r="W91" s="79">
        <v>0</v>
      </c>
      <c r="X91" s="78">
        <v>0</v>
      </c>
      <c r="Y91" s="78">
        <v>0</v>
      </c>
      <c r="Z91" s="78">
        <v>0</v>
      </c>
      <c r="AA91" s="79">
        <v>0</v>
      </c>
      <c r="AB91" s="78">
        <v>0</v>
      </c>
      <c r="AC91" s="79">
        <v>0</v>
      </c>
      <c r="AD91" s="78">
        <v>0</v>
      </c>
      <c r="AF91" s="144"/>
    </row>
    <row r="92" spans="1:32">
      <c r="A92" s="128" t="s">
        <v>209</v>
      </c>
      <c r="B92" s="143">
        <v>33998.7414372724</v>
      </c>
      <c r="C92" s="129">
        <f t="shared" si="3"/>
        <v>0</v>
      </c>
      <c r="D92" s="129">
        <f t="shared" si="2"/>
        <v>0</v>
      </c>
      <c r="E92" s="129">
        <v>0</v>
      </c>
      <c r="F92" s="129">
        <v>0</v>
      </c>
      <c r="G92" s="129">
        <v>0</v>
      </c>
      <c r="H92" s="129">
        <v>0</v>
      </c>
      <c r="I92" s="129">
        <v>0</v>
      </c>
      <c r="J92" s="129">
        <v>0</v>
      </c>
      <c r="K92" s="129">
        <v>0</v>
      </c>
      <c r="L92" s="129">
        <v>0</v>
      </c>
      <c r="M92" s="129">
        <v>0</v>
      </c>
      <c r="N92" s="129">
        <v>0</v>
      </c>
      <c r="O92" s="129">
        <v>0</v>
      </c>
      <c r="P92" s="129">
        <v>0</v>
      </c>
      <c r="Q92" s="129">
        <v>0</v>
      </c>
      <c r="R92" s="129">
        <v>0</v>
      </c>
      <c r="S92" s="129">
        <v>0</v>
      </c>
      <c r="T92" s="129">
        <v>0</v>
      </c>
      <c r="U92" s="129">
        <v>0</v>
      </c>
      <c r="V92" s="129">
        <v>0</v>
      </c>
      <c r="W92" s="79">
        <v>0</v>
      </c>
      <c r="X92" s="78">
        <v>0</v>
      </c>
      <c r="Y92" s="78">
        <v>0</v>
      </c>
      <c r="Z92" s="78">
        <v>0</v>
      </c>
      <c r="AA92" s="79">
        <v>0</v>
      </c>
      <c r="AB92" s="78">
        <v>0</v>
      </c>
      <c r="AC92" s="79">
        <v>0</v>
      </c>
      <c r="AD92" s="78">
        <v>0</v>
      </c>
      <c r="AF92" s="144"/>
    </row>
    <row r="93" spans="1:32">
      <c r="A93" s="128" t="s">
        <v>211</v>
      </c>
      <c r="B93" s="143">
        <v>175701.306903003</v>
      </c>
      <c r="C93" s="129">
        <f t="shared" si="3"/>
        <v>3862.60704557166</v>
      </c>
      <c r="D93" s="129">
        <f t="shared" si="2"/>
        <v>5847.88588411014</v>
      </c>
      <c r="E93" s="129">
        <v>0</v>
      </c>
      <c r="F93" s="129">
        <v>0</v>
      </c>
      <c r="G93" s="129">
        <v>0</v>
      </c>
      <c r="H93" s="129">
        <v>0</v>
      </c>
      <c r="I93" s="129">
        <v>0</v>
      </c>
      <c r="J93" s="129">
        <v>0</v>
      </c>
      <c r="K93" s="129">
        <v>0</v>
      </c>
      <c r="L93" s="129">
        <v>0</v>
      </c>
      <c r="M93" s="129">
        <v>0</v>
      </c>
      <c r="N93" s="129">
        <v>0</v>
      </c>
      <c r="O93" s="129">
        <v>0</v>
      </c>
      <c r="P93" s="129">
        <v>0</v>
      </c>
      <c r="Q93" s="129">
        <v>0</v>
      </c>
      <c r="R93" s="129">
        <v>0</v>
      </c>
      <c r="S93" s="129">
        <v>0</v>
      </c>
      <c r="T93" s="129">
        <v>0</v>
      </c>
      <c r="U93" s="129">
        <v>0</v>
      </c>
      <c r="V93" s="129">
        <v>0</v>
      </c>
      <c r="W93" s="79">
        <v>0</v>
      </c>
      <c r="X93" s="78">
        <v>0</v>
      </c>
      <c r="Y93" s="78">
        <v>0</v>
      </c>
      <c r="Z93" s="78">
        <v>0</v>
      </c>
      <c r="AA93" s="79">
        <v>0</v>
      </c>
      <c r="AB93" s="78">
        <v>0</v>
      </c>
      <c r="AC93" s="79">
        <v>3862.60704557166</v>
      </c>
      <c r="AD93" s="78">
        <v>5847.88588411014</v>
      </c>
      <c r="AF93" s="144"/>
    </row>
    <row r="94" spans="1:32">
      <c r="A94" s="128" t="s">
        <v>213</v>
      </c>
      <c r="B94" s="143">
        <v>28653.7654441063</v>
      </c>
      <c r="C94" s="129">
        <f t="shared" si="3"/>
        <v>407.511996300286</v>
      </c>
      <c r="D94" s="129">
        <f t="shared" si="2"/>
        <v>0</v>
      </c>
      <c r="E94" s="129">
        <v>267.044305077888</v>
      </c>
      <c r="F94" s="129">
        <v>0</v>
      </c>
      <c r="G94" s="129">
        <v>0</v>
      </c>
      <c r="H94" s="129">
        <v>0</v>
      </c>
      <c r="I94" s="129">
        <v>0</v>
      </c>
      <c r="J94" s="129">
        <v>0</v>
      </c>
      <c r="K94" s="129">
        <v>75.9607201557973</v>
      </c>
      <c r="L94" s="129">
        <v>0</v>
      </c>
      <c r="M94" s="129">
        <v>0</v>
      </c>
      <c r="N94" s="129">
        <v>0</v>
      </c>
      <c r="O94" s="129">
        <v>64.5069710666011</v>
      </c>
      <c r="P94" s="129">
        <v>0</v>
      </c>
      <c r="Q94" s="129">
        <v>0</v>
      </c>
      <c r="R94" s="129">
        <v>0</v>
      </c>
      <c r="S94" s="129">
        <v>0</v>
      </c>
      <c r="T94" s="129">
        <v>0</v>
      </c>
      <c r="U94" s="129">
        <v>0</v>
      </c>
      <c r="V94" s="129">
        <v>0</v>
      </c>
      <c r="W94" s="79">
        <v>0</v>
      </c>
      <c r="X94" s="78">
        <v>0</v>
      </c>
      <c r="Y94" s="78">
        <v>0</v>
      </c>
      <c r="Z94" s="78">
        <v>0</v>
      </c>
      <c r="AA94" s="79">
        <v>0</v>
      </c>
      <c r="AB94" s="78">
        <v>0</v>
      </c>
      <c r="AC94" s="79">
        <v>0</v>
      </c>
      <c r="AD94" s="78">
        <v>0</v>
      </c>
      <c r="AF94" s="144"/>
    </row>
    <row r="95" spans="1:32">
      <c r="A95" s="128" t="s">
        <v>215</v>
      </c>
      <c r="B95" s="143">
        <v>22694.2311129865</v>
      </c>
      <c r="C95" s="129">
        <f t="shared" si="3"/>
        <v>96.4458056601662</v>
      </c>
      <c r="D95" s="129">
        <f t="shared" si="2"/>
        <v>0</v>
      </c>
      <c r="E95" s="129">
        <v>0</v>
      </c>
      <c r="F95" s="129">
        <v>0</v>
      </c>
      <c r="G95" s="129">
        <v>0</v>
      </c>
      <c r="H95" s="129">
        <v>0</v>
      </c>
      <c r="I95" s="129">
        <v>0</v>
      </c>
      <c r="J95" s="129">
        <v>0</v>
      </c>
      <c r="K95" s="129">
        <v>0</v>
      </c>
      <c r="L95" s="129">
        <v>0</v>
      </c>
      <c r="M95" s="129">
        <v>0</v>
      </c>
      <c r="N95" s="129">
        <v>0</v>
      </c>
      <c r="O95" s="129">
        <v>0</v>
      </c>
      <c r="P95" s="129">
        <v>0</v>
      </c>
      <c r="Q95" s="129">
        <v>0</v>
      </c>
      <c r="R95" s="129">
        <v>0</v>
      </c>
      <c r="S95" s="129">
        <v>96.4458056601662</v>
      </c>
      <c r="T95" s="129">
        <v>0</v>
      </c>
      <c r="U95" s="129">
        <v>0</v>
      </c>
      <c r="V95" s="129">
        <v>0</v>
      </c>
      <c r="W95" s="79">
        <v>0</v>
      </c>
      <c r="X95" s="78">
        <v>0</v>
      </c>
      <c r="Y95" s="78">
        <v>0</v>
      </c>
      <c r="Z95" s="78">
        <v>0</v>
      </c>
      <c r="AA95" s="79">
        <v>0</v>
      </c>
      <c r="AB95" s="78">
        <v>0</v>
      </c>
      <c r="AC95" s="79">
        <v>0</v>
      </c>
      <c r="AD95" s="78">
        <v>0</v>
      </c>
      <c r="AF95" s="144"/>
    </row>
    <row r="96" spans="1:32">
      <c r="A96" s="128" t="s">
        <v>217</v>
      </c>
      <c r="B96" s="143">
        <v>21560.026898065</v>
      </c>
      <c r="C96" s="129">
        <f t="shared" si="3"/>
        <v>299.774339473954</v>
      </c>
      <c r="D96" s="129">
        <f t="shared" si="2"/>
        <v>197.394586209173</v>
      </c>
      <c r="E96" s="129">
        <v>0</v>
      </c>
      <c r="F96" s="129">
        <v>0</v>
      </c>
      <c r="G96" s="129">
        <v>0</v>
      </c>
      <c r="H96" s="129">
        <v>0</v>
      </c>
      <c r="I96" s="129">
        <v>0</v>
      </c>
      <c r="J96" s="129">
        <v>0</v>
      </c>
      <c r="K96" s="129">
        <v>0</v>
      </c>
      <c r="L96" s="129">
        <v>0</v>
      </c>
      <c r="M96" s="129">
        <v>0</v>
      </c>
      <c r="N96" s="129">
        <v>0</v>
      </c>
      <c r="O96" s="129">
        <v>0</v>
      </c>
      <c r="P96" s="129">
        <v>0</v>
      </c>
      <c r="Q96" s="129">
        <v>0</v>
      </c>
      <c r="R96" s="129">
        <v>0</v>
      </c>
      <c r="S96" s="129">
        <v>67.0776754385993</v>
      </c>
      <c r="T96" s="129">
        <v>197.394586209173</v>
      </c>
      <c r="U96" s="129">
        <v>232.696664035355</v>
      </c>
      <c r="V96" s="129">
        <v>0</v>
      </c>
      <c r="W96" s="79">
        <v>0</v>
      </c>
      <c r="X96" s="78">
        <v>0</v>
      </c>
      <c r="Y96" s="78">
        <v>0</v>
      </c>
      <c r="Z96" s="78">
        <v>0</v>
      </c>
      <c r="AA96" s="79">
        <v>0</v>
      </c>
      <c r="AB96" s="78">
        <v>0</v>
      </c>
      <c r="AC96" s="79">
        <v>0</v>
      </c>
      <c r="AD96" s="78">
        <v>0</v>
      </c>
      <c r="AF96" s="144"/>
    </row>
    <row r="97" spans="1:32">
      <c r="A97" s="128" t="s">
        <v>219</v>
      </c>
      <c r="B97" s="143">
        <v>23878.1523743292</v>
      </c>
      <c r="C97" s="129">
        <f t="shared" si="3"/>
        <v>0</v>
      </c>
      <c r="D97" s="129">
        <f t="shared" si="2"/>
        <v>0</v>
      </c>
      <c r="E97" s="129">
        <v>0</v>
      </c>
      <c r="F97" s="129">
        <v>0</v>
      </c>
      <c r="G97" s="129">
        <v>0</v>
      </c>
      <c r="H97" s="129">
        <v>0</v>
      </c>
      <c r="I97" s="129">
        <v>0</v>
      </c>
      <c r="J97" s="129">
        <v>0</v>
      </c>
      <c r="K97" s="129">
        <v>0</v>
      </c>
      <c r="L97" s="129">
        <v>0</v>
      </c>
      <c r="M97" s="129">
        <v>0</v>
      </c>
      <c r="N97" s="129">
        <v>0</v>
      </c>
      <c r="O97" s="129">
        <v>0</v>
      </c>
      <c r="P97" s="129">
        <v>0</v>
      </c>
      <c r="Q97" s="129">
        <v>0</v>
      </c>
      <c r="R97" s="129">
        <v>0</v>
      </c>
      <c r="S97" s="129">
        <v>0</v>
      </c>
      <c r="T97" s="129">
        <v>0</v>
      </c>
      <c r="U97" s="129">
        <v>0</v>
      </c>
      <c r="V97" s="129">
        <v>0</v>
      </c>
      <c r="W97" s="79">
        <v>0</v>
      </c>
      <c r="X97" s="78">
        <v>0</v>
      </c>
      <c r="Y97" s="78">
        <v>0</v>
      </c>
      <c r="Z97" s="78">
        <v>0</v>
      </c>
      <c r="AA97" s="79">
        <v>0</v>
      </c>
      <c r="AB97" s="78">
        <v>0</v>
      </c>
      <c r="AC97" s="79">
        <v>0</v>
      </c>
      <c r="AD97" s="78">
        <v>0</v>
      </c>
      <c r="AF97" s="144"/>
    </row>
    <row r="98" spans="1:32">
      <c r="A98" s="128" t="s">
        <v>221</v>
      </c>
      <c r="B98" s="143">
        <v>20299.4779684773</v>
      </c>
      <c r="C98" s="129">
        <f t="shared" si="3"/>
        <v>0</v>
      </c>
      <c r="D98" s="129">
        <f t="shared" si="2"/>
        <v>263.310486066927</v>
      </c>
      <c r="E98" s="129">
        <v>0</v>
      </c>
      <c r="F98" s="129">
        <v>0</v>
      </c>
      <c r="G98" s="129">
        <v>0</v>
      </c>
      <c r="H98" s="129">
        <v>0</v>
      </c>
      <c r="I98" s="129">
        <v>0</v>
      </c>
      <c r="J98" s="129">
        <v>0</v>
      </c>
      <c r="K98" s="129">
        <v>0</v>
      </c>
      <c r="L98" s="129">
        <v>0</v>
      </c>
      <c r="M98" s="129">
        <v>0</v>
      </c>
      <c r="N98" s="129">
        <v>0</v>
      </c>
      <c r="O98" s="129">
        <v>0</v>
      </c>
      <c r="P98" s="129">
        <v>0</v>
      </c>
      <c r="Q98" s="129">
        <v>0</v>
      </c>
      <c r="R98" s="129">
        <v>0</v>
      </c>
      <c r="S98" s="129">
        <v>0</v>
      </c>
      <c r="T98" s="129">
        <v>0</v>
      </c>
      <c r="U98" s="129">
        <v>0</v>
      </c>
      <c r="V98" s="129">
        <v>0</v>
      </c>
      <c r="W98" s="79">
        <v>0</v>
      </c>
      <c r="X98" s="78">
        <v>0</v>
      </c>
      <c r="Y98" s="78">
        <v>0</v>
      </c>
      <c r="Z98" s="78">
        <v>0</v>
      </c>
      <c r="AA98" s="79">
        <v>0</v>
      </c>
      <c r="AB98" s="78">
        <v>0</v>
      </c>
      <c r="AC98" s="79">
        <v>0</v>
      </c>
      <c r="AD98" s="78">
        <v>263.310486066927</v>
      </c>
      <c r="AF98" s="144"/>
    </row>
    <row r="99" spans="1:32">
      <c r="A99" s="128" t="s">
        <v>223</v>
      </c>
      <c r="B99" s="143">
        <v>9273.32195528094</v>
      </c>
      <c r="C99" s="129">
        <f t="shared" si="3"/>
        <v>0</v>
      </c>
      <c r="D99" s="129">
        <f t="shared" si="2"/>
        <v>0</v>
      </c>
      <c r="E99" s="129">
        <v>0</v>
      </c>
      <c r="F99" s="129">
        <v>0</v>
      </c>
      <c r="G99" s="129">
        <v>0</v>
      </c>
      <c r="H99" s="129">
        <v>0</v>
      </c>
      <c r="I99" s="129">
        <v>0</v>
      </c>
      <c r="J99" s="129">
        <v>0</v>
      </c>
      <c r="K99" s="129">
        <v>0</v>
      </c>
      <c r="L99" s="129">
        <v>0</v>
      </c>
      <c r="M99" s="129">
        <v>0</v>
      </c>
      <c r="N99" s="129">
        <v>0</v>
      </c>
      <c r="O99" s="129">
        <v>0</v>
      </c>
      <c r="P99" s="129">
        <v>0</v>
      </c>
      <c r="Q99" s="129">
        <v>0</v>
      </c>
      <c r="R99" s="129">
        <v>0</v>
      </c>
      <c r="S99" s="129">
        <v>0</v>
      </c>
      <c r="T99" s="129">
        <v>0</v>
      </c>
      <c r="U99" s="129">
        <v>0</v>
      </c>
      <c r="V99" s="129">
        <v>0</v>
      </c>
      <c r="W99" s="79">
        <v>0</v>
      </c>
      <c r="X99" s="78">
        <v>0</v>
      </c>
      <c r="Y99" s="78">
        <v>0</v>
      </c>
      <c r="Z99" s="78">
        <v>0</v>
      </c>
      <c r="AA99" s="79">
        <v>0</v>
      </c>
      <c r="AB99" s="78">
        <v>0</v>
      </c>
      <c r="AC99" s="79">
        <v>0</v>
      </c>
      <c r="AD99" s="78">
        <v>0</v>
      </c>
      <c r="AF99" s="144"/>
    </row>
    <row r="100" spans="1:32">
      <c r="A100" s="128" t="s">
        <v>225</v>
      </c>
      <c r="B100" s="143">
        <v>26068.5703242488</v>
      </c>
      <c r="C100" s="129">
        <f t="shared" si="3"/>
        <v>377.161172467698</v>
      </c>
      <c r="D100" s="129">
        <f t="shared" si="2"/>
        <v>1060.07784050088</v>
      </c>
      <c r="E100" s="129">
        <v>0</v>
      </c>
      <c r="F100" s="129">
        <v>0</v>
      </c>
      <c r="G100" s="129">
        <v>0</v>
      </c>
      <c r="H100" s="129">
        <v>0</v>
      </c>
      <c r="I100" s="129">
        <v>0</v>
      </c>
      <c r="J100" s="129">
        <v>0</v>
      </c>
      <c r="K100" s="129">
        <v>0</v>
      </c>
      <c r="L100" s="129">
        <v>0</v>
      </c>
      <c r="M100" s="129">
        <v>0</v>
      </c>
      <c r="N100" s="129">
        <v>0</v>
      </c>
      <c r="O100" s="129">
        <v>0</v>
      </c>
      <c r="P100" s="129">
        <v>0</v>
      </c>
      <c r="Q100" s="129">
        <v>87.8227884264378</v>
      </c>
      <c r="R100" s="129">
        <v>965.4717822454</v>
      </c>
      <c r="S100" s="129">
        <v>289.33838404126</v>
      </c>
      <c r="T100" s="129">
        <v>94.6060582554787</v>
      </c>
      <c r="U100" s="129">
        <v>0</v>
      </c>
      <c r="V100" s="129">
        <v>0</v>
      </c>
      <c r="W100" s="79">
        <v>0</v>
      </c>
      <c r="X100" s="78">
        <v>0</v>
      </c>
      <c r="Y100" s="78">
        <v>0</v>
      </c>
      <c r="Z100" s="78">
        <v>0</v>
      </c>
      <c r="AA100" s="79">
        <v>0</v>
      </c>
      <c r="AB100" s="78">
        <v>0</v>
      </c>
      <c r="AC100" s="79">
        <v>0</v>
      </c>
      <c r="AD100" s="78">
        <v>0</v>
      </c>
      <c r="AF100" s="144"/>
    </row>
    <row r="101" spans="1:32">
      <c r="A101" s="128" t="s">
        <v>227</v>
      </c>
      <c r="B101" s="143">
        <v>22043.9682181704</v>
      </c>
      <c r="C101" s="129">
        <f t="shared" si="3"/>
        <v>453.681754486436</v>
      </c>
      <c r="D101" s="129">
        <f t="shared" si="2"/>
        <v>849.578465337628</v>
      </c>
      <c r="E101" s="129">
        <v>66.761076269472</v>
      </c>
      <c r="F101" s="129">
        <v>0</v>
      </c>
      <c r="G101" s="129">
        <v>0</v>
      </c>
      <c r="H101" s="129">
        <v>0</v>
      </c>
      <c r="I101" s="129">
        <v>0</v>
      </c>
      <c r="J101" s="129">
        <v>0</v>
      </c>
      <c r="K101" s="129">
        <v>0</v>
      </c>
      <c r="L101" s="129">
        <v>596.002449852603</v>
      </c>
      <c r="M101" s="129">
        <v>0</v>
      </c>
      <c r="N101" s="129">
        <v>0</v>
      </c>
      <c r="O101" s="129">
        <v>386.920678216964</v>
      </c>
      <c r="P101" s="129">
        <v>253.576015485025</v>
      </c>
      <c r="Q101" s="129">
        <v>0</v>
      </c>
      <c r="R101" s="129">
        <v>0</v>
      </c>
      <c r="S101" s="129">
        <v>0</v>
      </c>
      <c r="T101" s="129">
        <v>0</v>
      </c>
      <c r="U101" s="129">
        <v>0</v>
      </c>
      <c r="V101" s="129">
        <v>0</v>
      </c>
      <c r="W101" s="79">
        <v>0</v>
      </c>
      <c r="X101" s="78">
        <v>0</v>
      </c>
      <c r="Y101" s="78">
        <v>0</v>
      </c>
      <c r="Z101" s="78">
        <v>0</v>
      </c>
      <c r="AA101" s="79">
        <v>0</v>
      </c>
      <c r="AB101" s="78">
        <v>0</v>
      </c>
      <c r="AC101" s="79">
        <v>0</v>
      </c>
      <c r="AD101" s="78">
        <v>0</v>
      </c>
      <c r="AF101" s="144"/>
    </row>
    <row r="102" spans="1:32">
      <c r="A102" s="128" t="s">
        <v>229</v>
      </c>
      <c r="B102" s="143">
        <v>5975.57145275281</v>
      </c>
      <c r="C102" s="129">
        <f t="shared" si="3"/>
        <v>0</v>
      </c>
      <c r="D102" s="129">
        <f t="shared" si="2"/>
        <v>0</v>
      </c>
      <c r="E102" s="129">
        <v>0</v>
      </c>
      <c r="F102" s="129">
        <v>0</v>
      </c>
      <c r="G102" s="129">
        <v>0</v>
      </c>
      <c r="H102" s="129">
        <v>0</v>
      </c>
      <c r="I102" s="129">
        <v>0</v>
      </c>
      <c r="J102" s="129">
        <v>0</v>
      </c>
      <c r="K102" s="129">
        <v>0</v>
      </c>
      <c r="L102" s="129">
        <v>0</v>
      </c>
      <c r="M102" s="129">
        <v>0</v>
      </c>
      <c r="N102" s="129">
        <v>0</v>
      </c>
      <c r="O102" s="129">
        <v>0</v>
      </c>
      <c r="P102" s="129">
        <v>0</v>
      </c>
      <c r="Q102" s="129">
        <v>0</v>
      </c>
      <c r="R102" s="129">
        <v>0</v>
      </c>
      <c r="S102" s="129">
        <v>0</v>
      </c>
      <c r="T102" s="129">
        <v>0</v>
      </c>
      <c r="U102" s="129">
        <v>0</v>
      </c>
      <c r="V102" s="129">
        <v>0</v>
      </c>
      <c r="W102" s="79">
        <v>0</v>
      </c>
      <c r="X102" s="78">
        <v>0</v>
      </c>
      <c r="Y102" s="78">
        <v>0</v>
      </c>
      <c r="Z102" s="78">
        <v>0</v>
      </c>
      <c r="AA102" s="79">
        <v>0</v>
      </c>
      <c r="AB102" s="78">
        <v>0</v>
      </c>
      <c r="AC102" s="79">
        <v>0</v>
      </c>
      <c r="AD102" s="78">
        <v>0</v>
      </c>
      <c r="AF102" s="144"/>
    </row>
    <row r="103" spans="1:32">
      <c r="A103" s="128" t="s">
        <v>231</v>
      </c>
      <c r="B103" s="143">
        <v>6251.85544931041</v>
      </c>
      <c r="C103" s="129">
        <f t="shared" si="3"/>
        <v>0</v>
      </c>
      <c r="D103" s="129">
        <f t="shared" si="2"/>
        <v>0</v>
      </c>
      <c r="E103" s="129">
        <v>0</v>
      </c>
      <c r="F103" s="129">
        <v>0</v>
      </c>
      <c r="G103" s="129">
        <v>0</v>
      </c>
      <c r="H103" s="129">
        <v>0</v>
      </c>
      <c r="I103" s="129">
        <v>0</v>
      </c>
      <c r="J103" s="129">
        <v>0</v>
      </c>
      <c r="K103" s="129">
        <v>0</v>
      </c>
      <c r="L103" s="129">
        <v>0</v>
      </c>
      <c r="M103" s="129">
        <v>0</v>
      </c>
      <c r="N103" s="129">
        <v>0</v>
      </c>
      <c r="O103" s="129">
        <v>0</v>
      </c>
      <c r="P103" s="129">
        <v>0</v>
      </c>
      <c r="Q103" s="129">
        <v>0</v>
      </c>
      <c r="R103" s="129">
        <v>0</v>
      </c>
      <c r="S103" s="129">
        <v>0</v>
      </c>
      <c r="T103" s="129">
        <v>0</v>
      </c>
      <c r="U103" s="129">
        <v>0</v>
      </c>
      <c r="V103" s="129">
        <v>0</v>
      </c>
      <c r="W103" s="79">
        <v>0</v>
      </c>
      <c r="X103" s="78">
        <v>0</v>
      </c>
      <c r="Y103" s="78">
        <v>0</v>
      </c>
      <c r="Z103" s="78">
        <v>0</v>
      </c>
      <c r="AA103" s="79">
        <v>0</v>
      </c>
      <c r="AB103" s="78">
        <v>0</v>
      </c>
      <c r="AC103" s="79">
        <v>0</v>
      </c>
      <c r="AD103" s="78">
        <v>0</v>
      </c>
      <c r="AF103" s="144"/>
    </row>
    <row r="104" spans="1:32">
      <c r="A104" s="128" t="s">
        <v>233</v>
      </c>
      <c r="B104" s="143">
        <v>1555692.22175084</v>
      </c>
      <c r="C104" s="129">
        <f t="shared" si="3"/>
        <v>323522.294396292</v>
      </c>
      <c r="D104" s="129">
        <f t="shared" si="2"/>
        <v>442739.00869415</v>
      </c>
      <c r="E104" s="129">
        <v>0</v>
      </c>
      <c r="F104" s="129">
        <v>0</v>
      </c>
      <c r="G104" s="129">
        <v>83663.6388080844</v>
      </c>
      <c r="H104" s="129">
        <v>153268.6872168</v>
      </c>
      <c r="I104" s="129">
        <v>7643.12623295331</v>
      </c>
      <c r="J104" s="129">
        <v>0</v>
      </c>
      <c r="K104" s="129">
        <v>540.945260137583</v>
      </c>
      <c r="L104" s="129">
        <v>0</v>
      </c>
      <c r="M104" s="129">
        <v>154109.742211454</v>
      </c>
      <c r="N104" s="129">
        <v>228554.906847093</v>
      </c>
      <c r="O104" s="129">
        <v>9793.07825473642</v>
      </c>
      <c r="P104" s="129">
        <v>7115.29568348366</v>
      </c>
      <c r="Q104" s="129">
        <v>3958.37411449764</v>
      </c>
      <c r="R104" s="129">
        <v>0</v>
      </c>
      <c r="S104" s="129">
        <v>1471.27036110054</v>
      </c>
      <c r="T104" s="129">
        <v>0</v>
      </c>
      <c r="U104" s="129">
        <v>28809.4080206936</v>
      </c>
      <c r="V104" s="129">
        <v>13240.4721379422</v>
      </c>
      <c r="W104" s="79">
        <v>0</v>
      </c>
      <c r="X104" s="78">
        <v>0</v>
      </c>
      <c r="Y104" s="78">
        <v>6831.68197282821</v>
      </c>
      <c r="Z104" s="78">
        <v>12294.8298572989</v>
      </c>
      <c r="AA104" s="79">
        <v>0</v>
      </c>
      <c r="AB104" s="78">
        <v>0</v>
      </c>
      <c r="AC104" s="79">
        <v>26701.0291598062</v>
      </c>
      <c r="AD104" s="78">
        <v>28264.8169515326</v>
      </c>
      <c r="AF104" s="144"/>
    </row>
    <row r="105" spans="1:32">
      <c r="A105" s="128" t="s">
        <v>235</v>
      </c>
      <c r="B105" s="143">
        <v>17223.0146456339</v>
      </c>
      <c r="C105" s="129">
        <f t="shared" si="3"/>
        <v>0</v>
      </c>
      <c r="D105" s="129">
        <f t="shared" si="2"/>
        <v>0</v>
      </c>
      <c r="E105" s="129">
        <v>0</v>
      </c>
      <c r="F105" s="129">
        <v>0</v>
      </c>
      <c r="G105" s="129">
        <v>0</v>
      </c>
      <c r="H105" s="129">
        <v>0</v>
      </c>
      <c r="I105" s="129">
        <v>0</v>
      </c>
      <c r="J105" s="129">
        <v>0</v>
      </c>
      <c r="K105" s="129">
        <v>0</v>
      </c>
      <c r="L105" s="129">
        <v>0</v>
      </c>
      <c r="M105" s="129">
        <v>0</v>
      </c>
      <c r="N105" s="129">
        <v>0</v>
      </c>
      <c r="O105" s="129">
        <v>0</v>
      </c>
      <c r="P105" s="129">
        <v>0</v>
      </c>
      <c r="Q105" s="129">
        <v>0</v>
      </c>
      <c r="R105" s="129">
        <v>0</v>
      </c>
      <c r="S105" s="129">
        <v>0</v>
      </c>
      <c r="T105" s="129">
        <v>0</v>
      </c>
      <c r="U105" s="129">
        <v>0</v>
      </c>
      <c r="V105" s="129">
        <v>0</v>
      </c>
      <c r="W105" s="79">
        <v>0</v>
      </c>
      <c r="X105" s="78">
        <v>0</v>
      </c>
      <c r="Y105" s="78">
        <v>0</v>
      </c>
      <c r="Z105" s="78">
        <v>0</v>
      </c>
      <c r="AA105" s="79">
        <v>0</v>
      </c>
      <c r="AB105" s="78">
        <v>0</v>
      </c>
      <c r="AC105" s="79">
        <v>0</v>
      </c>
      <c r="AD105" s="78">
        <v>0</v>
      </c>
      <c r="AF105" s="144"/>
    </row>
    <row r="106" spans="1:32">
      <c r="A106" s="128" t="s">
        <v>237</v>
      </c>
      <c r="B106" s="143">
        <v>17086.0789032372</v>
      </c>
      <c r="C106" s="129">
        <f t="shared" si="3"/>
        <v>141.588242512342</v>
      </c>
      <c r="D106" s="129">
        <f t="shared" si="2"/>
        <v>170.747922381838</v>
      </c>
      <c r="E106" s="129">
        <v>0</v>
      </c>
      <c r="F106" s="129">
        <v>0</v>
      </c>
      <c r="G106" s="129">
        <v>0</v>
      </c>
      <c r="H106" s="129">
        <v>0</v>
      </c>
      <c r="I106" s="129">
        <v>0</v>
      </c>
      <c r="J106" s="129">
        <v>0</v>
      </c>
      <c r="K106" s="129">
        <v>0</v>
      </c>
      <c r="L106" s="129">
        <v>0</v>
      </c>
      <c r="M106" s="129">
        <v>0</v>
      </c>
      <c r="N106" s="129">
        <v>0</v>
      </c>
      <c r="O106" s="129">
        <v>0</v>
      </c>
      <c r="P106" s="129">
        <v>0</v>
      </c>
      <c r="Q106" s="129">
        <v>0</v>
      </c>
      <c r="R106" s="129">
        <v>0</v>
      </c>
      <c r="S106" s="129">
        <v>0</v>
      </c>
      <c r="T106" s="129">
        <v>94.6063943165464</v>
      </c>
      <c r="U106" s="129">
        <v>0</v>
      </c>
      <c r="V106" s="129">
        <v>0</v>
      </c>
      <c r="W106" s="79">
        <v>0</v>
      </c>
      <c r="X106" s="78">
        <v>0</v>
      </c>
      <c r="Y106" s="78">
        <v>0</v>
      </c>
      <c r="Z106" s="78">
        <v>0</v>
      </c>
      <c r="AA106" s="79">
        <v>0</v>
      </c>
      <c r="AB106" s="78">
        <v>0</v>
      </c>
      <c r="AC106" s="79">
        <v>141.588242512342</v>
      </c>
      <c r="AD106" s="78">
        <v>76.1415280652914</v>
      </c>
      <c r="AF106" s="144"/>
    </row>
    <row r="107" spans="1:32">
      <c r="A107" s="128" t="s">
        <v>239</v>
      </c>
      <c r="B107" s="143">
        <v>19200.6009233303</v>
      </c>
      <c r="C107" s="129">
        <f t="shared" si="3"/>
        <v>114.689236426543</v>
      </c>
      <c r="D107" s="129">
        <f t="shared" si="2"/>
        <v>1016.92300333518</v>
      </c>
      <c r="E107" s="129">
        <v>0</v>
      </c>
      <c r="F107" s="129">
        <v>0</v>
      </c>
      <c r="G107" s="129">
        <v>0</v>
      </c>
      <c r="H107" s="129">
        <v>0</v>
      </c>
      <c r="I107" s="129">
        <v>0</v>
      </c>
      <c r="J107" s="129">
        <v>0</v>
      </c>
      <c r="K107" s="129">
        <v>65.0560391787498</v>
      </c>
      <c r="L107" s="129">
        <v>0</v>
      </c>
      <c r="M107" s="129">
        <v>0</v>
      </c>
      <c r="N107" s="129">
        <v>0</v>
      </c>
      <c r="O107" s="129">
        <v>49.6331972477936</v>
      </c>
      <c r="P107" s="129">
        <v>48.7848458624591</v>
      </c>
      <c r="Q107" s="129">
        <v>0</v>
      </c>
      <c r="R107" s="129">
        <v>0</v>
      </c>
      <c r="S107" s="129">
        <v>0</v>
      </c>
      <c r="T107" s="129">
        <v>0</v>
      </c>
      <c r="U107" s="129">
        <v>0</v>
      </c>
      <c r="V107" s="129">
        <v>0</v>
      </c>
      <c r="W107" s="79">
        <v>0</v>
      </c>
      <c r="X107" s="78">
        <v>0</v>
      </c>
      <c r="Y107" s="78">
        <v>0</v>
      </c>
      <c r="Z107" s="78">
        <v>0</v>
      </c>
      <c r="AA107" s="79">
        <v>0</v>
      </c>
      <c r="AB107" s="78">
        <v>0</v>
      </c>
      <c r="AC107" s="79">
        <v>0</v>
      </c>
      <c r="AD107" s="78">
        <v>968.13815747272</v>
      </c>
      <c r="AF107" s="144"/>
    </row>
    <row r="108" spans="1:32">
      <c r="A108" s="128" t="s">
        <v>241</v>
      </c>
      <c r="B108" s="143">
        <v>14583.2191929491</v>
      </c>
      <c r="C108" s="129">
        <f t="shared" si="3"/>
        <v>0</v>
      </c>
      <c r="D108" s="129">
        <f t="shared" si="2"/>
        <v>0</v>
      </c>
      <c r="E108" s="129">
        <v>0</v>
      </c>
      <c r="F108" s="129">
        <v>0</v>
      </c>
      <c r="G108" s="129">
        <v>0</v>
      </c>
      <c r="H108" s="129">
        <v>0</v>
      </c>
      <c r="I108" s="129">
        <v>0</v>
      </c>
      <c r="J108" s="129">
        <v>0</v>
      </c>
      <c r="K108" s="129">
        <v>0</v>
      </c>
      <c r="L108" s="129">
        <v>0</v>
      </c>
      <c r="M108" s="129">
        <v>0</v>
      </c>
      <c r="N108" s="129">
        <v>0</v>
      </c>
      <c r="O108" s="129">
        <v>0</v>
      </c>
      <c r="P108" s="129">
        <v>0</v>
      </c>
      <c r="Q108" s="129">
        <v>0</v>
      </c>
      <c r="R108" s="129">
        <v>0</v>
      </c>
      <c r="S108" s="129">
        <v>0</v>
      </c>
      <c r="T108" s="129">
        <v>0</v>
      </c>
      <c r="U108" s="129">
        <v>0</v>
      </c>
      <c r="V108" s="129">
        <v>0</v>
      </c>
      <c r="W108" s="79">
        <v>0</v>
      </c>
      <c r="X108" s="78">
        <v>0</v>
      </c>
      <c r="Y108" s="78">
        <v>0</v>
      </c>
      <c r="Z108" s="78">
        <v>0</v>
      </c>
      <c r="AA108" s="79">
        <v>0</v>
      </c>
      <c r="AB108" s="78">
        <v>0</v>
      </c>
      <c r="AC108" s="79">
        <v>0</v>
      </c>
      <c r="AD108" s="78">
        <v>0</v>
      </c>
      <c r="AF108" s="144"/>
    </row>
    <row r="109" spans="1:32">
      <c r="A109" s="128" t="s">
        <v>243</v>
      </c>
      <c r="B109" s="143">
        <v>9695.06954278979</v>
      </c>
      <c r="C109" s="129">
        <f t="shared" si="3"/>
        <v>0</v>
      </c>
      <c r="D109" s="129">
        <f t="shared" si="2"/>
        <v>189.212330556113</v>
      </c>
      <c r="E109" s="129">
        <v>0</v>
      </c>
      <c r="F109" s="129">
        <v>0</v>
      </c>
      <c r="G109" s="129">
        <v>0</v>
      </c>
      <c r="H109" s="129">
        <v>0</v>
      </c>
      <c r="I109" s="129">
        <v>0</v>
      </c>
      <c r="J109" s="129">
        <v>0</v>
      </c>
      <c r="K109" s="129">
        <v>0</v>
      </c>
      <c r="L109" s="129">
        <v>0</v>
      </c>
      <c r="M109" s="129">
        <v>0</v>
      </c>
      <c r="N109" s="129">
        <v>0</v>
      </c>
      <c r="O109" s="129">
        <v>0</v>
      </c>
      <c r="P109" s="129">
        <v>0</v>
      </c>
      <c r="Q109" s="129">
        <v>0</v>
      </c>
      <c r="R109" s="129">
        <v>0</v>
      </c>
      <c r="S109" s="129">
        <v>0</v>
      </c>
      <c r="T109" s="129">
        <v>189.212330556113</v>
      </c>
      <c r="U109" s="129">
        <v>0</v>
      </c>
      <c r="V109" s="129">
        <v>0</v>
      </c>
      <c r="W109" s="79">
        <v>0</v>
      </c>
      <c r="X109" s="78">
        <v>0</v>
      </c>
      <c r="Y109" s="78">
        <v>0</v>
      </c>
      <c r="Z109" s="78">
        <v>0</v>
      </c>
      <c r="AA109" s="79">
        <v>0</v>
      </c>
      <c r="AB109" s="78">
        <v>0</v>
      </c>
      <c r="AC109" s="79">
        <v>0</v>
      </c>
      <c r="AD109" s="78">
        <v>0</v>
      </c>
      <c r="AF109" s="144"/>
    </row>
    <row r="110" spans="1:32">
      <c r="A110" s="128" t="s">
        <v>245</v>
      </c>
      <c r="B110" s="143">
        <v>460807.301531358</v>
      </c>
      <c r="C110" s="129">
        <f t="shared" si="3"/>
        <v>0</v>
      </c>
      <c r="D110" s="129">
        <f t="shared" si="2"/>
        <v>0</v>
      </c>
      <c r="E110" s="129">
        <v>0</v>
      </c>
      <c r="F110" s="129">
        <v>0</v>
      </c>
      <c r="G110" s="129">
        <v>0</v>
      </c>
      <c r="H110" s="129">
        <v>0</v>
      </c>
      <c r="I110" s="129">
        <v>0</v>
      </c>
      <c r="J110" s="129">
        <v>0</v>
      </c>
      <c r="K110" s="129">
        <v>0</v>
      </c>
      <c r="L110" s="129">
        <v>0</v>
      </c>
      <c r="M110" s="129">
        <v>0</v>
      </c>
      <c r="N110" s="129">
        <v>0</v>
      </c>
      <c r="O110" s="129">
        <v>0</v>
      </c>
      <c r="P110" s="129">
        <v>0</v>
      </c>
      <c r="Q110" s="129">
        <v>0</v>
      </c>
      <c r="R110" s="129">
        <v>0</v>
      </c>
      <c r="S110" s="129">
        <v>0</v>
      </c>
      <c r="T110" s="129">
        <v>0</v>
      </c>
      <c r="U110" s="129">
        <v>0</v>
      </c>
      <c r="V110" s="129">
        <v>0</v>
      </c>
      <c r="W110" s="79">
        <v>0</v>
      </c>
      <c r="X110" s="78">
        <v>0</v>
      </c>
      <c r="Y110" s="78">
        <v>0</v>
      </c>
      <c r="Z110" s="78">
        <v>0</v>
      </c>
      <c r="AA110" s="79">
        <v>0</v>
      </c>
      <c r="AB110" s="78">
        <v>0</v>
      </c>
      <c r="AC110" s="79">
        <v>0</v>
      </c>
      <c r="AD110" s="78">
        <v>0</v>
      </c>
      <c r="AF110" s="144"/>
    </row>
    <row r="111" spans="1:32">
      <c r="A111" s="128" t="s">
        <v>247</v>
      </c>
      <c r="B111" s="143">
        <v>7228.32100342982</v>
      </c>
      <c r="C111" s="129">
        <f t="shared" si="3"/>
        <v>96.4441841110144</v>
      </c>
      <c r="D111" s="129">
        <f t="shared" si="2"/>
        <v>0</v>
      </c>
      <c r="E111" s="129">
        <v>0</v>
      </c>
      <c r="F111" s="129">
        <v>0</v>
      </c>
      <c r="G111" s="129">
        <v>0</v>
      </c>
      <c r="H111" s="129">
        <v>0</v>
      </c>
      <c r="I111" s="129">
        <v>0</v>
      </c>
      <c r="J111" s="129">
        <v>0</v>
      </c>
      <c r="K111" s="129">
        <v>0</v>
      </c>
      <c r="L111" s="129">
        <v>0</v>
      </c>
      <c r="M111" s="129">
        <v>0</v>
      </c>
      <c r="N111" s="129">
        <v>0</v>
      </c>
      <c r="O111" s="129">
        <v>0</v>
      </c>
      <c r="P111" s="129">
        <v>0</v>
      </c>
      <c r="Q111" s="129">
        <v>0</v>
      </c>
      <c r="R111" s="129">
        <v>0</v>
      </c>
      <c r="S111" s="129">
        <v>96.4441841110144</v>
      </c>
      <c r="T111" s="129">
        <v>0</v>
      </c>
      <c r="U111" s="129">
        <v>0</v>
      </c>
      <c r="V111" s="129">
        <v>0</v>
      </c>
      <c r="W111" s="79">
        <v>0</v>
      </c>
      <c r="X111" s="78">
        <v>0</v>
      </c>
      <c r="Y111" s="78">
        <v>0</v>
      </c>
      <c r="Z111" s="78">
        <v>0</v>
      </c>
      <c r="AA111" s="79">
        <v>0</v>
      </c>
      <c r="AB111" s="78">
        <v>0</v>
      </c>
      <c r="AC111" s="79">
        <v>0</v>
      </c>
      <c r="AD111" s="78">
        <v>0</v>
      </c>
      <c r="AF111" s="144"/>
    </row>
    <row r="112" spans="1:32">
      <c r="A112" s="128" t="s">
        <v>249</v>
      </c>
      <c r="B112" s="143">
        <v>7536.05663666653</v>
      </c>
      <c r="C112" s="129">
        <f t="shared" si="3"/>
        <v>0</v>
      </c>
      <c r="D112" s="129">
        <f t="shared" si="2"/>
        <v>0</v>
      </c>
      <c r="E112" s="129">
        <v>0</v>
      </c>
      <c r="F112" s="129">
        <v>0</v>
      </c>
      <c r="G112" s="129">
        <v>0</v>
      </c>
      <c r="H112" s="129">
        <v>0</v>
      </c>
      <c r="I112" s="129">
        <v>0</v>
      </c>
      <c r="J112" s="129">
        <v>0</v>
      </c>
      <c r="K112" s="129">
        <v>0</v>
      </c>
      <c r="L112" s="129">
        <v>0</v>
      </c>
      <c r="M112" s="129">
        <v>0</v>
      </c>
      <c r="N112" s="129">
        <v>0</v>
      </c>
      <c r="O112" s="129">
        <v>0</v>
      </c>
      <c r="P112" s="129">
        <v>0</v>
      </c>
      <c r="Q112" s="129">
        <v>0</v>
      </c>
      <c r="R112" s="129">
        <v>0</v>
      </c>
      <c r="S112" s="129">
        <v>0</v>
      </c>
      <c r="T112" s="129">
        <v>0</v>
      </c>
      <c r="U112" s="129">
        <v>0</v>
      </c>
      <c r="V112" s="129">
        <v>0</v>
      </c>
      <c r="W112" s="79">
        <v>0</v>
      </c>
      <c r="X112" s="78">
        <v>0</v>
      </c>
      <c r="Y112" s="78">
        <v>0</v>
      </c>
      <c r="Z112" s="78">
        <v>0</v>
      </c>
      <c r="AA112" s="79">
        <v>0</v>
      </c>
      <c r="AB112" s="78">
        <v>0</v>
      </c>
      <c r="AC112" s="79">
        <v>0</v>
      </c>
      <c r="AD112" s="78">
        <v>0</v>
      </c>
      <c r="AF112" s="144"/>
    </row>
    <row r="113" spans="1:32">
      <c r="A113" s="128" t="s">
        <v>251</v>
      </c>
      <c r="B113" s="143">
        <v>10114.3584610041</v>
      </c>
      <c r="C113" s="129">
        <f t="shared" si="3"/>
        <v>0</v>
      </c>
      <c r="D113" s="129">
        <f t="shared" si="2"/>
        <v>0</v>
      </c>
      <c r="E113" s="129">
        <v>0</v>
      </c>
      <c r="F113" s="129">
        <v>0</v>
      </c>
      <c r="G113" s="129">
        <v>0</v>
      </c>
      <c r="H113" s="129">
        <v>0</v>
      </c>
      <c r="I113" s="129">
        <v>0</v>
      </c>
      <c r="J113" s="129">
        <v>0</v>
      </c>
      <c r="K113" s="129">
        <v>0</v>
      </c>
      <c r="L113" s="129">
        <v>0</v>
      </c>
      <c r="M113" s="129">
        <v>0</v>
      </c>
      <c r="N113" s="129">
        <v>0</v>
      </c>
      <c r="O113" s="129">
        <v>0</v>
      </c>
      <c r="P113" s="129">
        <v>0</v>
      </c>
      <c r="Q113" s="129">
        <v>0</v>
      </c>
      <c r="R113" s="129">
        <v>0</v>
      </c>
      <c r="S113" s="129">
        <v>0</v>
      </c>
      <c r="T113" s="129">
        <v>0</v>
      </c>
      <c r="U113" s="129">
        <v>0</v>
      </c>
      <c r="V113" s="129">
        <v>0</v>
      </c>
      <c r="W113" s="79">
        <v>0</v>
      </c>
      <c r="X113" s="78">
        <v>0</v>
      </c>
      <c r="Y113" s="78">
        <v>0</v>
      </c>
      <c r="Z113" s="78">
        <v>0</v>
      </c>
      <c r="AA113" s="79">
        <v>0</v>
      </c>
      <c r="AB113" s="78">
        <v>0</v>
      </c>
      <c r="AC113" s="79">
        <v>0</v>
      </c>
      <c r="AD113" s="78">
        <v>0</v>
      </c>
      <c r="AF113" s="144"/>
    </row>
    <row r="114" spans="1:32">
      <c r="A114" s="128" t="s">
        <v>253</v>
      </c>
      <c r="B114" s="143">
        <v>8685.87489443929</v>
      </c>
      <c r="C114" s="129">
        <f t="shared" si="3"/>
        <v>0</v>
      </c>
      <c r="D114" s="129">
        <f t="shared" si="2"/>
        <v>0</v>
      </c>
      <c r="E114" s="129">
        <v>0</v>
      </c>
      <c r="F114" s="129">
        <v>0</v>
      </c>
      <c r="G114" s="129">
        <v>0</v>
      </c>
      <c r="H114" s="129">
        <v>0</v>
      </c>
      <c r="I114" s="129">
        <v>0</v>
      </c>
      <c r="J114" s="129">
        <v>0</v>
      </c>
      <c r="K114" s="129">
        <v>0</v>
      </c>
      <c r="L114" s="129">
        <v>0</v>
      </c>
      <c r="M114" s="129">
        <v>0</v>
      </c>
      <c r="N114" s="129">
        <v>0</v>
      </c>
      <c r="O114" s="129">
        <v>0</v>
      </c>
      <c r="P114" s="129">
        <v>0</v>
      </c>
      <c r="Q114" s="129">
        <v>0</v>
      </c>
      <c r="R114" s="129">
        <v>0</v>
      </c>
      <c r="S114" s="129">
        <v>0</v>
      </c>
      <c r="T114" s="129">
        <v>0</v>
      </c>
      <c r="U114" s="129">
        <v>0</v>
      </c>
      <c r="V114" s="129">
        <v>0</v>
      </c>
      <c r="W114" s="79">
        <v>0</v>
      </c>
      <c r="X114" s="78">
        <v>0</v>
      </c>
      <c r="Y114" s="78">
        <v>0</v>
      </c>
      <c r="Z114" s="78">
        <v>0</v>
      </c>
      <c r="AA114" s="79">
        <v>0</v>
      </c>
      <c r="AB114" s="78">
        <v>0</v>
      </c>
      <c r="AC114" s="79">
        <v>0</v>
      </c>
      <c r="AD114" s="78">
        <v>0</v>
      </c>
      <c r="AF114" s="144"/>
    </row>
    <row r="115" spans="1:32">
      <c r="A115" s="128" t="s">
        <v>255</v>
      </c>
      <c r="B115" s="143">
        <v>0</v>
      </c>
      <c r="C115" s="129">
        <f t="shared" si="3"/>
        <v>0</v>
      </c>
      <c r="D115" s="129">
        <f t="shared" si="2"/>
        <v>0</v>
      </c>
      <c r="E115" s="129">
        <v>0</v>
      </c>
      <c r="F115" s="129">
        <v>0</v>
      </c>
      <c r="G115" s="129">
        <v>0</v>
      </c>
      <c r="H115" s="129">
        <v>0</v>
      </c>
      <c r="I115" s="129">
        <v>0</v>
      </c>
      <c r="J115" s="129">
        <v>0</v>
      </c>
      <c r="K115" s="129">
        <v>0</v>
      </c>
      <c r="L115" s="129">
        <v>0</v>
      </c>
      <c r="M115" s="129">
        <v>0</v>
      </c>
      <c r="N115" s="129">
        <v>0</v>
      </c>
      <c r="O115" s="129">
        <v>0</v>
      </c>
      <c r="P115" s="129">
        <v>0</v>
      </c>
      <c r="Q115" s="129">
        <v>0</v>
      </c>
      <c r="R115" s="129">
        <v>0</v>
      </c>
      <c r="S115" s="129">
        <v>0</v>
      </c>
      <c r="T115" s="129">
        <v>0</v>
      </c>
      <c r="U115" s="129">
        <v>0</v>
      </c>
      <c r="V115" s="129">
        <v>0</v>
      </c>
      <c r="W115" s="79">
        <v>0</v>
      </c>
      <c r="X115" s="78">
        <v>0</v>
      </c>
      <c r="Y115" s="78">
        <v>0</v>
      </c>
      <c r="Z115" s="78">
        <v>0</v>
      </c>
      <c r="AA115" s="79">
        <v>0</v>
      </c>
      <c r="AB115" s="78">
        <v>0</v>
      </c>
      <c r="AC115" s="79">
        <v>0</v>
      </c>
      <c r="AD115" s="78">
        <v>0</v>
      </c>
      <c r="AF115" s="144"/>
    </row>
    <row r="116" spans="1:32">
      <c r="A116" s="128" t="s">
        <v>257</v>
      </c>
      <c r="B116" s="143">
        <v>0</v>
      </c>
      <c r="C116" s="129">
        <f t="shared" si="3"/>
        <v>0</v>
      </c>
      <c r="D116" s="129">
        <f t="shared" si="2"/>
        <v>0</v>
      </c>
      <c r="E116" s="129">
        <v>0</v>
      </c>
      <c r="F116" s="129">
        <v>0</v>
      </c>
      <c r="G116" s="129">
        <v>0</v>
      </c>
      <c r="H116" s="129">
        <v>0</v>
      </c>
      <c r="I116" s="129">
        <v>0</v>
      </c>
      <c r="J116" s="129">
        <v>0</v>
      </c>
      <c r="K116" s="129">
        <v>0</v>
      </c>
      <c r="L116" s="129">
        <v>0</v>
      </c>
      <c r="M116" s="129">
        <v>0</v>
      </c>
      <c r="N116" s="129">
        <v>0</v>
      </c>
      <c r="O116" s="129">
        <v>0</v>
      </c>
      <c r="P116" s="129">
        <v>0</v>
      </c>
      <c r="Q116" s="129">
        <v>0</v>
      </c>
      <c r="R116" s="129">
        <v>0</v>
      </c>
      <c r="S116" s="129">
        <v>0</v>
      </c>
      <c r="T116" s="129">
        <v>0</v>
      </c>
      <c r="U116" s="129">
        <v>0</v>
      </c>
      <c r="V116" s="129">
        <v>0</v>
      </c>
      <c r="W116" s="79">
        <v>0</v>
      </c>
      <c r="X116" s="78">
        <v>0</v>
      </c>
      <c r="Y116" s="78">
        <v>0</v>
      </c>
      <c r="Z116" s="78">
        <v>0</v>
      </c>
      <c r="AA116" s="79">
        <v>0</v>
      </c>
      <c r="AB116" s="78">
        <v>0</v>
      </c>
      <c r="AC116" s="79">
        <v>0</v>
      </c>
      <c r="AD116" s="78">
        <v>0</v>
      </c>
      <c r="AF116" s="144"/>
    </row>
    <row r="117" spans="1:32">
      <c r="A117" s="128" t="s">
        <v>259</v>
      </c>
      <c r="B117" s="143">
        <v>8362.88847899806</v>
      </c>
      <c r="C117" s="129">
        <f t="shared" si="3"/>
        <v>502.258784400794</v>
      </c>
      <c r="D117" s="129">
        <f t="shared" si="2"/>
        <v>928.742193680653</v>
      </c>
      <c r="E117" s="129">
        <v>0</v>
      </c>
      <c r="F117" s="129">
        <v>0</v>
      </c>
      <c r="G117" s="129">
        <v>0</v>
      </c>
      <c r="H117" s="129">
        <v>0</v>
      </c>
      <c r="I117" s="129">
        <v>0</v>
      </c>
      <c r="J117" s="129">
        <v>0</v>
      </c>
      <c r="K117" s="129">
        <v>0</v>
      </c>
      <c r="L117" s="129">
        <v>0</v>
      </c>
      <c r="M117" s="129">
        <v>502.258784400794</v>
      </c>
      <c r="N117" s="129">
        <v>928.742193680653</v>
      </c>
      <c r="O117" s="129">
        <v>0</v>
      </c>
      <c r="P117" s="129">
        <v>0</v>
      </c>
      <c r="Q117" s="129">
        <v>0</v>
      </c>
      <c r="R117" s="129">
        <v>0</v>
      </c>
      <c r="S117" s="129">
        <v>0</v>
      </c>
      <c r="T117" s="129">
        <v>0</v>
      </c>
      <c r="U117" s="129">
        <v>0</v>
      </c>
      <c r="V117" s="129">
        <v>0</v>
      </c>
      <c r="W117" s="79">
        <v>0</v>
      </c>
      <c r="X117" s="78">
        <v>0</v>
      </c>
      <c r="Y117" s="78">
        <v>0</v>
      </c>
      <c r="Z117" s="78">
        <v>0</v>
      </c>
      <c r="AA117" s="79">
        <v>0</v>
      </c>
      <c r="AB117" s="78">
        <v>0</v>
      </c>
      <c r="AC117" s="79">
        <v>0</v>
      </c>
      <c r="AD117" s="78">
        <v>0</v>
      </c>
      <c r="AF117" s="144"/>
    </row>
    <row r="118" spans="1:32">
      <c r="A118" s="128" t="s">
        <v>261</v>
      </c>
      <c r="B118" s="143">
        <v>6154.48812119616</v>
      </c>
      <c r="C118" s="129">
        <f t="shared" si="3"/>
        <v>0</v>
      </c>
      <c r="D118" s="129">
        <f t="shared" si="2"/>
        <v>0</v>
      </c>
      <c r="E118" s="129">
        <v>0</v>
      </c>
      <c r="F118" s="129">
        <v>0</v>
      </c>
      <c r="G118" s="129">
        <v>0</v>
      </c>
      <c r="H118" s="129">
        <v>0</v>
      </c>
      <c r="I118" s="129">
        <v>0</v>
      </c>
      <c r="J118" s="129">
        <v>0</v>
      </c>
      <c r="K118" s="129">
        <v>0</v>
      </c>
      <c r="L118" s="129">
        <v>0</v>
      </c>
      <c r="M118" s="129">
        <v>0</v>
      </c>
      <c r="N118" s="129">
        <v>0</v>
      </c>
      <c r="O118" s="129">
        <v>0</v>
      </c>
      <c r="P118" s="129">
        <v>0</v>
      </c>
      <c r="Q118" s="129">
        <v>0</v>
      </c>
      <c r="R118" s="129">
        <v>0</v>
      </c>
      <c r="S118" s="129">
        <v>0</v>
      </c>
      <c r="T118" s="129">
        <v>0</v>
      </c>
      <c r="U118" s="129">
        <v>0</v>
      </c>
      <c r="V118" s="129">
        <v>0</v>
      </c>
      <c r="W118" s="79">
        <v>0</v>
      </c>
      <c r="X118" s="78">
        <v>0</v>
      </c>
      <c r="Y118" s="78">
        <v>0</v>
      </c>
      <c r="Z118" s="78">
        <v>0</v>
      </c>
      <c r="AA118" s="79">
        <v>0</v>
      </c>
      <c r="AB118" s="78">
        <v>0</v>
      </c>
      <c r="AC118" s="79">
        <v>0</v>
      </c>
      <c r="AD118" s="78">
        <v>0</v>
      </c>
      <c r="AF118" s="144"/>
    </row>
    <row r="119" spans="1:32">
      <c r="A119" s="128" t="s">
        <v>263</v>
      </c>
      <c r="B119" s="143">
        <v>7707.01438457702</v>
      </c>
      <c r="C119" s="129">
        <f t="shared" si="3"/>
        <v>692.337087238969</v>
      </c>
      <c r="D119" s="129">
        <f t="shared" si="2"/>
        <v>676.655389076849</v>
      </c>
      <c r="E119" s="129">
        <v>0</v>
      </c>
      <c r="F119" s="129">
        <v>0</v>
      </c>
      <c r="G119" s="129">
        <v>0</v>
      </c>
      <c r="H119" s="129">
        <v>0</v>
      </c>
      <c r="I119" s="129">
        <v>0</v>
      </c>
      <c r="J119" s="129">
        <v>0</v>
      </c>
      <c r="K119" s="129">
        <v>0</v>
      </c>
      <c r="L119" s="129">
        <v>0</v>
      </c>
      <c r="M119" s="129">
        <v>0</v>
      </c>
      <c r="N119" s="129">
        <v>0</v>
      </c>
      <c r="O119" s="129">
        <v>0</v>
      </c>
      <c r="P119" s="129">
        <v>0</v>
      </c>
      <c r="Q119" s="129">
        <v>0</v>
      </c>
      <c r="R119" s="129">
        <v>0</v>
      </c>
      <c r="S119" s="129">
        <v>0</v>
      </c>
      <c r="T119" s="129">
        <v>0</v>
      </c>
      <c r="U119" s="129">
        <v>0</v>
      </c>
      <c r="V119" s="129">
        <v>0</v>
      </c>
      <c r="W119" s="79">
        <v>0</v>
      </c>
      <c r="X119" s="78">
        <v>0</v>
      </c>
      <c r="Y119" s="78">
        <v>0</v>
      </c>
      <c r="Z119" s="78">
        <v>0</v>
      </c>
      <c r="AA119" s="79">
        <v>0</v>
      </c>
      <c r="AB119" s="78">
        <v>0</v>
      </c>
      <c r="AC119" s="79">
        <v>692.337087238969</v>
      </c>
      <c r="AD119" s="78">
        <v>676.655389076849</v>
      </c>
      <c r="AF119" s="144"/>
    </row>
    <row r="120" spans="1:32">
      <c r="A120" s="128" t="s">
        <v>265</v>
      </c>
      <c r="B120" s="143">
        <v>19961.5659136074</v>
      </c>
      <c r="C120" s="129">
        <f t="shared" si="3"/>
        <v>0</v>
      </c>
      <c r="D120" s="129">
        <f t="shared" si="2"/>
        <v>0</v>
      </c>
      <c r="E120" s="129">
        <v>0</v>
      </c>
      <c r="F120" s="129">
        <v>0</v>
      </c>
      <c r="G120" s="129">
        <v>0</v>
      </c>
      <c r="H120" s="129">
        <v>0</v>
      </c>
      <c r="I120" s="129">
        <v>0</v>
      </c>
      <c r="J120" s="129">
        <v>0</v>
      </c>
      <c r="K120" s="129">
        <v>0</v>
      </c>
      <c r="L120" s="129">
        <v>0</v>
      </c>
      <c r="M120" s="129">
        <v>0</v>
      </c>
      <c r="N120" s="129">
        <v>0</v>
      </c>
      <c r="O120" s="129">
        <v>0</v>
      </c>
      <c r="P120" s="129">
        <v>0</v>
      </c>
      <c r="Q120" s="129">
        <v>0</v>
      </c>
      <c r="R120" s="129">
        <v>0</v>
      </c>
      <c r="S120" s="129">
        <v>0</v>
      </c>
      <c r="T120" s="129">
        <v>0</v>
      </c>
      <c r="U120" s="129">
        <v>0</v>
      </c>
      <c r="V120" s="129">
        <v>0</v>
      </c>
      <c r="W120" s="79">
        <v>0</v>
      </c>
      <c r="X120" s="78">
        <v>0</v>
      </c>
      <c r="Y120" s="78">
        <v>0</v>
      </c>
      <c r="Z120" s="78">
        <v>0</v>
      </c>
      <c r="AA120" s="79">
        <v>0</v>
      </c>
      <c r="AB120" s="78">
        <v>0</v>
      </c>
      <c r="AC120" s="79">
        <v>0</v>
      </c>
      <c r="AD120" s="78">
        <v>0</v>
      </c>
      <c r="AF120" s="144"/>
    </row>
    <row r="121" spans="1:32">
      <c r="A121" s="128" t="s">
        <v>267</v>
      </c>
      <c r="B121" s="143">
        <v>3105.0388689633</v>
      </c>
      <c r="C121" s="129">
        <f t="shared" si="3"/>
        <v>0</v>
      </c>
      <c r="D121" s="129">
        <f t="shared" si="2"/>
        <v>0</v>
      </c>
      <c r="E121" s="129">
        <v>0</v>
      </c>
      <c r="F121" s="129">
        <v>0</v>
      </c>
      <c r="G121" s="129">
        <v>0</v>
      </c>
      <c r="H121" s="129">
        <v>0</v>
      </c>
      <c r="I121" s="129">
        <v>0</v>
      </c>
      <c r="J121" s="129">
        <v>0</v>
      </c>
      <c r="K121" s="129">
        <v>0</v>
      </c>
      <c r="L121" s="129">
        <v>0</v>
      </c>
      <c r="M121" s="129">
        <v>0</v>
      </c>
      <c r="N121" s="129">
        <v>0</v>
      </c>
      <c r="O121" s="129">
        <v>0</v>
      </c>
      <c r="P121" s="129">
        <v>0</v>
      </c>
      <c r="Q121" s="129">
        <v>0</v>
      </c>
      <c r="R121" s="129">
        <v>0</v>
      </c>
      <c r="S121" s="129">
        <v>0</v>
      </c>
      <c r="T121" s="129">
        <v>0</v>
      </c>
      <c r="U121" s="129">
        <v>0</v>
      </c>
      <c r="V121" s="129">
        <v>0</v>
      </c>
      <c r="W121" s="79">
        <v>0</v>
      </c>
      <c r="X121" s="78">
        <v>0</v>
      </c>
      <c r="Y121" s="78">
        <v>0</v>
      </c>
      <c r="Z121" s="78">
        <v>0</v>
      </c>
      <c r="AA121" s="79">
        <v>0</v>
      </c>
      <c r="AB121" s="78">
        <v>0</v>
      </c>
      <c r="AC121" s="79">
        <v>0</v>
      </c>
      <c r="AD121" s="78">
        <v>0</v>
      </c>
      <c r="AF121" s="144"/>
    </row>
    <row r="122" spans="1:32">
      <c r="A122" s="128" t="s">
        <v>269</v>
      </c>
      <c r="B122" s="143">
        <v>2634.54543957761</v>
      </c>
      <c r="C122" s="129">
        <f t="shared" si="3"/>
        <v>0</v>
      </c>
      <c r="D122" s="129">
        <f t="shared" si="2"/>
        <v>0</v>
      </c>
      <c r="E122" s="129">
        <v>0</v>
      </c>
      <c r="F122" s="129">
        <v>0</v>
      </c>
      <c r="G122" s="129">
        <v>0</v>
      </c>
      <c r="H122" s="129">
        <v>0</v>
      </c>
      <c r="I122" s="129">
        <v>0</v>
      </c>
      <c r="J122" s="129">
        <v>0</v>
      </c>
      <c r="K122" s="129">
        <v>0</v>
      </c>
      <c r="L122" s="129">
        <v>0</v>
      </c>
      <c r="M122" s="129">
        <v>0</v>
      </c>
      <c r="N122" s="129">
        <v>0</v>
      </c>
      <c r="O122" s="129">
        <v>0</v>
      </c>
      <c r="P122" s="129">
        <v>0</v>
      </c>
      <c r="Q122" s="129">
        <v>0</v>
      </c>
      <c r="R122" s="129">
        <v>0</v>
      </c>
      <c r="S122" s="129">
        <v>0</v>
      </c>
      <c r="T122" s="129">
        <v>0</v>
      </c>
      <c r="U122" s="129">
        <v>0</v>
      </c>
      <c r="V122" s="129">
        <v>0</v>
      </c>
      <c r="W122" s="79">
        <v>0</v>
      </c>
      <c r="X122" s="78">
        <v>0</v>
      </c>
      <c r="Y122" s="78">
        <v>0</v>
      </c>
      <c r="Z122" s="78">
        <v>0</v>
      </c>
      <c r="AA122" s="79">
        <v>0</v>
      </c>
      <c r="AB122" s="78">
        <v>0</v>
      </c>
      <c r="AC122" s="79">
        <v>0</v>
      </c>
      <c r="AD122" s="78">
        <v>0</v>
      </c>
      <c r="AF122" s="144"/>
    </row>
    <row r="123" spans="1:32">
      <c r="A123" s="128" t="s">
        <v>271</v>
      </c>
      <c r="B123" s="143">
        <v>7542.24203149607</v>
      </c>
      <c r="C123" s="129">
        <f t="shared" si="3"/>
        <v>0</v>
      </c>
      <c r="D123" s="129">
        <f t="shared" si="2"/>
        <v>0</v>
      </c>
      <c r="E123" s="129">
        <v>0</v>
      </c>
      <c r="F123" s="129">
        <v>0</v>
      </c>
      <c r="G123" s="129">
        <v>0</v>
      </c>
      <c r="H123" s="129">
        <v>0</v>
      </c>
      <c r="I123" s="129">
        <v>0</v>
      </c>
      <c r="J123" s="129">
        <v>0</v>
      </c>
      <c r="K123" s="129">
        <v>0</v>
      </c>
      <c r="L123" s="129">
        <v>0</v>
      </c>
      <c r="M123" s="129">
        <v>0</v>
      </c>
      <c r="N123" s="129">
        <v>0</v>
      </c>
      <c r="O123" s="129">
        <v>0</v>
      </c>
      <c r="P123" s="129">
        <v>0</v>
      </c>
      <c r="Q123" s="129">
        <v>0</v>
      </c>
      <c r="R123" s="129">
        <v>0</v>
      </c>
      <c r="S123" s="129">
        <v>0</v>
      </c>
      <c r="T123" s="129">
        <v>0</v>
      </c>
      <c r="U123" s="129">
        <v>0</v>
      </c>
      <c r="V123" s="129">
        <v>0</v>
      </c>
      <c r="W123" s="79">
        <v>0</v>
      </c>
      <c r="X123" s="78">
        <v>0</v>
      </c>
      <c r="Y123" s="78">
        <v>0</v>
      </c>
      <c r="Z123" s="78">
        <v>0</v>
      </c>
      <c r="AA123" s="79">
        <v>0</v>
      </c>
      <c r="AB123" s="78">
        <v>0</v>
      </c>
      <c r="AC123" s="79">
        <v>0</v>
      </c>
      <c r="AD123" s="78">
        <v>0</v>
      </c>
      <c r="AF123" s="144"/>
    </row>
    <row r="124" spans="1:32">
      <c r="A124" s="128" t="s">
        <v>273</v>
      </c>
      <c r="B124" s="143">
        <v>15809.2052406502</v>
      </c>
      <c r="C124" s="129">
        <f t="shared" si="3"/>
        <v>875.800946946552</v>
      </c>
      <c r="D124" s="129">
        <f t="shared" si="2"/>
        <v>233.296386452017</v>
      </c>
      <c r="E124" s="129">
        <v>0</v>
      </c>
      <c r="F124" s="129">
        <v>0</v>
      </c>
      <c r="G124" s="129">
        <v>0</v>
      </c>
      <c r="H124" s="129">
        <v>0</v>
      </c>
      <c r="I124" s="129">
        <v>0</v>
      </c>
      <c r="J124" s="129">
        <v>0</v>
      </c>
      <c r="K124" s="129">
        <v>0</v>
      </c>
      <c r="L124" s="129">
        <v>0</v>
      </c>
      <c r="M124" s="129">
        <v>462.606944001892</v>
      </c>
      <c r="N124" s="129">
        <v>233.296386452017</v>
      </c>
      <c r="O124" s="129">
        <v>413.19400294466</v>
      </c>
      <c r="P124" s="129">
        <v>0</v>
      </c>
      <c r="Q124" s="129">
        <v>0</v>
      </c>
      <c r="R124" s="129">
        <v>0</v>
      </c>
      <c r="S124" s="129">
        <v>0</v>
      </c>
      <c r="T124" s="129">
        <v>0</v>
      </c>
      <c r="U124" s="129">
        <v>0</v>
      </c>
      <c r="V124" s="129">
        <v>0</v>
      </c>
      <c r="W124" s="79">
        <v>0</v>
      </c>
      <c r="X124" s="78">
        <v>0</v>
      </c>
      <c r="Y124" s="78">
        <v>0</v>
      </c>
      <c r="Z124" s="78">
        <v>0</v>
      </c>
      <c r="AA124" s="79">
        <v>0</v>
      </c>
      <c r="AB124" s="78">
        <v>0</v>
      </c>
      <c r="AC124" s="79">
        <v>0</v>
      </c>
      <c r="AD124" s="78">
        <v>0</v>
      </c>
      <c r="AF124" s="144"/>
    </row>
    <row r="125" spans="1:32">
      <c r="A125" s="128" t="s">
        <v>275</v>
      </c>
      <c r="B125" s="143">
        <v>2172.80846652761</v>
      </c>
      <c r="C125" s="129">
        <f t="shared" si="3"/>
        <v>62.3067890435908</v>
      </c>
      <c r="D125" s="129">
        <f t="shared" si="2"/>
        <v>-61.8649915530492</v>
      </c>
      <c r="E125" s="129">
        <v>0</v>
      </c>
      <c r="F125" s="129">
        <v>0</v>
      </c>
      <c r="G125" s="129">
        <v>62.3067890435908</v>
      </c>
      <c r="H125" s="129">
        <v>-61.8649915530492</v>
      </c>
      <c r="I125" s="129">
        <v>0</v>
      </c>
      <c r="J125" s="129">
        <v>0</v>
      </c>
      <c r="K125" s="129">
        <v>0</v>
      </c>
      <c r="L125" s="129">
        <v>0</v>
      </c>
      <c r="M125" s="129">
        <v>0</v>
      </c>
      <c r="N125" s="129">
        <v>0</v>
      </c>
      <c r="O125" s="129">
        <v>0</v>
      </c>
      <c r="P125" s="129">
        <v>0</v>
      </c>
      <c r="Q125" s="129">
        <v>0</v>
      </c>
      <c r="R125" s="129">
        <v>0</v>
      </c>
      <c r="S125" s="129">
        <v>0</v>
      </c>
      <c r="T125" s="129">
        <v>0</v>
      </c>
      <c r="U125" s="129">
        <v>0</v>
      </c>
      <c r="V125" s="129">
        <v>0</v>
      </c>
      <c r="W125" s="79">
        <v>0</v>
      </c>
      <c r="X125" s="78">
        <v>0</v>
      </c>
      <c r="Y125" s="78">
        <v>0</v>
      </c>
      <c r="Z125" s="78">
        <v>0</v>
      </c>
      <c r="AA125" s="79">
        <v>0</v>
      </c>
      <c r="AB125" s="78">
        <v>0</v>
      </c>
      <c r="AC125" s="79">
        <v>0</v>
      </c>
      <c r="AD125" s="78">
        <v>0</v>
      </c>
      <c r="AF125" s="144"/>
    </row>
    <row r="126" spans="1:32">
      <c r="A126" s="128" t="s">
        <v>277</v>
      </c>
      <c r="B126" s="143">
        <v>3273.43987373381</v>
      </c>
      <c r="C126" s="129">
        <f t="shared" si="3"/>
        <v>924.535646757869</v>
      </c>
      <c r="D126" s="129">
        <f t="shared" si="2"/>
        <v>884.810074488662</v>
      </c>
      <c r="E126" s="129">
        <v>0</v>
      </c>
      <c r="F126" s="129">
        <v>0</v>
      </c>
      <c r="G126" s="129">
        <v>0</v>
      </c>
      <c r="H126" s="129">
        <v>0</v>
      </c>
      <c r="I126" s="129">
        <v>0</v>
      </c>
      <c r="J126" s="129">
        <v>0</v>
      </c>
      <c r="K126" s="129">
        <v>0</v>
      </c>
      <c r="L126" s="129">
        <v>0</v>
      </c>
      <c r="M126" s="129">
        <v>0</v>
      </c>
      <c r="N126" s="129">
        <v>0</v>
      </c>
      <c r="O126" s="129">
        <v>0</v>
      </c>
      <c r="P126" s="129">
        <v>0</v>
      </c>
      <c r="Q126" s="129">
        <v>0</v>
      </c>
      <c r="R126" s="129">
        <v>0</v>
      </c>
      <c r="S126" s="129">
        <v>0</v>
      </c>
      <c r="T126" s="129">
        <v>0</v>
      </c>
      <c r="U126" s="129">
        <v>0</v>
      </c>
      <c r="V126" s="129">
        <v>0</v>
      </c>
      <c r="W126" s="79">
        <v>0</v>
      </c>
      <c r="X126" s="78">
        <v>0</v>
      </c>
      <c r="Y126" s="78">
        <v>0</v>
      </c>
      <c r="Z126" s="78">
        <v>0</v>
      </c>
      <c r="AA126" s="79">
        <v>0</v>
      </c>
      <c r="AB126" s="78">
        <v>0</v>
      </c>
      <c r="AC126" s="79">
        <v>924.535646757869</v>
      </c>
      <c r="AD126" s="78">
        <v>884.810074488662</v>
      </c>
      <c r="AF126" s="144"/>
    </row>
    <row r="127" spans="1:32">
      <c r="A127" s="128" t="s">
        <v>279</v>
      </c>
      <c r="B127" s="143">
        <v>1129.77348503085</v>
      </c>
      <c r="C127" s="129">
        <f t="shared" si="3"/>
        <v>0</v>
      </c>
      <c r="D127" s="129">
        <f t="shared" si="2"/>
        <v>0</v>
      </c>
      <c r="E127" s="129">
        <v>0</v>
      </c>
      <c r="F127" s="129">
        <v>0</v>
      </c>
      <c r="G127" s="129">
        <v>0</v>
      </c>
      <c r="H127" s="129">
        <v>0</v>
      </c>
      <c r="I127" s="129">
        <v>0</v>
      </c>
      <c r="J127" s="129">
        <v>0</v>
      </c>
      <c r="K127" s="129">
        <v>0</v>
      </c>
      <c r="L127" s="129">
        <v>0</v>
      </c>
      <c r="M127" s="129">
        <v>0</v>
      </c>
      <c r="N127" s="129">
        <v>0</v>
      </c>
      <c r="O127" s="129">
        <v>0</v>
      </c>
      <c r="P127" s="129">
        <v>0</v>
      </c>
      <c r="Q127" s="129">
        <v>0</v>
      </c>
      <c r="R127" s="129">
        <v>0</v>
      </c>
      <c r="S127" s="129">
        <v>0</v>
      </c>
      <c r="T127" s="129">
        <v>0</v>
      </c>
      <c r="U127" s="129">
        <v>0</v>
      </c>
      <c r="V127" s="129">
        <v>0</v>
      </c>
      <c r="W127" s="79">
        <v>0</v>
      </c>
      <c r="X127" s="78">
        <v>0</v>
      </c>
      <c r="Y127" s="78">
        <v>0</v>
      </c>
      <c r="Z127" s="78">
        <v>0</v>
      </c>
      <c r="AA127" s="79">
        <v>0</v>
      </c>
      <c r="AB127" s="78">
        <v>0</v>
      </c>
      <c r="AC127" s="79">
        <v>0</v>
      </c>
      <c r="AD127" s="78">
        <v>0</v>
      </c>
      <c r="AF127" s="144"/>
    </row>
    <row r="128" spans="1:32">
      <c r="A128" s="128" t="s">
        <v>281</v>
      </c>
      <c r="B128" s="143">
        <v>1221.81983438146</v>
      </c>
      <c r="C128" s="129">
        <f t="shared" si="3"/>
        <v>0</v>
      </c>
      <c r="D128" s="129">
        <f t="shared" si="2"/>
        <v>0</v>
      </c>
      <c r="E128" s="129">
        <v>0</v>
      </c>
      <c r="F128" s="129">
        <v>0</v>
      </c>
      <c r="G128" s="129">
        <v>0</v>
      </c>
      <c r="H128" s="129">
        <v>0</v>
      </c>
      <c r="I128" s="129">
        <v>0</v>
      </c>
      <c r="J128" s="129">
        <v>0</v>
      </c>
      <c r="K128" s="129">
        <v>0</v>
      </c>
      <c r="L128" s="129">
        <v>0</v>
      </c>
      <c r="M128" s="129">
        <v>0</v>
      </c>
      <c r="N128" s="129">
        <v>0</v>
      </c>
      <c r="O128" s="129">
        <v>0</v>
      </c>
      <c r="P128" s="129">
        <v>0</v>
      </c>
      <c r="Q128" s="129">
        <v>0</v>
      </c>
      <c r="R128" s="129">
        <v>0</v>
      </c>
      <c r="S128" s="129">
        <v>0</v>
      </c>
      <c r="T128" s="129">
        <v>0</v>
      </c>
      <c r="U128" s="129">
        <v>0</v>
      </c>
      <c r="V128" s="129">
        <v>0</v>
      </c>
      <c r="W128" s="79">
        <v>0</v>
      </c>
      <c r="X128" s="78">
        <v>0</v>
      </c>
      <c r="Y128" s="78">
        <v>0</v>
      </c>
      <c r="Z128" s="78">
        <v>0</v>
      </c>
      <c r="AA128" s="79">
        <v>0</v>
      </c>
      <c r="AB128" s="78">
        <v>0</v>
      </c>
      <c r="AC128" s="79">
        <v>0</v>
      </c>
      <c r="AD128" s="78">
        <v>0</v>
      </c>
      <c r="AF128" s="144"/>
    </row>
    <row r="129" spans="1:32">
      <c r="A129" s="128" t="s">
        <v>283</v>
      </c>
      <c r="B129" s="143">
        <v>4770.27862392178</v>
      </c>
      <c r="C129" s="129">
        <f t="shared" si="3"/>
        <v>0</v>
      </c>
      <c r="D129" s="129">
        <f t="shared" si="2"/>
        <v>0</v>
      </c>
      <c r="E129" s="129">
        <v>0</v>
      </c>
      <c r="F129" s="129">
        <v>0</v>
      </c>
      <c r="G129" s="129">
        <v>0</v>
      </c>
      <c r="H129" s="129">
        <v>0</v>
      </c>
      <c r="I129" s="129">
        <v>0</v>
      </c>
      <c r="J129" s="129">
        <v>0</v>
      </c>
      <c r="K129" s="129">
        <v>0</v>
      </c>
      <c r="L129" s="129">
        <v>0</v>
      </c>
      <c r="M129" s="129">
        <v>0</v>
      </c>
      <c r="N129" s="129">
        <v>0</v>
      </c>
      <c r="O129" s="129">
        <v>0</v>
      </c>
      <c r="P129" s="129">
        <v>0</v>
      </c>
      <c r="Q129" s="129">
        <v>0</v>
      </c>
      <c r="R129" s="129">
        <v>0</v>
      </c>
      <c r="S129" s="129">
        <v>0</v>
      </c>
      <c r="T129" s="129">
        <v>0</v>
      </c>
      <c r="U129" s="129">
        <v>0</v>
      </c>
      <c r="V129" s="129">
        <v>0</v>
      </c>
      <c r="W129" s="79">
        <v>0</v>
      </c>
      <c r="X129" s="78">
        <v>0</v>
      </c>
      <c r="Y129" s="78">
        <v>0</v>
      </c>
      <c r="Z129" s="78">
        <v>0</v>
      </c>
      <c r="AA129" s="79">
        <v>0</v>
      </c>
      <c r="AB129" s="78">
        <v>0</v>
      </c>
      <c r="AC129" s="79">
        <v>0</v>
      </c>
      <c r="AD129" s="78">
        <v>0</v>
      </c>
      <c r="AF129" s="144"/>
    </row>
    <row r="130" spans="1:32">
      <c r="A130" s="128" t="s">
        <v>287</v>
      </c>
      <c r="B130" s="143">
        <v>2063.98813325629</v>
      </c>
      <c r="C130" s="129">
        <f t="shared" si="3"/>
        <v>0</v>
      </c>
      <c r="D130" s="129">
        <f t="shared" si="2"/>
        <v>0</v>
      </c>
      <c r="E130" s="129">
        <v>0</v>
      </c>
      <c r="F130" s="129">
        <v>0</v>
      </c>
      <c r="G130" s="129">
        <v>0</v>
      </c>
      <c r="H130" s="129">
        <v>0</v>
      </c>
      <c r="I130" s="129">
        <v>0</v>
      </c>
      <c r="J130" s="129">
        <v>0</v>
      </c>
      <c r="K130" s="129">
        <v>0</v>
      </c>
      <c r="L130" s="129">
        <v>0</v>
      </c>
      <c r="M130" s="129">
        <v>0</v>
      </c>
      <c r="N130" s="129">
        <v>0</v>
      </c>
      <c r="O130" s="129">
        <v>0</v>
      </c>
      <c r="P130" s="129">
        <v>0</v>
      </c>
      <c r="Q130" s="129">
        <v>0</v>
      </c>
      <c r="R130" s="129">
        <v>0</v>
      </c>
      <c r="S130" s="129">
        <v>0</v>
      </c>
      <c r="T130" s="129">
        <v>0</v>
      </c>
      <c r="U130" s="129">
        <v>0</v>
      </c>
      <c r="V130" s="129">
        <v>0</v>
      </c>
      <c r="W130" s="79">
        <v>0</v>
      </c>
      <c r="X130" s="78">
        <v>0</v>
      </c>
      <c r="Y130" s="78">
        <v>0</v>
      </c>
      <c r="Z130" s="78">
        <v>0</v>
      </c>
      <c r="AA130" s="79">
        <v>0</v>
      </c>
      <c r="AB130" s="78">
        <v>0</v>
      </c>
      <c r="AC130" s="79">
        <v>0</v>
      </c>
      <c r="AD130" s="78">
        <v>0</v>
      </c>
      <c r="AF130" s="144"/>
    </row>
    <row r="131" spans="1:32">
      <c r="A131" s="128" t="s">
        <v>285</v>
      </c>
      <c r="B131" s="143">
        <v>0</v>
      </c>
      <c r="C131" s="129">
        <f t="shared" si="3"/>
        <v>0</v>
      </c>
      <c r="D131" s="129">
        <f t="shared" ref="D131:D211" si="4">F131+H131+J131+L131+N131+P131+R131+T131+V131+X131+Z131+AD131+AB131</f>
        <v>0</v>
      </c>
      <c r="E131" s="129">
        <v>0</v>
      </c>
      <c r="F131" s="129">
        <v>0</v>
      </c>
      <c r="G131" s="129">
        <v>0</v>
      </c>
      <c r="H131" s="129">
        <v>0</v>
      </c>
      <c r="I131" s="129">
        <v>0</v>
      </c>
      <c r="J131" s="129">
        <v>0</v>
      </c>
      <c r="K131" s="129">
        <v>0</v>
      </c>
      <c r="L131" s="129">
        <v>0</v>
      </c>
      <c r="M131" s="129">
        <v>0</v>
      </c>
      <c r="N131" s="129">
        <v>0</v>
      </c>
      <c r="O131" s="129">
        <v>0</v>
      </c>
      <c r="P131" s="129">
        <v>0</v>
      </c>
      <c r="Q131" s="129">
        <v>0</v>
      </c>
      <c r="R131" s="129">
        <v>0</v>
      </c>
      <c r="S131" s="129">
        <v>0</v>
      </c>
      <c r="T131" s="129">
        <v>0</v>
      </c>
      <c r="U131" s="129">
        <v>0</v>
      </c>
      <c r="V131" s="129">
        <v>0</v>
      </c>
      <c r="W131" s="79">
        <v>0</v>
      </c>
      <c r="X131" s="78">
        <v>0</v>
      </c>
      <c r="Y131" s="78">
        <v>0</v>
      </c>
      <c r="Z131" s="78">
        <v>0</v>
      </c>
      <c r="AA131" s="79">
        <v>0</v>
      </c>
      <c r="AB131" s="78">
        <v>0</v>
      </c>
      <c r="AC131" s="79">
        <v>0</v>
      </c>
      <c r="AD131" s="78">
        <v>0</v>
      </c>
      <c r="AF131" s="144"/>
    </row>
    <row r="132" spans="1:32">
      <c r="A132" s="128" t="s">
        <v>289</v>
      </c>
      <c r="B132" s="143">
        <v>0</v>
      </c>
      <c r="C132" s="129">
        <f t="shared" ref="C132:C211" si="5">E132+G132+I132+K132+M132+O132+Q132+S132+U132+W132+Y132+AC132+AA132</f>
        <v>0</v>
      </c>
      <c r="D132" s="129">
        <f t="shared" si="4"/>
        <v>0</v>
      </c>
      <c r="E132" s="129">
        <v>0</v>
      </c>
      <c r="F132" s="129">
        <v>0</v>
      </c>
      <c r="G132" s="129">
        <v>0</v>
      </c>
      <c r="H132" s="129">
        <v>0</v>
      </c>
      <c r="I132" s="129">
        <v>0</v>
      </c>
      <c r="J132" s="129">
        <v>0</v>
      </c>
      <c r="K132" s="129">
        <v>0</v>
      </c>
      <c r="L132" s="129">
        <v>0</v>
      </c>
      <c r="M132" s="129">
        <v>0</v>
      </c>
      <c r="N132" s="129">
        <v>0</v>
      </c>
      <c r="O132" s="129">
        <v>0</v>
      </c>
      <c r="P132" s="129">
        <v>0</v>
      </c>
      <c r="Q132" s="129">
        <v>0</v>
      </c>
      <c r="R132" s="129">
        <v>0</v>
      </c>
      <c r="S132" s="129">
        <v>0</v>
      </c>
      <c r="T132" s="129">
        <v>0</v>
      </c>
      <c r="U132" s="129">
        <v>0</v>
      </c>
      <c r="V132" s="129">
        <v>0</v>
      </c>
      <c r="W132" s="79">
        <v>0</v>
      </c>
      <c r="X132" s="78">
        <v>0</v>
      </c>
      <c r="Y132" s="78">
        <v>0</v>
      </c>
      <c r="Z132" s="78">
        <v>0</v>
      </c>
      <c r="AA132" s="79">
        <v>0</v>
      </c>
      <c r="AB132" s="78">
        <v>0</v>
      </c>
      <c r="AC132" s="79">
        <v>0</v>
      </c>
      <c r="AD132" s="78">
        <v>0</v>
      </c>
      <c r="AF132" s="144"/>
    </row>
    <row r="133" spans="1:32">
      <c r="A133" s="128" t="s">
        <v>291</v>
      </c>
      <c r="B133" s="143">
        <v>431.359629117491</v>
      </c>
      <c r="C133" s="129">
        <f t="shared" si="5"/>
        <v>0</v>
      </c>
      <c r="D133" s="129">
        <f t="shared" si="4"/>
        <v>0</v>
      </c>
      <c r="E133" s="129">
        <v>0</v>
      </c>
      <c r="F133" s="129">
        <v>0</v>
      </c>
      <c r="G133" s="129">
        <v>0</v>
      </c>
      <c r="H133" s="129">
        <v>0</v>
      </c>
      <c r="I133" s="129">
        <v>0</v>
      </c>
      <c r="J133" s="129">
        <v>0</v>
      </c>
      <c r="K133" s="129">
        <v>0</v>
      </c>
      <c r="L133" s="129">
        <v>0</v>
      </c>
      <c r="M133" s="129">
        <v>0</v>
      </c>
      <c r="N133" s="129">
        <v>0</v>
      </c>
      <c r="O133" s="129">
        <v>0</v>
      </c>
      <c r="P133" s="129">
        <v>0</v>
      </c>
      <c r="Q133" s="129">
        <v>0</v>
      </c>
      <c r="R133" s="129">
        <v>0</v>
      </c>
      <c r="S133" s="129">
        <v>0</v>
      </c>
      <c r="T133" s="129">
        <v>0</v>
      </c>
      <c r="U133" s="129">
        <v>0</v>
      </c>
      <c r="V133" s="129">
        <v>0</v>
      </c>
      <c r="W133" s="79">
        <v>0</v>
      </c>
      <c r="X133" s="78">
        <v>0</v>
      </c>
      <c r="Y133" s="78">
        <v>0</v>
      </c>
      <c r="Z133" s="78">
        <v>0</v>
      </c>
      <c r="AA133" s="79">
        <v>0</v>
      </c>
      <c r="AB133" s="78">
        <v>0</v>
      </c>
      <c r="AC133" s="79">
        <v>0</v>
      </c>
      <c r="AD133" s="78">
        <v>0</v>
      </c>
      <c r="AF133" s="144"/>
    </row>
    <row r="134" spans="1:32">
      <c r="A134" s="128" t="s">
        <v>293</v>
      </c>
      <c r="B134" s="143">
        <v>200.919205364543</v>
      </c>
      <c r="C134" s="129">
        <f t="shared" si="5"/>
        <v>0</v>
      </c>
      <c r="D134" s="129">
        <f t="shared" si="4"/>
        <v>0</v>
      </c>
      <c r="E134" s="129">
        <v>0</v>
      </c>
      <c r="F134" s="129">
        <v>0</v>
      </c>
      <c r="G134" s="129">
        <v>0</v>
      </c>
      <c r="H134" s="129">
        <v>0</v>
      </c>
      <c r="I134" s="129">
        <v>0</v>
      </c>
      <c r="J134" s="129">
        <v>0</v>
      </c>
      <c r="K134" s="129">
        <v>0</v>
      </c>
      <c r="L134" s="129">
        <v>0</v>
      </c>
      <c r="M134" s="129">
        <v>0</v>
      </c>
      <c r="N134" s="129">
        <v>0</v>
      </c>
      <c r="O134" s="129">
        <v>0</v>
      </c>
      <c r="P134" s="129">
        <v>0</v>
      </c>
      <c r="Q134" s="129">
        <v>0</v>
      </c>
      <c r="R134" s="129">
        <v>0</v>
      </c>
      <c r="S134" s="129">
        <v>0</v>
      </c>
      <c r="T134" s="129">
        <v>0</v>
      </c>
      <c r="U134" s="129">
        <v>0</v>
      </c>
      <c r="V134" s="129">
        <v>0</v>
      </c>
      <c r="W134" s="79">
        <v>0</v>
      </c>
      <c r="X134" s="78">
        <v>0</v>
      </c>
      <c r="Y134" s="78">
        <v>0</v>
      </c>
      <c r="Z134" s="78">
        <v>0</v>
      </c>
      <c r="AA134" s="79">
        <v>0</v>
      </c>
      <c r="AB134" s="78">
        <v>0</v>
      </c>
      <c r="AC134" s="79">
        <v>0</v>
      </c>
      <c r="AD134" s="78">
        <v>0</v>
      </c>
      <c r="AF134" s="144"/>
    </row>
    <row r="135" spans="1:32">
      <c r="A135" s="128" t="s">
        <v>295</v>
      </c>
      <c r="B135" s="143">
        <v>1362.66954261443</v>
      </c>
      <c r="C135" s="129">
        <f t="shared" si="5"/>
        <v>0</v>
      </c>
      <c r="D135" s="129">
        <f t="shared" si="4"/>
        <v>0</v>
      </c>
      <c r="E135" s="129">
        <v>0</v>
      </c>
      <c r="F135" s="129">
        <v>0</v>
      </c>
      <c r="G135" s="129">
        <v>0</v>
      </c>
      <c r="H135" s="129">
        <v>0</v>
      </c>
      <c r="I135" s="129">
        <v>0</v>
      </c>
      <c r="J135" s="129">
        <v>0</v>
      </c>
      <c r="K135" s="129">
        <v>0</v>
      </c>
      <c r="L135" s="129">
        <v>0</v>
      </c>
      <c r="M135" s="129">
        <v>0</v>
      </c>
      <c r="N135" s="129">
        <v>0</v>
      </c>
      <c r="O135" s="129">
        <v>0</v>
      </c>
      <c r="P135" s="129">
        <v>0</v>
      </c>
      <c r="Q135" s="129">
        <v>0</v>
      </c>
      <c r="R135" s="129">
        <v>0</v>
      </c>
      <c r="S135" s="129">
        <v>0</v>
      </c>
      <c r="T135" s="129">
        <v>0</v>
      </c>
      <c r="U135" s="129">
        <v>0</v>
      </c>
      <c r="V135" s="129">
        <v>0</v>
      </c>
      <c r="W135" s="79">
        <v>0</v>
      </c>
      <c r="X135" s="78">
        <v>0</v>
      </c>
      <c r="Y135" s="78">
        <v>0</v>
      </c>
      <c r="Z135" s="78">
        <v>0</v>
      </c>
      <c r="AA135" s="79">
        <v>0</v>
      </c>
      <c r="AB135" s="78">
        <v>0</v>
      </c>
      <c r="AC135" s="79">
        <v>0</v>
      </c>
      <c r="AD135" s="78">
        <v>0</v>
      </c>
      <c r="AF135" s="144"/>
    </row>
    <row r="136" spans="1:32">
      <c r="A136" s="128" t="s">
        <v>306</v>
      </c>
      <c r="B136" s="143">
        <v>9170.81684820063</v>
      </c>
      <c r="C136" s="129">
        <f t="shared" si="5"/>
        <v>271.587642455831</v>
      </c>
      <c r="D136" s="129">
        <f t="shared" si="4"/>
        <v>1168.97814724886</v>
      </c>
      <c r="E136" s="129">
        <v>0</v>
      </c>
      <c r="F136" s="129">
        <v>0</v>
      </c>
      <c r="G136" s="129">
        <v>0</v>
      </c>
      <c r="H136" s="129">
        <v>0</v>
      </c>
      <c r="I136" s="129">
        <v>0</v>
      </c>
      <c r="J136" s="129">
        <v>0</v>
      </c>
      <c r="K136" s="129">
        <v>0</v>
      </c>
      <c r="L136" s="129">
        <v>0</v>
      </c>
      <c r="M136" s="129">
        <v>0</v>
      </c>
      <c r="N136" s="129">
        <v>0</v>
      </c>
      <c r="O136" s="129">
        <v>0</v>
      </c>
      <c r="P136" s="129">
        <v>0</v>
      </c>
      <c r="Q136" s="129">
        <v>0</v>
      </c>
      <c r="R136" s="129">
        <v>0</v>
      </c>
      <c r="S136" s="129">
        <v>0</v>
      </c>
      <c r="T136" s="129">
        <v>0</v>
      </c>
      <c r="U136" s="129">
        <v>271.587642455831</v>
      </c>
      <c r="V136" s="129">
        <v>0</v>
      </c>
      <c r="W136" s="79">
        <v>0</v>
      </c>
      <c r="X136" s="78">
        <v>0</v>
      </c>
      <c r="Y136" s="78">
        <v>0</v>
      </c>
      <c r="Z136" s="78">
        <v>0</v>
      </c>
      <c r="AA136" s="79">
        <v>0</v>
      </c>
      <c r="AB136" s="78">
        <v>0</v>
      </c>
      <c r="AC136" s="79">
        <v>0</v>
      </c>
      <c r="AD136" s="78">
        <v>1168.97814724886</v>
      </c>
      <c r="AF136" s="144"/>
    </row>
    <row r="137" spans="1:32">
      <c r="A137" s="128" t="s">
        <v>307</v>
      </c>
      <c r="B137" s="143">
        <v>426152.031327662</v>
      </c>
      <c r="C137" s="129">
        <f t="shared" si="5"/>
        <v>0</v>
      </c>
      <c r="D137" s="129">
        <f t="shared" si="4"/>
        <v>0</v>
      </c>
      <c r="E137" s="129">
        <v>0</v>
      </c>
      <c r="F137" s="129">
        <v>0</v>
      </c>
      <c r="G137" s="129">
        <v>0</v>
      </c>
      <c r="H137" s="129">
        <v>0</v>
      </c>
      <c r="I137" s="129">
        <v>0</v>
      </c>
      <c r="J137" s="129">
        <v>0</v>
      </c>
      <c r="K137" s="129">
        <v>0</v>
      </c>
      <c r="L137" s="129">
        <v>0</v>
      </c>
      <c r="M137" s="129">
        <v>0</v>
      </c>
      <c r="N137" s="129">
        <v>0</v>
      </c>
      <c r="O137" s="129">
        <v>0</v>
      </c>
      <c r="P137" s="129">
        <v>0</v>
      </c>
      <c r="Q137" s="129">
        <v>0</v>
      </c>
      <c r="R137" s="129">
        <v>0</v>
      </c>
      <c r="S137" s="129">
        <v>0</v>
      </c>
      <c r="T137" s="129">
        <v>0</v>
      </c>
      <c r="U137" s="129">
        <v>0</v>
      </c>
      <c r="V137" s="129">
        <v>0</v>
      </c>
      <c r="W137" s="79">
        <v>0</v>
      </c>
      <c r="X137" s="78">
        <v>0</v>
      </c>
      <c r="Y137" s="78">
        <v>0</v>
      </c>
      <c r="Z137" s="78">
        <v>0</v>
      </c>
      <c r="AA137" s="79">
        <v>0</v>
      </c>
      <c r="AB137" s="78">
        <v>0</v>
      </c>
      <c r="AC137" s="79">
        <v>0</v>
      </c>
      <c r="AD137" s="78">
        <v>0</v>
      </c>
      <c r="AF137" s="144"/>
    </row>
    <row r="138" spans="1:32">
      <c r="A138" s="128" t="s">
        <v>308</v>
      </c>
      <c r="B138" s="143">
        <v>1407.2792011498</v>
      </c>
      <c r="C138" s="129">
        <f t="shared" si="5"/>
        <v>0</v>
      </c>
      <c r="D138" s="129">
        <f t="shared" si="4"/>
        <v>63.409824796751</v>
      </c>
      <c r="E138" s="129">
        <v>0</v>
      </c>
      <c r="F138" s="129">
        <v>0</v>
      </c>
      <c r="G138" s="129">
        <v>0</v>
      </c>
      <c r="H138" s="129">
        <v>0</v>
      </c>
      <c r="I138" s="129">
        <v>0</v>
      </c>
      <c r="J138" s="129">
        <v>0</v>
      </c>
      <c r="K138" s="129">
        <v>0</v>
      </c>
      <c r="L138" s="129">
        <v>0</v>
      </c>
      <c r="M138" s="129">
        <v>0</v>
      </c>
      <c r="N138" s="129">
        <v>0</v>
      </c>
      <c r="O138" s="129">
        <v>0</v>
      </c>
      <c r="P138" s="129">
        <v>63.409824796751</v>
      </c>
      <c r="Q138" s="129">
        <v>0</v>
      </c>
      <c r="R138" s="129">
        <v>0</v>
      </c>
      <c r="S138" s="129">
        <v>0</v>
      </c>
      <c r="T138" s="129">
        <v>0</v>
      </c>
      <c r="U138" s="129">
        <v>0</v>
      </c>
      <c r="V138" s="129">
        <v>0</v>
      </c>
      <c r="W138" s="79">
        <v>0</v>
      </c>
      <c r="X138" s="78">
        <v>0</v>
      </c>
      <c r="Y138" s="78">
        <v>0</v>
      </c>
      <c r="Z138" s="78">
        <v>0</v>
      </c>
      <c r="AA138" s="79">
        <v>0</v>
      </c>
      <c r="AB138" s="78">
        <v>0</v>
      </c>
      <c r="AC138" s="79">
        <v>0</v>
      </c>
      <c r="AD138" s="78">
        <v>0</v>
      </c>
      <c r="AF138" s="144"/>
    </row>
    <row r="139" spans="1:32">
      <c r="A139" s="128" t="s">
        <v>309</v>
      </c>
      <c r="B139" s="143">
        <v>5273.70622922206</v>
      </c>
      <c r="C139" s="129">
        <f t="shared" si="5"/>
        <v>0</v>
      </c>
      <c r="D139" s="129">
        <f t="shared" si="4"/>
        <v>0</v>
      </c>
      <c r="E139" s="129">
        <v>0</v>
      </c>
      <c r="F139" s="129">
        <v>0</v>
      </c>
      <c r="G139" s="129">
        <v>0</v>
      </c>
      <c r="H139" s="129">
        <v>0</v>
      </c>
      <c r="I139" s="129">
        <v>0</v>
      </c>
      <c r="J139" s="129">
        <v>0</v>
      </c>
      <c r="K139" s="129">
        <v>0</v>
      </c>
      <c r="L139" s="129">
        <v>0</v>
      </c>
      <c r="M139" s="129">
        <v>0</v>
      </c>
      <c r="N139" s="129">
        <v>0</v>
      </c>
      <c r="O139" s="129">
        <v>0</v>
      </c>
      <c r="P139" s="129">
        <v>0</v>
      </c>
      <c r="Q139" s="129">
        <v>0</v>
      </c>
      <c r="R139" s="129">
        <v>0</v>
      </c>
      <c r="S139" s="129">
        <v>0</v>
      </c>
      <c r="T139" s="129">
        <v>0</v>
      </c>
      <c r="U139" s="129">
        <v>0</v>
      </c>
      <c r="V139" s="129">
        <v>0</v>
      </c>
      <c r="W139" s="79">
        <v>0</v>
      </c>
      <c r="X139" s="78">
        <v>0</v>
      </c>
      <c r="Y139" s="78">
        <v>0</v>
      </c>
      <c r="Z139" s="78">
        <v>0</v>
      </c>
      <c r="AA139" s="79">
        <v>0</v>
      </c>
      <c r="AB139" s="78">
        <v>0</v>
      </c>
      <c r="AC139" s="79">
        <v>0</v>
      </c>
      <c r="AD139" s="78">
        <v>0</v>
      </c>
      <c r="AF139" s="144"/>
    </row>
    <row r="140" spans="1:32">
      <c r="A140" s="128" t="s">
        <v>310</v>
      </c>
      <c r="B140" s="143">
        <v>0</v>
      </c>
      <c r="C140" s="129">
        <f t="shared" si="5"/>
        <v>0</v>
      </c>
      <c r="D140" s="129">
        <f t="shared" si="4"/>
        <v>0</v>
      </c>
      <c r="E140" s="129">
        <v>0</v>
      </c>
      <c r="F140" s="129">
        <v>0</v>
      </c>
      <c r="G140" s="129">
        <v>0</v>
      </c>
      <c r="H140" s="129">
        <v>0</v>
      </c>
      <c r="I140" s="129">
        <v>0</v>
      </c>
      <c r="J140" s="129">
        <v>0</v>
      </c>
      <c r="K140" s="129">
        <v>0</v>
      </c>
      <c r="L140" s="129">
        <v>0</v>
      </c>
      <c r="M140" s="129">
        <v>0</v>
      </c>
      <c r="N140" s="129">
        <v>0</v>
      </c>
      <c r="O140" s="129">
        <v>0</v>
      </c>
      <c r="P140" s="129">
        <v>0</v>
      </c>
      <c r="Q140" s="129">
        <v>0</v>
      </c>
      <c r="R140" s="129">
        <v>0</v>
      </c>
      <c r="S140" s="129">
        <v>0</v>
      </c>
      <c r="T140" s="129">
        <v>0</v>
      </c>
      <c r="U140" s="129">
        <v>0</v>
      </c>
      <c r="V140" s="129">
        <v>0</v>
      </c>
      <c r="W140" s="79">
        <v>0</v>
      </c>
      <c r="X140" s="78">
        <v>0</v>
      </c>
      <c r="Y140" s="78">
        <v>0</v>
      </c>
      <c r="Z140" s="78">
        <v>0</v>
      </c>
      <c r="AA140" s="79">
        <v>0</v>
      </c>
      <c r="AB140" s="78">
        <v>0</v>
      </c>
      <c r="AC140" s="79">
        <v>0</v>
      </c>
      <c r="AD140" s="78">
        <v>0</v>
      </c>
      <c r="AF140" s="144"/>
    </row>
    <row r="141" spans="1:32">
      <c r="A141" s="128" t="s">
        <v>311</v>
      </c>
      <c r="B141" s="143">
        <v>451.278845043401</v>
      </c>
      <c r="C141" s="129">
        <f t="shared" si="5"/>
        <v>0</v>
      </c>
      <c r="D141" s="129">
        <f t="shared" si="4"/>
        <v>0</v>
      </c>
      <c r="E141" s="129">
        <v>0</v>
      </c>
      <c r="F141" s="129">
        <v>0</v>
      </c>
      <c r="G141" s="129">
        <v>0</v>
      </c>
      <c r="H141" s="129">
        <v>0</v>
      </c>
      <c r="I141" s="129">
        <v>0</v>
      </c>
      <c r="J141" s="129">
        <v>0</v>
      </c>
      <c r="K141" s="129">
        <v>0</v>
      </c>
      <c r="L141" s="129">
        <v>0</v>
      </c>
      <c r="M141" s="129">
        <v>0</v>
      </c>
      <c r="N141" s="129">
        <v>0</v>
      </c>
      <c r="O141" s="129">
        <v>0</v>
      </c>
      <c r="P141" s="129">
        <v>0</v>
      </c>
      <c r="Q141" s="129">
        <v>0</v>
      </c>
      <c r="R141" s="129">
        <v>0</v>
      </c>
      <c r="S141" s="129">
        <v>0</v>
      </c>
      <c r="T141" s="129">
        <v>0</v>
      </c>
      <c r="U141" s="129">
        <v>0</v>
      </c>
      <c r="V141" s="129">
        <v>0</v>
      </c>
      <c r="W141" s="79">
        <v>0</v>
      </c>
      <c r="X141" s="78">
        <v>0</v>
      </c>
      <c r="Y141" s="78">
        <v>0</v>
      </c>
      <c r="Z141" s="78">
        <v>0</v>
      </c>
      <c r="AA141" s="79">
        <v>0</v>
      </c>
      <c r="AB141" s="78">
        <v>0</v>
      </c>
      <c r="AC141" s="79">
        <v>0</v>
      </c>
      <c r="AD141" s="78">
        <v>0</v>
      </c>
      <c r="AF141" s="144"/>
    </row>
    <row r="142" spans="1:32">
      <c r="A142" s="128" t="s">
        <v>312</v>
      </c>
      <c r="B142" s="143">
        <v>552.572292840273</v>
      </c>
      <c r="C142" s="129">
        <f t="shared" si="5"/>
        <v>0</v>
      </c>
      <c r="D142" s="129">
        <f t="shared" si="4"/>
        <v>0</v>
      </c>
      <c r="E142" s="129">
        <v>0</v>
      </c>
      <c r="F142" s="129">
        <v>0</v>
      </c>
      <c r="G142" s="129">
        <v>0</v>
      </c>
      <c r="H142" s="129">
        <v>0</v>
      </c>
      <c r="I142" s="129">
        <v>0</v>
      </c>
      <c r="J142" s="129">
        <v>0</v>
      </c>
      <c r="K142" s="129">
        <v>0</v>
      </c>
      <c r="L142" s="129">
        <v>0</v>
      </c>
      <c r="M142" s="129">
        <v>0</v>
      </c>
      <c r="N142" s="129">
        <v>0</v>
      </c>
      <c r="O142" s="129">
        <v>0</v>
      </c>
      <c r="P142" s="129">
        <v>0</v>
      </c>
      <c r="Q142" s="129">
        <v>0</v>
      </c>
      <c r="R142" s="129">
        <v>0</v>
      </c>
      <c r="S142" s="129">
        <v>0</v>
      </c>
      <c r="T142" s="129">
        <v>0</v>
      </c>
      <c r="U142" s="129">
        <v>0</v>
      </c>
      <c r="V142" s="129">
        <v>0</v>
      </c>
      <c r="W142" s="79">
        <v>0</v>
      </c>
      <c r="X142" s="78">
        <v>0</v>
      </c>
      <c r="Y142" s="78">
        <v>0</v>
      </c>
      <c r="Z142" s="78">
        <v>0</v>
      </c>
      <c r="AA142" s="79">
        <v>0</v>
      </c>
      <c r="AB142" s="78">
        <v>0</v>
      </c>
      <c r="AC142" s="79">
        <v>0</v>
      </c>
      <c r="AD142" s="78">
        <v>0</v>
      </c>
      <c r="AF142" s="144"/>
    </row>
    <row r="143" spans="1:32">
      <c r="A143" s="128" t="s">
        <v>313</v>
      </c>
      <c r="B143" s="143">
        <v>248536.32965426</v>
      </c>
      <c r="C143" s="129">
        <f t="shared" si="5"/>
        <v>0</v>
      </c>
      <c r="D143" s="129">
        <f t="shared" si="4"/>
        <v>0</v>
      </c>
      <c r="E143" s="129">
        <v>0</v>
      </c>
      <c r="F143" s="129">
        <v>0</v>
      </c>
      <c r="G143" s="129">
        <v>0</v>
      </c>
      <c r="H143" s="129">
        <v>0</v>
      </c>
      <c r="I143" s="129">
        <v>0</v>
      </c>
      <c r="J143" s="129">
        <v>0</v>
      </c>
      <c r="K143" s="129">
        <v>0</v>
      </c>
      <c r="L143" s="129">
        <v>0</v>
      </c>
      <c r="M143" s="129">
        <v>0</v>
      </c>
      <c r="N143" s="129">
        <v>0</v>
      </c>
      <c r="O143" s="129">
        <v>0</v>
      </c>
      <c r="P143" s="129">
        <v>0</v>
      </c>
      <c r="Q143" s="129">
        <v>0</v>
      </c>
      <c r="R143" s="129">
        <v>0</v>
      </c>
      <c r="S143" s="129">
        <v>0</v>
      </c>
      <c r="T143" s="129">
        <v>0</v>
      </c>
      <c r="U143" s="129">
        <v>0</v>
      </c>
      <c r="V143" s="129">
        <v>0</v>
      </c>
      <c r="W143" s="79">
        <v>0</v>
      </c>
      <c r="X143" s="78">
        <v>0</v>
      </c>
      <c r="Y143" s="78">
        <v>0</v>
      </c>
      <c r="Z143" s="78">
        <v>0</v>
      </c>
      <c r="AA143" s="79">
        <v>0</v>
      </c>
      <c r="AB143" s="78">
        <v>0</v>
      </c>
      <c r="AC143" s="79">
        <v>0</v>
      </c>
      <c r="AD143" s="78">
        <v>0</v>
      </c>
      <c r="AF143" s="144"/>
    </row>
    <row r="144" spans="1:32">
      <c r="A144" s="128" t="s">
        <v>314</v>
      </c>
      <c r="B144" s="143">
        <v>9476.14826774242</v>
      </c>
      <c r="C144" s="129">
        <f t="shared" si="5"/>
        <v>0</v>
      </c>
      <c r="D144" s="129">
        <f t="shared" si="4"/>
        <v>0</v>
      </c>
      <c r="E144" s="129">
        <v>0</v>
      </c>
      <c r="F144" s="129">
        <v>0</v>
      </c>
      <c r="G144" s="129">
        <v>0</v>
      </c>
      <c r="H144" s="129">
        <v>0</v>
      </c>
      <c r="I144" s="129">
        <v>0</v>
      </c>
      <c r="J144" s="129">
        <v>0</v>
      </c>
      <c r="K144" s="129">
        <v>0</v>
      </c>
      <c r="L144" s="129">
        <v>0</v>
      </c>
      <c r="M144" s="129">
        <v>0</v>
      </c>
      <c r="N144" s="129">
        <v>0</v>
      </c>
      <c r="O144" s="129">
        <v>0</v>
      </c>
      <c r="P144" s="129">
        <v>0</v>
      </c>
      <c r="Q144" s="129">
        <v>0</v>
      </c>
      <c r="R144" s="129">
        <v>0</v>
      </c>
      <c r="S144" s="129">
        <v>0</v>
      </c>
      <c r="T144" s="129">
        <v>0</v>
      </c>
      <c r="U144" s="129">
        <v>0</v>
      </c>
      <c r="V144" s="129">
        <v>0</v>
      </c>
      <c r="W144" s="79">
        <v>0</v>
      </c>
      <c r="X144" s="78">
        <v>0</v>
      </c>
      <c r="Y144" s="78">
        <v>0</v>
      </c>
      <c r="Z144" s="78">
        <v>0</v>
      </c>
      <c r="AA144" s="79">
        <v>0</v>
      </c>
      <c r="AB144" s="78">
        <v>0</v>
      </c>
      <c r="AC144" s="79">
        <v>0</v>
      </c>
      <c r="AD144" s="78">
        <v>0</v>
      </c>
      <c r="AF144" s="144"/>
    </row>
    <row r="145" spans="1:32">
      <c r="A145" s="128" t="s">
        <v>315</v>
      </c>
      <c r="B145" s="143">
        <v>0</v>
      </c>
      <c r="C145" s="129">
        <f t="shared" si="5"/>
        <v>0</v>
      </c>
      <c r="D145" s="129">
        <f t="shared" si="4"/>
        <v>0</v>
      </c>
      <c r="E145" s="129">
        <v>0</v>
      </c>
      <c r="F145" s="129">
        <v>0</v>
      </c>
      <c r="G145" s="129">
        <v>0</v>
      </c>
      <c r="H145" s="129">
        <v>0</v>
      </c>
      <c r="I145" s="129">
        <v>0</v>
      </c>
      <c r="J145" s="129">
        <v>0</v>
      </c>
      <c r="K145" s="129">
        <v>0</v>
      </c>
      <c r="L145" s="129">
        <v>0</v>
      </c>
      <c r="M145" s="129">
        <v>0</v>
      </c>
      <c r="N145" s="129">
        <v>0</v>
      </c>
      <c r="O145" s="129">
        <v>0</v>
      </c>
      <c r="P145" s="129">
        <v>0</v>
      </c>
      <c r="Q145" s="129">
        <v>0</v>
      </c>
      <c r="R145" s="129">
        <v>0</v>
      </c>
      <c r="S145" s="129">
        <v>0</v>
      </c>
      <c r="T145" s="129">
        <v>0</v>
      </c>
      <c r="U145" s="129">
        <v>0</v>
      </c>
      <c r="V145" s="129">
        <v>0</v>
      </c>
      <c r="W145" s="79">
        <v>0</v>
      </c>
      <c r="X145" s="78">
        <v>0</v>
      </c>
      <c r="Y145" s="78">
        <v>0</v>
      </c>
      <c r="Z145" s="78">
        <v>0</v>
      </c>
      <c r="AA145" s="79">
        <v>0</v>
      </c>
      <c r="AB145" s="78">
        <v>0</v>
      </c>
      <c r="AC145" s="79">
        <v>0</v>
      </c>
      <c r="AD145" s="78">
        <v>0</v>
      </c>
      <c r="AF145" s="144"/>
    </row>
    <row r="146" spans="1:32">
      <c r="A146" s="128" t="s">
        <v>316</v>
      </c>
      <c r="B146" s="143">
        <v>7145673.7252087</v>
      </c>
      <c r="C146" s="129">
        <f t="shared" si="5"/>
        <v>333845.173585664</v>
      </c>
      <c r="D146" s="129">
        <f t="shared" si="4"/>
        <v>199818.246502431</v>
      </c>
      <c r="E146" s="129">
        <v>226104.944349555</v>
      </c>
      <c r="F146" s="129">
        <v>100614.86839195</v>
      </c>
      <c r="G146" s="129">
        <v>74461.247306898</v>
      </c>
      <c r="H146" s="129">
        <v>50966.9336412263</v>
      </c>
      <c r="I146" s="129">
        <v>222.558385311975</v>
      </c>
      <c r="J146" s="129">
        <v>0</v>
      </c>
      <c r="K146" s="129">
        <v>10603.1942816193</v>
      </c>
      <c r="L146" s="129">
        <v>10003.2271864163</v>
      </c>
      <c r="M146" s="129">
        <v>0</v>
      </c>
      <c r="N146" s="129">
        <v>0</v>
      </c>
      <c r="O146" s="129">
        <v>5030.43157145703</v>
      </c>
      <c r="P146" s="129">
        <v>0</v>
      </c>
      <c r="Q146" s="129">
        <v>0</v>
      </c>
      <c r="R146" s="129">
        <v>0</v>
      </c>
      <c r="S146" s="129">
        <v>6751.20378490379</v>
      </c>
      <c r="T146" s="129">
        <v>4635.7083137144</v>
      </c>
      <c r="U146" s="129">
        <v>426.776154234868</v>
      </c>
      <c r="V146" s="129">
        <v>107.40297941555</v>
      </c>
      <c r="W146" s="79">
        <v>0</v>
      </c>
      <c r="X146" s="78">
        <v>0</v>
      </c>
      <c r="Y146" s="78">
        <v>0</v>
      </c>
      <c r="Z146" s="78">
        <v>25461.0770330859</v>
      </c>
      <c r="AA146" s="79">
        <v>0</v>
      </c>
      <c r="AB146" s="78">
        <v>0</v>
      </c>
      <c r="AC146" s="79">
        <v>10244.8177516835</v>
      </c>
      <c r="AD146" s="78">
        <v>8029.02895662312</v>
      </c>
      <c r="AF146" s="144"/>
    </row>
    <row r="147" spans="1:32">
      <c r="A147" s="128" t="s">
        <v>317</v>
      </c>
      <c r="B147" s="143">
        <v>5072.9150258039</v>
      </c>
      <c r="C147" s="129">
        <f t="shared" si="5"/>
        <v>0</v>
      </c>
      <c r="D147" s="129">
        <f t="shared" si="4"/>
        <v>0</v>
      </c>
      <c r="E147" s="129">
        <v>0</v>
      </c>
      <c r="F147" s="129">
        <v>0</v>
      </c>
      <c r="G147" s="129">
        <v>0</v>
      </c>
      <c r="H147" s="129">
        <v>0</v>
      </c>
      <c r="I147" s="129">
        <v>0</v>
      </c>
      <c r="J147" s="129">
        <v>0</v>
      </c>
      <c r="K147" s="129">
        <v>0</v>
      </c>
      <c r="L147" s="129">
        <v>0</v>
      </c>
      <c r="M147" s="129">
        <v>0</v>
      </c>
      <c r="N147" s="129">
        <v>0</v>
      </c>
      <c r="O147" s="129">
        <v>0</v>
      </c>
      <c r="P147" s="129">
        <v>0</v>
      </c>
      <c r="Q147" s="129">
        <v>0</v>
      </c>
      <c r="R147" s="129">
        <v>0</v>
      </c>
      <c r="S147" s="129">
        <v>0</v>
      </c>
      <c r="T147" s="129">
        <v>0</v>
      </c>
      <c r="U147" s="129">
        <v>0</v>
      </c>
      <c r="V147" s="129">
        <v>0</v>
      </c>
      <c r="W147" s="79">
        <v>0</v>
      </c>
      <c r="X147" s="78">
        <v>0</v>
      </c>
      <c r="Y147" s="78">
        <v>0</v>
      </c>
      <c r="Z147" s="78">
        <v>0</v>
      </c>
      <c r="AA147" s="79">
        <v>0</v>
      </c>
      <c r="AB147" s="78">
        <v>0</v>
      </c>
      <c r="AC147" s="79">
        <v>0</v>
      </c>
      <c r="AD147" s="78">
        <v>0</v>
      </c>
      <c r="AF147" s="144"/>
    </row>
    <row r="148" spans="1:32">
      <c r="A148" s="128" t="s">
        <v>318</v>
      </c>
      <c r="B148" s="143">
        <v>371564.406726731</v>
      </c>
      <c r="C148" s="129">
        <f t="shared" si="5"/>
        <v>43876.796894878</v>
      </c>
      <c r="D148" s="129">
        <f t="shared" si="4"/>
        <v>273429.381381774</v>
      </c>
      <c r="E148" s="129">
        <v>0</v>
      </c>
      <c r="F148" s="129">
        <v>0</v>
      </c>
      <c r="G148" s="129">
        <v>230.048684430697</v>
      </c>
      <c r="H148" s="129">
        <v>0</v>
      </c>
      <c r="I148" s="129">
        <v>0</v>
      </c>
      <c r="J148" s="129">
        <v>0</v>
      </c>
      <c r="K148" s="129">
        <v>0</v>
      </c>
      <c r="L148" s="129">
        <v>0</v>
      </c>
      <c r="M148" s="129">
        <v>0</v>
      </c>
      <c r="N148" s="129">
        <v>0</v>
      </c>
      <c r="O148" s="129">
        <v>0</v>
      </c>
      <c r="P148" s="129">
        <v>0</v>
      </c>
      <c r="Q148" s="129">
        <v>0</v>
      </c>
      <c r="R148" s="129">
        <v>0</v>
      </c>
      <c r="S148" s="129">
        <v>0</v>
      </c>
      <c r="T148" s="129">
        <v>0</v>
      </c>
      <c r="U148" s="129">
        <v>0</v>
      </c>
      <c r="V148" s="129">
        <v>0</v>
      </c>
      <c r="W148" s="79">
        <v>0</v>
      </c>
      <c r="X148" s="78">
        <v>0</v>
      </c>
      <c r="Y148" s="78">
        <v>0</v>
      </c>
      <c r="Z148" s="78">
        <v>0</v>
      </c>
      <c r="AA148" s="79">
        <v>0</v>
      </c>
      <c r="AB148" s="78">
        <v>0</v>
      </c>
      <c r="AC148" s="79">
        <v>43646.7482104473</v>
      </c>
      <c r="AD148" s="78">
        <v>273429.381381774</v>
      </c>
      <c r="AF148" s="144"/>
    </row>
    <row r="149" spans="1:32">
      <c r="A149" s="128">
        <v>1001</v>
      </c>
      <c r="B149" s="143">
        <v>1302964.09824329</v>
      </c>
      <c r="C149" s="129">
        <f t="shared" si="5"/>
        <v>319803.113655873</v>
      </c>
      <c r="D149" s="129">
        <f t="shared" si="4"/>
        <v>141466.133569603</v>
      </c>
      <c r="E149" s="129">
        <v>0</v>
      </c>
      <c r="F149" s="129">
        <v>0</v>
      </c>
      <c r="G149" s="129">
        <v>0</v>
      </c>
      <c r="H149" s="129">
        <v>0</v>
      </c>
      <c r="I149" s="129">
        <v>15347.0297922576</v>
      </c>
      <c r="J149" s="129">
        <v>0</v>
      </c>
      <c r="K149" s="129">
        <v>33897.1963693931</v>
      </c>
      <c r="L149" s="129">
        <v>26733.0694104155</v>
      </c>
      <c r="M149" s="129">
        <v>0</v>
      </c>
      <c r="N149" s="129">
        <v>0</v>
      </c>
      <c r="O149" s="129">
        <v>856.865710716738</v>
      </c>
      <c r="P149" s="129">
        <v>536.245592183394</v>
      </c>
      <c r="Q149" s="129">
        <v>13876.0005713772</v>
      </c>
      <c r="R149" s="129">
        <v>13428.8347894133</v>
      </c>
      <c r="S149" s="129">
        <v>10126.8330736062</v>
      </c>
      <c r="T149" s="129">
        <v>4730.31232866217</v>
      </c>
      <c r="U149" s="129">
        <v>74258.5859023377</v>
      </c>
      <c r="V149" s="129">
        <v>38127.1888507581</v>
      </c>
      <c r="W149" s="79">
        <v>0</v>
      </c>
      <c r="X149" s="78">
        <v>0</v>
      </c>
      <c r="Y149" s="78">
        <v>8849.20445584139</v>
      </c>
      <c r="Z149" s="78">
        <v>9194.30281464187</v>
      </c>
      <c r="AA149" s="79">
        <v>0</v>
      </c>
      <c r="AB149" s="78">
        <v>0</v>
      </c>
      <c r="AC149" s="79">
        <v>162591.397780343</v>
      </c>
      <c r="AD149" s="78">
        <v>48716.1797835292</v>
      </c>
      <c r="AF149" s="144"/>
    </row>
    <row r="150" spans="1:32">
      <c r="A150" s="128" t="s">
        <v>319</v>
      </c>
      <c r="B150" s="143">
        <v>0</v>
      </c>
      <c r="C150" s="129">
        <f t="shared" si="5"/>
        <v>0</v>
      </c>
      <c r="D150" s="129">
        <f t="shared" si="4"/>
        <v>0</v>
      </c>
      <c r="E150" s="129">
        <v>0</v>
      </c>
      <c r="F150" s="129">
        <v>0</v>
      </c>
      <c r="G150" s="129">
        <v>0</v>
      </c>
      <c r="H150" s="129">
        <v>0</v>
      </c>
      <c r="I150" s="129">
        <v>0</v>
      </c>
      <c r="J150" s="129">
        <v>0</v>
      </c>
      <c r="K150" s="129">
        <v>0</v>
      </c>
      <c r="L150" s="129">
        <v>0</v>
      </c>
      <c r="M150" s="129">
        <v>0</v>
      </c>
      <c r="N150" s="129">
        <v>0</v>
      </c>
      <c r="O150" s="129">
        <v>0</v>
      </c>
      <c r="P150" s="129">
        <v>0</v>
      </c>
      <c r="Q150" s="129">
        <v>0</v>
      </c>
      <c r="R150" s="129">
        <v>0</v>
      </c>
      <c r="S150" s="129">
        <v>0</v>
      </c>
      <c r="T150" s="129">
        <v>0</v>
      </c>
      <c r="U150" s="129">
        <v>0</v>
      </c>
      <c r="V150" s="129">
        <v>0</v>
      </c>
      <c r="W150" s="79">
        <v>0</v>
      </c>
      <c r="X150" s="78">
        <v>0</v>
      </c>
      <c r="Y150" s="78">
        <v>0</v>
      </c>
      <c r="Z150" s="78">
        <v>0</v>
      </c>
      <c r="AA150" s="79">
        <v>0</v>
      </c>
      <c r="AB150" s="78">
        <v>0</v>
      </c>
      <c r="AC150" s="79">
        <v>0</v>
      </c>
      <c r="AD150" s="78">
        <v>0</v>
      </c>
      <c r="AF150" s="144"/>
    </row>
    <row r="151" spans="1:32">
      <c r="A151" s="128" t="s">
        <v>320</v>
      </c>
      <c r="B151" s="143">
        <v>0</v>
      </c>
      <c r="C151" s="129">
        <f t="shared" si="5"/>
        <v>0</v>
      </c>
      <c r="D151" s="129">
        <f t="shared" si="4"/>
        <v>0</v>
      </c>
      <c r="E151" s="129">
        <v>0</v>
      </c>
      <c r="F151" s="129">
        <v>0</v>
      </c>
      <c r="G151" s="129">
        <v>0</v>
      </c>
      <c r="H151" s="129">
        <v>0</v>
      </c>
      <c r="I151" s="129">
        <v>0</v>
      </c>
      <c r="J151" s="129">
        <v>0</v>
      </c>
      <c r="K151" s="129">
        <v>0</v>
      </c>
      <c r="L151" s="129">
        <v>0</v>
      </c>
      <c r="M151" s="129">
        <v>0</v>
      </c>
      <c r="N151" s="129">
        <v>0</v>
      </c>
      <c r="O151" s="129">
        <v>0</v>
      </c>
      <c r="P151" s="129">
        <v>0</v>
      </c>
      <c r="Q151" s="129">
        <v>0</v>
      </c>
      <c r="R151" s="129">
        <v>0</v>
      </c>
      <c r="S151" s="129">
        <v>0</v>
      </c>
      <c r="T151" s="129">
        <v>0</v>
      </c>
      <c r="U151" s="129">
        <v>0</v>
      </c>
      <c r="V151" s="129">
        <v>0</v>
      </c>
      <c r="W151" s="79">
        <v>0</v>
      </c>
      <c r="X151" s="78">
        <v>0</v>
      </c>
      <c r="Y151" s="78">
        <v>0</v>
      </c>
      <c r="Z151" s="78">
        <v>0</v>
      </c>
      <c r="AA151" s="79">
        <v>0</v>
      </c>
      <c r="AB151" s="78">
        <v>0</v>
      </c>
      <c r="AC151" s="79">
        <v>0</v>
      </c>
      <c r="AD151" s="78">
        <v>0</v>
      </c>
      <c r="AF151" s="144"/>
    </row>
    <row r="152" spans="1:32">
      <c r="A152" s="128" t="s">
        <v>321</v>
      </c>
      <c r="B152" s="143">
        <v>1095166.41222101</v>
      </c>
      <c r="C152" s="129">
        <f t="shared" si="5"/>
        <v>623595.094365856</v>
      </c>
      <c r="D152" s="129">
        <f t="shared" si="4"/>
        <v>549246.49408875</v>
      </c>
      <c r="E152" s="129">
        <v>0</v>
      </c>
      <c r="F152" s="129">
        <v>0</v>
      </c>
      <c r="G152" s="129">
        <v>187169.606694356</v>
      </c>
      <c r="H152" s="129">
        <v>212531.815760073</v>
      </c>
      <c r="I152" s="129">
        <v>51086.8183243056</v>
      </c>
      <c r="J152" s="129">
        <v>35302.4122886576</v>
      </c>
      <c r="K152" s="129">
        <v>52797.725204814</v>
      </c>
      <c r="L152" s="129">
        <v>33347.9521123171</v>
      </c>
      <c r="M152" s="129">
        <v>0</v>
      </c>
      <c r="N152" s="129">
        <v>0</v>
      </c>
      <c r="O152" s="129">
        <v>5508.34383842006</v>
      </c>
      <c r="P152" s="129">
        <v>5096.85265989402</v>
      </c>
      <c r="Q152" s="129">
        <v>53563.4360930499</v>
      </c>
      <c r="R152" s="129">
        <v>31320.2007081537</v>
      </c>
      <c r="S152" s="129">
        <v>0</v>
      </c>
      <c r="T152" s="129">
        <v>53309.2076897698</v>
      </c>
      <c r="U152" s="129">
        <v>211631.027809065</v>
      </c>
      <c r="V152" s="129">
        <v>118911.957613571</v>
      </c>
      <c r="W152" s="79">
        <v>0</v>
      </c>
      <c r="X152" s="78">
        <v>0</v>
      </c>
      <c r="Y152" s="78">
        <v>16990.5723576553</v>
      </c>
      <c r="Z152" s="78">
        <v>14646.7867165658</v>
      </c>
      <c r="AA152" s="79">
        <v>0</v>
      </c>
      <c r="AB152" s="78">
        <v>0</v>
      </c>
      <c r="AC152" s="79">
        <v>44847.5640441899</v>
      </c>
      <c r="AD152" s="78">
        <v>44779.3085397483</v>
      </c>
      <c r="AF152" s="144"/>
    </row>
    <row r="153" spans="1:32">
      <c r="A153" s="128" t="s">
        <v>322</v>
      </c>
      <c r="B153" s="143">
        <v>0</v>
      </c>
      <c r="C153" s="129">
        <f t="shared" si="5"/>
        <v>0</v>
      </c>
      <c r="D153" s="129">
        <f t="shared" si="4"/>
        <v>0</v>
      </c>
      <c r="E153" s="129">
        <v>0</v>
      </c>
      <c r="F153" s="129">
        <v>0</v>
      </c>
      <c r="G153" s="129">
        <v>0</v>
      </c>
      <c r="H153" s="129">
        <v>0</v>
      </c>
      <c r="I153" s="129">
        <v>0</v>
      </c>
      <c r="J153" s="129">
        <v>0</v>
      </c>
      <c r="K153" s="129">
        <v>0</v>
      </c>
      <c r="L153" s="129">
        <v>0</v>
      </c>
      <c r="M153" s="129">
        <v>0</v>
      </c>
      <c r="N153" s="129">
        <v>0</v>
      </c>
      <c r="O153" s="129">
        <v>0</v>
      </c>
      <c r="P153" s="129">
        <v>0</v>
      </c>
      <c r="Q153" s="129">
        <v>0</v>
      </c>
      <c r="R153" s="129">
        <v>0</v>
      </c>
      <c r="S153" s="129">
        <v>0</v>
      </c>
      <c r="T153" s="129">
        <v>0</v>
      </c>
      <c r="U153" s="129">
        <v>0</v>
      </c>
      <c r="V153" s="129">
        <v>0</v>
      </c>
      <c r="W153" s="79">
        <v>0</v>
      </c>
      <c r="X153" s="78">
        <v>0</v>
      </c>
      <c r="Y153" s="78">
        <v>0</v>
      </c>
      <c r="Z153" s="78">
        <v>0</v>
      </c>
      <c r="AA153" s="79">
        <v>0</v>
      </c>
      <c r="AB153" s="78">
        <v>0</v>
      </c>
      <c r="AC153" s="79">
        <v>0</v>
      </c>
      <c r="AD153" s="78">
        <v>0</v>
      </c>
      <c r="AF153" s="144"/>
    </row>
    <row r="154" spans="1:32">
      <c r="A154" s="128" t="s">
        <v>323</v>
      </c>
      <c r="B154" s="143">
        <v>0</v>
      </c>
      <c r="C154" s="129">
        <f t="shared" si="5"/>
        <v>0</v>
      </c>
      <c r="D154" s="129">
        <f t="shared" si="4"/>
        <v>0</v>
      </c>
      <c r="E154" s="129">
        <v>0</v>
      </c>
      <c r="F154" s="129">
        <v>0</v>
      </c>
      <c r="G154" s="129">
        <v>0</v>
      </c>
      <c r="H154" s="129">
        <v>0</v>
      </c>
      <c r="I154" s="129">
        <v>0</v>
      </c>
      <c r="J154" s="129">
        <v>0</v>
      </c>
      <c r="K154" s="129">
        <v>0</v>
      </c>
      <c r="L154" s="129">
        <v>0</v>
      </c>
      <c r="M154" s="129">
        <v>0</v>
      </c>
      <c r="N154" s="129">
        <v>0</v>
      </c>
      <c r="O154" s="129">
        <v>0</v>
      </c>
      <c r="P154" s="129">
        <v>0</v>
      </c>
      <c r="Q154" s="129">
        <v>0</v>
      </c>
      <c r="R154" s="129">
        <v>0</v>
      </c>
      <c r="S154" s="129">
        <v>0</v>
      </c>
      <c r="T154" s="129">
        <v>0</v>
      </c>
      <c r="U154" s="129">
        <v>0</v>
      </c>
      <c r="V154" s="129">
        <v>0</v>
      </c>
      <c r="W154" s="79">
        <v>0</v>
      </c>
      <c r="X154" s="78">
        <v>0</v>
      </c>
      <c r="Y154" s="78">
        <v>0</v>
      </c>
      <c r="Z154" s="78">
        <v>0</v>
      </c>
      <c r="AA154" s="79">
        <v>0</v>
      </c>
      <c r="AB154" s="78">
        <v>0</v>
      </c>
      <c r="AC154" s="79">
        <v>0</v>
      </c>
      <c r="AD154" s="78">
        <v>0</v>
      </c>
      <c r="AF154" s="144"/>
    </row>
    <row r="155" spans="1:32">
      <c r="A155" s="128" t="s">
        <v>324</v>
      </c>
      <c r="B155" s="143">
        <v>0</v>
      </c>
      <c r="C155" s="129">
        <f t="shared" si="5"/>
        <v>0</v>
      </c>
      <c r="D155" s="129">
        <f t="shared" si="4"/>
        <v>326365.695134203</v>
      </c>
      <c r="E155" s="129">
        <v>0</v>
      </c>
      <c r="F155" s="129">
        <v>7556.7431368619</v>
      </c>
      <c r="G155" s="129">
        <v>0</v>
      </c>
      <c r="H155" s="129">
        <v>6015.03831941176</v>
      </c>
      <c r="I155" s="129">
        <v>0</v>
      </c>
      <c r="J155" s="129">
        <v>0</v>
      </c>
      <c r="K155" s="129">
        <v>0</v>
      </c>
      <c r="L155" s="129">
        <v>54068.1710234667</v>
      </c>
      <c r="M155" s="129">
        <v>0</v>
      </c>
      <c r="N155" s="129">
        <v>76325.7036017135</v>
      </c>
      <c r="O155" s="129">
        <v>0</v>
      </c>
      <c r="P155" s="129">
        <v>613.247784834708</v>
      </c>
      <c r="Q155" s="129">
        <v>0</v>
      </c>
      <c r="R155" s="129">
        <v>39015.4232266638</v>
      </c>
      <c r="S155" s="129">
        <v>0</v>
      </c>
      <c r="T155" s="129">
        <v>3594.99629098415</v>
      </c>
      <c r="U155" s="129">
        <v>0</v>
      </c>
      <c r="V155" s="129">
        <v>0</v>
      </c>
      <c r="W155" s="79">
        <v>0</v>
      </c>
      <c r="X155" s="78">
        <v>0</v>
      </c>
      <c r="Y155" s="78">
        <v>0</v>
      </c>
      <c r="Z155" s="78">
        <v>15286.9833701706</v>
      </c>
      <c r="AA155" s="79">
        <v>0</v>
      </c>
      <c r="AB155" s="78">
        <v>0</v>
      </c>
      <c r="AC155" s="79">
        <v>0</v>
      </c>
      <c r="AD155" s="78">
        <v>123889.388380096</v>
      </c>
      <c r="AF155" s="144"/>
    </row>
    <row r="156" spans="1:32">
      <c r="A156" s="128" t="s">
        <v>325</v>
      </c>
      <c r="B156" s="143">
        <v>0</v>
      </c>
      <c r="C156" s="129">
        <f t="shared" si="5"/>
        <v>0</v>
      </c>
      <c r="D156" s="129">
        <f t="shared" si="4"/>
        <v>0</v>
      </c>
      <c r="E156" s="129">
        <v>0</v>
      </c>
      <c r="F156" s="129">
        <v>0</v>
      </c>
      <c r="G156" s="129">
        <v>0</v>
      </c>
      <c r="H156" s="129">
        <v>0</v>
      </c>
      <c r="I156" s="129">
        <v>0</v>
      </c>
      <c r="J156" s="129">
        <v>0</v>
      </c>
      <c r="K156" s="129">
        <v>0</v>
      </c>
      <c r="L156" s="129">
        <v>0</v>
      </c>
      <c r="M156" s="129">
        <v>0</v>
      </c>
      <c r="N156" s="129">
        <v>0</v>
      </c>
      <c r="O156" s="129">
        <v>0</v>
      </c>
      <c r="P156" s="129">
        <v>0</v>
      </c>
      <c r="Q156" s="129">
        <v>0</v>
      </c>
      <c r="R156" s="129">
        <v>0</v>
      </c>
      <c r="S156" s="129">
        <v>0</v>
      </c>
      <c r="T156" s="129">
        <v>0</v>
      </c>
      <c r="U156" s="129">
        <v>0</v>
      </c>
      <c r="V156" s="129">
        <v>0</v>
      </c>
      <c r="W156" s="79">
        <v>0</v>
      </c>
      <c r="X156" s="78">
        <v>0</v>
      </c>
      <c r="Y156" s="78">
        <v>0</v>
      </c>
      <c r="Z156" s="78">
        <v>0</v>
      </c>
      <c r="AA156" s="79">
        <v>0</v>
      </c>
      <c r="AB156" s="78">
        <v>0</v>
      </c>
      <c r="AC156" s="79">
        <v>0</v>
      </c>
      <c r="AD156" s="78">
        <v>0</v>
      </c>
      <c r="AF156" s="144"/>
    </row>
    <row r="157" spans="1:32">
      <c r="A157" s="128" t="s">
        <v>326</v>
      </c>
      <c r="B157" s="143">
        <v>0</v>
      </c>
      <c r="C157" s="129">
        <f t="shared" si="5"/>
        <v>0</v>
      </c>
      <c r="D157" s="129">
        <f t="shared" si="4"/>
        <v>0</v>
      </c>
      <c r="E157" s="129">
        <v>0</v>
      </c>
      <c r="F157" s="129">
        <v>0</v>
      </c>
      <c r="G157" s="129">
        <v>0</v>
      </c>
      <c r="H157" s="129">
        <v>0</v>
      </c>
      <c r="I157" s="129">
        <v>0</v>
      </c>
      <c r="J157" s="129">
        <v>0</v>
      </c>
      <c r="K157" s="129">
        <v>0</v>
      </c>
      <c r="L157" s="129">
        <v>0</v>
      </c>
      <c r="M157" s="129">
        <v>0</v>
      </c>
      <c r="N157" s="129">
        <v>0</v>
      </c>
      <c r="O157" s="129">
        <v>0</v>
      </c>
      <c r="P157" s="129">
        <v>0</v>
      </c>
      <c r="Q157" s="129">
        <v>0</v>
      </c>
      <c r="R157" s="129">
        <v>0</v>
      </c>
      <c r="S157" s="129">
        <v>0</v>
      </c>
      <c r="T157" s="129">
        <v>0</v>
      </c>
      <c r="U157" s="129">
        <v>0</v>
      </c>
      <c r="V157" s="129">
        <v>0</v>
      </c>
      <c r="W157" s="79">
        <v>0</v>
      </c>
      <c r="X157" s="78">
        <v>0</v>
      </c>
      <c r="Y157" s="78">
        <v>0</v>
      </c>
      <c r="Z157" s="78">
        <v>0</v>
      </c>
      <c r="AA157" s="79">
        <v>0</v>
      </c>
      <c r="AB157" s="78">
        <v>0</v>
      </c>
      <c r="AC157" s="79">
        <v>0</v>
      </c>
      <c r="AD157" s="78">
        <v>0</v>
      </c>
      <c r="AF157" s="144"/>
    </row>
    <row r="158" spans="1:32">
      <c r="A158" s="128" t="s">
        <v>327</v>
      </c>
      <c r="B158" s="143">
        <v>0</v>
      </c>
      <c r="C158" s="129">
        <f t="shared" si="5"/>
        <v>0</v>
      </c>
      <c r="D158" s="129">
        <f t="shared" si="4"/>
        <v>0</v>
      </c>
      <c r="E158" s="129">
        <v>0</v>
      </c>
      <c r="F158" s="129">
        <v>0</v>
      </c>
      <c r="G158" s="129">
        <v>0</v>
      </c>
      <c r="H158" s="129">
        <v>0</v>
      </c>
      <c r="I158" s="129">
        <v>0</v>
      </c>
      <c r="J158" s="129">
        <v>0</v>
      </c>
      <c r="K158" s="129">
        <v>0</v>
      </c>
      <c r="L158" s="129">
        <v>0</v>
      </c>
      <c r="M158" s="129">
        <v>0</v>
      </c>
      <c r="N158" s="129">
        <v>0</v>
      </c>
      <c r="O158" s="129">
        <v>0</v>
      </c>
      <c r="P158" s="129">
        <v>0</v>
      </c>
      <c r="Q158" s="129">
        <v>0</v>
      </c>
      <c r="R158" s="129">
        <v>0</v>
      </c>
      <c r="S158" s="129">
        <v>0</v>
      </c>
      <c r="T158" s="129">
        <v>0</v>
      </c>
      <c r="U158" s="129">
        <v>0</v>
      </c>
      <c r="V158" s="129">
        <v>0</v>
      </c>
      <c r="W158" s="79">
        <v>0</v>
      </c>
      <c r="X158" s="78">
        <v>0</v>
      </c>
      <c r="Y158" s="78">
        <v>0</v>
      </c>
      <c r="Z158" s="78">
        <v>0</v>
      </c>
      <c r="AA158" s="79">
        <v>0</v>
      </c>
      <c r="AB158" s="78">
        <v>0</v>
      </c>
      <c r="AC158" s="79">
        <v>0</v>
      </c>
      <c r="AD158" s="78">
        <v>0</v>
      </c>
      <c r="AF158" s="144"/>
    </row>
    <row r="159" spans="1:32">
      <c r="A159" s="128" t="s">
        <v>328</v>
      </c>
      <c r="B159" s="143">
        <v>0</v>
      </c>
      <c r="C159" s="129">
        <f t="shared" si="5"/>
        <v>0</v>
      </c>
      <c r="D159" s="129">
        <f t="shared" si="4"/>
        <v>0</v>
      </c>
      <c r="E159" s="129">
        <v>0</v>
      </c>
      <c r="F159" s="129">
        <v>0</v>
      </c>
      <c r="G159" s="129">
        <v>0</v>
      </c>
      <c r="H159" s="129">
        <v>0</v>
      </c>
      <c r="I159" s="129">
        <v>0</v>
      </c>
      <c r="J159" s="129">
        <v>0</v>
      </c>
      <c r="K159" s="129">
        <v>0</v>
      </c>
      <c r="L159" s="129">
        <v>0</v>
      </c>
      <c r="M159" s="129">
        <v>0</v>
      </c>
      <c r="N159" s="129">
        <v>0</v>
      </c>
      <c r="O159" s="129">
        <v>0</v>
      </c>
      <c r="P159" s="129">
        <v>0</v>
      </c>
      <c r="Q159" s="129">
        <v>0</v>
      </c>
      <c r="R159" s="129">
        <v>0</v>
      </c>
      <c r="S159" s="129">
        <v>0</v>
      </c>
      <c r="T159" s="129">
        <v>0</v>
      </c>
      <c r="U159" s="129">
        <v>0</v>
      </c>
      <c r="V159" s="129">
        <v>0</v>
      </c>
      <c r="W159" s="79">
        <v>0</v>
      </c>
      <c r="X159" s="78">
        <v>0</v>
      </c>
      <c r="Y159" s="78">
        <v>0</v>
      </c>
      <c r="Z159" s="78">
        <v>0</v>
      </c>
      <c r="AA159" s="79">
        <v>0</v>
      </c>
      <c r="AB159" s="78">
        <v>0</v>
      </c>
      <c r="AC159" s="79">
        <v>0</v>
      </c>
      <c r="AD159" s="78">
        <v>0</v>
      </c>
      <c r="AF159" s="144"/>
    </row>
    <row r="160" spans="1:32">
      <c r="A160" s="128" t="s">
        <v>329</v>
      </c>
      <c r="B160" s="143">
        <v>0</v>
      </c>
      <c r="C160" s="129">
        <f t="shared" si="5"/>
        <v>0</v>
      </c>
      <c r="D160" s="129">
        <f t="shared" si="4"/>
        <v>0</v>
      </c>
      <c r="E160" s="129">
        <v>0</v>
      </c>
      <c r="F160" s="129">
        <v>0</v>
      </c>
      <c r="G160" s="129">
        <v>0</v>
      </c>
      <c r="H160" s="129">
        <v>0</v>
      </c>
      <c r="I160" s="129">
        <v>0</v>
      </c>
      <c r="J160" s="129">
        <v>0</v>
      </c>
      <c r="K160" s="129">
        <v>0</v>
      </c>
      <c r="L160" s="129">
        <v>0</v>
      </c>
      <c r="M160" s="129">
        <v>0</v>
      </c>
      <c r="N160" s="129">
        <v>0</v>
      </c>
      <c r="O160" s="129">
        <v>0</v>
      </c>
      <c r="P160" s="129">
        <v>0</v>
      </c>
      <c r="Q160" s="129">
        <v>0</v>
      </c>
      <c r="R160" s="129">
        <v>0</v>
      </c>
      <c r="S160" s="129">
        <v>0</v>
      </c>
      <c r="T160" s="129">
        <v>0</v>
      </c>
      <c r="U160" s="129">
        <v>0</v>
      </c>
      <c r="V160" s="129">
        <v>0</v>
      </c>
      <c r="W160" s="79">
        <v>0</v>
      </c>
      <c r="X160" s="78">
        <v>0</v>
      </c>
      <c r="Y160" s="78">
        <v>0</v>
      </c>
      <c r="Z160" s="78">
        <v>0</v>
      </c>
      <c r="AA160" s="79">
        <v>0</v>
      </c>
      <c r="AB160" s="78">
        <v>0</v>
      </c>
      <c r="AC160" s="79">
        <v>0</v>
      </c>
      <c r="AD160" s="78">
        <v>0</v>
      </c>
      <c r="AF160" s="144"/>
    </row>
    <row r="161" spans="1:32">
      <c r="A161" s="128" t="s">
        <v>330</v>
      </c>
      <c r="B161" s="143">
        <v>0</v>
      </c>
      <c r="C161" s="129">
        <f t="shared" si="5"/>
        <v>0</v>
      </c>
      <c r="D161" s="129">
        <f t="shared" si="4"/>
        <v>0</v>
      </c>
      <c r="E161" s="129">
        <v>0</v>
      </c>
      <c r="F161" s="129">
        <v>0</v>
      </c>
      <c r="G161" s="129">
        <v>0</v>
      </c>
      <c r="H161" s="129">
        <v>0</v>
      </c>
      <c r="I161" s="129">
        <v>0</v>
      </c>
      <c r="J161" s="129">
        <v>0</v>
      </c>
      <c r="K161" s="129">
        <v>0</v>
      </c>
      <c r="L161" s="129">
        <v>0</v>
      </c>
      <c r="M161" s="129">
        <v>0</v>
      </c>
      <c r="N161" s="129">
        <v>0</v>
      </c>
      <c r="O161" s="129">
        <v>0</v>
      </c>
      <c r="P161" s="129">
        <v>0</v>
      </c>
      <c r="Q161" s="129">
        <v>0</v>
      </c>
      <c r="R161" s="129">
        <v>0</v>
      </c>
      <c r="S161" s="129">
        <v>0</v>
      </c>
      <c r="T161" s="129">
        <v>0</v>
      </c>
      <c r="U161" s="129">
        <v>0</v>
      </c>
      <c r="V161" s="129">
        <v>0</v>
      </c>
      <c r="W161" s="79">
        <v>0</v>
      </c>
      <c r="X161" s="78">
        <v>0</v>
      </c>
      <c r="Y161" s="78">
        <v>0</v>
      </c>
      <c r="Z161" s="78">
        <v>0</v>
      </c>
      <c r="AA161" s="79">
        <v>0</v>
      </c>
      <c r="AB161" s="78">
        <v>0</v>
      </c>
      <c r="AC161" s="79">
        <v>0</v>
      </c>
      <c r="AD161" s="78">
        <v>0</v>
      </c>
      <c r="AF161" s="144"/>
    </row>
    <row r="162" spans="1:32">
      <c r="A162" s="128" t="s">
        <v>331</v>
      </c>
      <c r="B162" s="143">
        <v>0</v>
      </c>
      <c r="C162" s="129">
        <f t="shared" si="5"/>
        <v>0</v>
      </c>
      <c r="D162" s="129">
        <f t="shared" si="4"/>
        <v>0</v>
      </c>
      <c r="E162" s="129">
        <v>0</v>
      </c>
      <c r="F162" s="129">
        <v>0</v>
      </c>
      <c r="G162" s="129">
        <v>0</v>
      </c>
      <c r="H162" s="129">
        <v>0</v>
      </c>
      <c r="I162" s="129">
        <v>0</v>
      </c>
      <c r="J162" s="129">
        <v>0</v>
      </c>
      <c r="K162" s="129">
        <v>0</v>
      </c>
      <c r="L162" s="129">
        <v>0</v>
      </c>
      <c r="M162" s="129">
        <v>0</v>
      </c>
      <c r="N162" s="129">
        <v>0</v>
      </c>
      <c r="O162" s="129">
        <v>0</v>
      </c>
      <c r="P162" s="129">
        <v>0</v>
      </c>
      <c r="Q162" s="129">
        <v>0</v>
      </c>
      <c r="R162" s="129">
        <v>0</v>
      </c>
      <c r="S162" s="129">
        <v>0</v>
      </c>
      <c r="T162" s="129">
        <v>0</v>
      </c>
      <c r="U162" s="129">
        <v>0</v>
      </c>
      <c r="V162" s="129">
        <v>0</v>
      </c>
      <c r="W162" s="79">
        <v>0</v>
      </c>
      <c r="X162" s="78">
        <v>0</v>
      </c>
      <c r="Y162" s="78">
        <v>0</v>
      </c>
      <c r="Z162" s="78">
        <v>0</v>
      </c>
      <c r="AA162" s="79">
        <v>0</v>
      </c>
      <c r="AB162" s="78">
        <v>0</v>
      </c>
      <c r="AC162" s="79">
        <v>0</v>
      </c>
      <c r="AD162" s="78">
        <v>0</v>
      </c>
      <c r="AF162" s="144"/>
    </row>
    <row r="163" spans="1:32">
      <c r="A163" s="128" t="s">
        <v>332</v>
      </c>
      <c r="B163" s="143">
        <v>0</v>
      </c>
      <c r="C163" s="129">
        <f t="shared" si="5"/>
        <v>0</v>
      </c>
      <c r="D163" s="129">
        <f t="shared" si="4"/>
        <v>0</v>
      </c>
      <c r="E163" s="129">
        <v>0</v>
      </c>
      <c r="F163" s="129">
        <v>0</v>
      </c>
      <c r="G163" s="129">
        <v>0</v>
      </c>
      <c r="H163" s="129">
        <v>0</v>
      </c>
      <c r="I163" s="129">
        <v>0</v>
      </c>
      <c r="J163" s="129">
        <v>0</v>
      </c>
      <c r="K163" s="129">
        <v>0</v>
      </c>
      <c r="L163" s="129">
        <v>0</v>
      </c>
      <c r="M163" s="129">
        <v>0</v>
      </c>
      <c r="N163" s="129">
        <v>0</v>
      </c>
      <c r="O163" s="129">
        <v>0</v>
      </c>
      <c r="P163" s="129">
        <v>0</v>
      </c>
      <c r="Q163" s="129">
        <v>0</v>
      </c>
      <c r="R163" s="129">
        <v>0</v>
      </c>
      <c r="S163" s="129">
        <v>0</v>
      </c>
      <c r="T163" s="129">
        <v>0</v>
      </c>
      <c r="U163" s="129">
        <v>0</v>
      </c>
      <c r="V163" s="129">
        <v>0</v>
      </c>
      <c r="W163" s="79">
        <v>0</v>
      </c>
      <c r="X163" s="78">
        <v>0</v>
      </c>
      <c r="Y163" s="78">
        <v>0</v>
      </c>
      <c r="Z163" s="78">
        <v>0</v>
      </c>
      <c r="AA163" s="79">
        <v>0</v>
      </c>
      <c r="AB163" s="78">
        <v>0</v>
      </c>
      <c r="AC163" s="79">
        <v>0</v>
      </c>
      <c r="AD163" s="78">
        <v>0</v>
      </c>
      <c r="AF163" s="144"/>
    </row>
    <row r="164" spans="1:32">
      <c r="A164" s="128" t="s">
        <v>333</v>
      </c>
      <c r="B164" s="143">
        <v>77.1887737535957</v>
      </c>
      <c r="C164" s="129">
        <f t="shared" si="5"/>
        <v>0</v>
      </c>
      <c r="D164" s="129">
        <f t="shared" si="4"/>
        <v>0</v>
      </c>
      <c r="E164" s="129">
        <v>0</v>
      </c>
      <c r="F164" s="129">
        <v>0</v>
      </c>
      <c r="G164" s="129">
        <v>0</v>
      </c>
      <c r="H164" s="129">
        <v>0</v>
      </c>
      <c r="I164" s="129">
        <v>0</v>
      </c>
      <c r="J164" s="129">
        <v>0</v>
      </c>
      <c r="K164" s="129">
        <v>0</v>
      </c>
      <c r="L164" s="129">
        <v>0</v>
      </c>
      <c r="M164" s="129">
        <v>0</v>
      </c>
      <c r="N164" s="129">
        <v>0</v>
      </c>
      <c r="O164" s="129">
        <v>0</v>
      </c>
      <c r="P164" s="129">
        <v>0</v>
      </c>
      <c r="Q164" s="129">
        <v>0</v>
      </c>
      <c r="R164" s="129">
        <v>0</v>
      </c>
      <c r="S164" s="129">
        <v>0</v>
      </c>
      <c r="T164" s="129">
        <v>0</v>
      </c>
      <c r="U164" s="129">
        <v>0</v>
      </c>
      <c r="V164" s="129">
        <v>0</v>
      </c>
      <c r="W164" s="79">
        <v>0</v>
      </c>
      <c r="X164" s="78">
        <v>0</v>
      </c>
      <c r="Y164" s="78">
        <v>0</v>
      </c>
      <c r="Z164" s="78">
        <v>0</v>
      </c>
      <c r="AA164" s="79">
        <v>0</v>
      </c>
      <c r="AB164" s="78">
        <v>0</v>
      </c>
      <c r="AC164" s="79">
        <v>0</v>
      </c>
      <c r="AD164" s="78">
        <v>0</v>
      </c>
      <c r="AF164" s="144"/>
    </row>
    <row r="165" spans="1:32">
      <c r="A165" s="128" t="s">
        <v>334</v>
      </c>
      <c r="B165" s="143">
        <v>0</v>
      </c>
      <c r="C165" s="129">
        <f t="shared" si="5"/>
        <v>0</v>
      </c>
      <c r="D165" s="129">
        <f t="shared" si="4"/>
        <v>0</v>
      </c>
      <c r="E165" s="129">
        <v>0</v>
      </c>
      <c r="F165" s="129">
        <v>0</v>
      </c>
      <c r="G165" s="129">
        <v>0</v>
      </c>
      <c r="H165" s="129">
        <v>0</v>
      </c>
      <c r="I165" s="129">
        <v>0</v>
      </c>
      <c r="J165" s="129">
        <v>0</v>
      </c>
      <c r="K165" s="129">
        <v>0</v>
      </c>
      <c r="L165" s="129">
        <v>0</v>
      </c>
      <c r="M165" s="129">
        <v>0</v>
      </c>
      <c r="N165" s="129">
        <v>0</v>
      </c>
      <c r="O165" s="129">
        <v>0</v>
      </c>
      <c r="P165" s="129">
        <v>0</v>
      </c>
      <c r="Q165" s="129">
        <v>0</v>
      </c>
      <c r="R165" s="129">
        <v>0</v>
      </c>
      <c r="S165" s="129">
        <v>0</v>
      </c>
      <c r="T165" s="129">
        <v>0</v>
      </c>
      <c r="U165" s="129">
        <v>0</v>
      </c>
      <c r="V165" s="129">
        <v>0</v>
      </c>
      <c r="W165" s="79">
        <v>0</v>
      </c>
      <c r="X165" s="78">
        <v>0</v>
      </c>
      <c r="Y165" s="78">
        <v>0</v>
      </c>
      <c r="Z165" s="78">
        <v>0</v>
      </c>
      <c r="AA165" s="79">
        <v>0</v>
      </c>
      <c r="AB165" s="78">
        <v>0</v>
      </c>
      <c r="AC165" s="79">
        <v>0</v>
      </c>
      <c r="AD165" s="78">
        <v>0</v>
      </c>
      <c r="AF165" s="144"/>
    </row>
    <row r="166" spans="1:32">
      <c r="A166" s="128" t="s">
        <v>335</v>
      </c>
      <c r="B166" s="143">
        <v>0</v>
      </c>
      <c r="C166" s="129">
        <f t="shared" si="5"/>
        <v>0</v>
      </c>
      <c r="D166" s="129">
        <f t="shared" si="4"/>
        <v>0</v>
      </c>
      <c r="E166" s="129">
        <v>0</v>
      </c>
      <c r="F166" s="129">
        <v>0</v>
      </c>
      <c r="G166" s="129">
        <v>0</v>
      </c>
      <c r="H166" s="129">
        <v>0</v>
      </c>
      <c r="I166" s="129">
        <v>0</v>
      </c>
      <c r="J166" s="129">
        <v>0</v>
      </c>
      <c r="K166" s="129">
        <v>0</v>
      </c>
      <c r="L166" s="129">
        <v>0</v>
      </c>
      <c r="M166" s="129">
        <v>0</v>
      </c>
      <c r="N166" s="129">
        <v>0</v>
      </c>
      <c r="O166" s="129">
        <v>0</v>
      </c>
      <c r="P166" s="129">
        <v>0</v>
      </c>
      <c r="Q166" s="129">
        <v>0</v>
      </c>
      <c r="R166" s="129">
        <v>0</v>
      </c>
      <c r="S166" s="129">
        <v>0</v>
      </c>
      <c r="T166" s="129">
        <v>0</v>
      </c>
      <c r="U166" s="129">
        <v>0</v>
      </c>
      <c r="V166" s="129">
        <v>0</v>
      </c>
      <c r="W166" s="79">
        <v>0</v>
      </c>
      <c r="X166" s="78">
        <v>0</v>
      </c>
      <c r="Y166" s="78">
        <v>0</v>
      </c>
      <c r="Z166" s="78">
        <v>0</v>
      </c>
      <c r="AA166" s="79">
        <v>0</v>
      </c>
      <c r="AB166" s="78">
        <v>0</v>
      </c>
      <c r="AC166" s="79">
        <v>0</v>
      </c>
      <c r="AD166" s="78">
        <v>0</v>
      </c>
      <c r="AF166" s="144"/>
    </row>
    <row r="167" spans="1:32">
      <c r="A167" s="128" t="s">
        <v>336</v>
      </c>
      <c r="B167" s="143">
        <v>0</v>
      </c>
      <c r="C167" s="129">
        <f t="shared" si="5"/>
        <v>0</v>
      </c>
      <c r="D167" s="129">
        <f t="shared" si="4"/>
        <v>0</v>
      </c>
      <c r="E167" s="129">
        <v>0</v>
      </c>
      <c r="F167" s="129">
        <v>0</v>
      </c>
      <c r="G167" s="129">
        <v>0</v>
      </c>
      <c r="H167" s="129">
        <v>0</v>
      </c>
      <c r="I167" s="129">
        <v>0</v>
      </c>
      <c r="J167" s="129">
        <v>0</v>
      </c>
      <c r="K167" s="129">
        <v>0</v>
      </c>
      <c r="L167" s="129">
        <v>0</v>
      </c>
      <c r="M167" s="129">
        <v>0</v>
      </c>
      <c r="N167" s="129">
        <v>0</v>
      </c>
      <c r="O167" s="129">
        <v>0</v>
      </c>
      <c r="P167" s="129">
        <v>0</v>
      </c>
      <c r="Q167" s="129">
        <v>0</v>
      </c>
      <c r="R167" s="129">
        <v>0</v>
      </c>
      <c r="S167" s="129">
        <v>0</v>
      </c>
      <c r="T167" s="129">
        <v>0</v>
      </c>
      <c r="U167" s="129">
        <v>0</v>
      </c>
      <c r="V167" s="129">
        <v>0</v>
      </c>
      <c r="W167" s="79">
        <v>0</v>
      </c>
      <c r="X167" s="78">
        <v>0</v>
      </c>
      <c r="Y167" s="78">
        <v>0</v>
      </c>
      <c r="Z167" s="78">
        <v>0</v>
      </c>
      <c r="AA167" s="79">
        <v>0</v>
      </c>
      <c r="AB167" s="78">
        <v>0</v>
      </c>
      <c r="AC167" s="79">
        <v>0</v>
      </c>
      <c r="AD167" s="78">
        <v>0</v>
      </c>
      <c r="AF167" s="144"/>
    </row>
    <row r="168" spans="1:32">
      <c r="A168" s="128" t="s">
        <v>337</v>
      </c>
      <c r="B168" s="143">
        <v>0</v>
      </c>
      <c r="C168" s="129">
        <f t="shared" si="5"/>
        <v>0</v>
      </c>
      <c r="D168" s="129">
        <f t="shared" si="4"/>
        <v>0</v>
      </c>
      <c r="E168" s="129">
        <v>0</v>
      </c>
      <c r="F168" s="129">
        <v>0</v>
      </c>
      <c r="G168" s="129">
        <v>0</v>
      </c>
      <c r="H168" s="129">
        <v>0</v>
      </c>
      <c r="I168" s="129">
        <v>0</v>
      </c>
      <c r="J168" s="129">
        <v>0</v>
      </c>
      <c r="K168" s="129">
        <v>0</v>
      </c>
      <c r="L168" s="129">
        <v>0</v>
      </c>
      <c r="M168" s="129">
        <v>0</v>
      </c>
      <c r="N168" s="129">
        <v>0</v>
      </c>
      <c r="O168" s="129">
        <v>0</v>
      </c>
      <c r="P168" s="129">
        <v>0</v>
      </c>
      <c r="Q168" s="129">
        <v>0</v>
      </c>
      <c r="R168" s="129">
        <v>0</v>
      </c>
      <c r="S168" s="129">
        <v>0</v>
      </c>
      <c r="T168" s="129">
        <v>0</v>
      </c>
      <c r="U168" s="129">
        <v>0</v>
      </c>
      <c r="V168" s="129">
        <v>0</v>
      </c>
      <c r="W168" s="79">
        <v>0</v>
      </c>
      <c r="X168" s="78">
        <v>0</v>
      </c>
      <c r="Y168" s="78">
        <v>0</v>
      </c>
      <c r="Z168" s="78">
        <v>0</v>
      </c>
      <c r="AA168" s="79">
        <v>0</v>
      </c>
      <c r="AB168" s="78">
        <v>0</v>
      </c>
      <c r="AC168" s="79">
        <v>0</v>
      </c>
      <c r="AD168" s="78">
        <v>0</v>
      </c>
      <c r="AF168" s="144"/>
    </row>
    <row r="169" spans="1:32">
      <c r="A169" s="128" t="s">
        <v>338</v>
      </c>
      <c r="B169" s="143">
        <v>724284.062834271</v>
      </c>
      <c r="C169" s="129">
        <f t="shared" si="5"/>
        <v>258861.71010969</v>
      </c>
      <c r="D169" s="129">
        <f t="shared" si="4"/>
        <v>165133.151020555</v>
      </c>
      <c r="E169" s="129">
        <v>47637.5049984479</v>
      </c>
      <c r="F169" s="129">
        <v>28464.7403650277</v>
      </c>
      <c r="G169" s="129">
        <v>0</v>
      </c>
      <c r="H169" s="129">
        <v>0</v>
      </c>
      <c r="I169" s="129">
        <v>23933.6053869695</v>
      </c>
      <c r="J169" s="129">
        <v>5556.17170714212</v>
      </c>
      <c r="K169" s="129">
        <v>32683.1961868638</v>
      </c>
      <c r="L169" s="129">
        <v>21240.0635683121</v>
      </c>
      <c r="M169" s="129">
        <v>0</v>
      </c>
      <c r="N169" s="129">
        <v>0</v>
      </c>
      <c r="O169" s="129">
        <v>0</v>
      </c>
      <c r="P169" s="129">
        <v>0</v>
      </c>
      <c r="Q169" s="129">
        <v>10136.6543750033</v>
      </c>
      <c r="R169" s="129">
        <v>6922.56310022542</v>
      </c>
      <c r="S169" s="129">
        <v>901.526702415895</v>
      </c>
      <c r="T169" s="129">
        <v>8666.543457499</v>
      </c>
      <c r="U169" s="129">
        <v>82490.2374765109</v>
      </c>
      <c r="V169" s="129">
        <v>68069.5385300504</v>
      </c>
      <c r="W169" s="79">
        <v>0</v>
      </c>
      <c r="X169" s="78">
        <v>0</v>
      </c>
      <c r="Y169" s="78">
        <v>135.689291895253</v>
      </c>
      <c r="Z169" s="78">
        <v>6147.40545409767</v>
      </c>
      <c r="AA169" s="79">
        <v>0</v>
      </c>
      <c r="AB169" s="78">
        <v>0</v>
      </c>
      <c r="AC169" s="79">
        <v>60943.2956915836</v>
      </c>
      <c r="AD169" s="78">
        <v>20066.1248382009</v>
      </c>
      <c r="AF169" s="144"/>
    </row>
    <row r="170" spans="1:32">
      <c r="A170" s="128" t="s">
        <v>339</v>
      </c>
      <c r="B170" s="143">
        <v>0</v>
      </c>
      <c r="C170" s="129">
        <f t="shared" si="5"/>
        <v>0</v>
      </c>
      <c r="D170" s="129">
        <f t="shared" si="4"/>
        <v>0</v>
      </c>
      <c r="E170" s="129">
        <v>0</v>
      </c>
      <c r="F170" s="129">
        <v>0</v>
      </c>
      <c r="G170" s="129">
        <v>0</v>
      </c>
      <c r="H170" s="129">
        <v>0</v>
      </c>
      <c r="I170" s="129">
        <v>0</v>
      </c>
      <c r="J170" s="129">
        <v>0</v>
      </c>
      <c r="K170" s="129">
        <v>0</v>
      </c>
      <c r="L170" s="129">
        <v>0</v>
      </c>
      <c r="M170" s="129">
        <v>0</v>
      </c>
      <c r="N170" s="129">
        <v>0</v>
      </c>
      <c r="O170" s="129">
        <v>0</v>
      </c>
      <c r="P170" s="129">
        <v>0</v>
      </c>
      <c r="Q170" s="129">
        <v>0</v>
      </c>
      <c r="R170" s="129">
        <v>0</v>
      </c>
      <c r="S170" s="129">
        <v>0</v>
      </c>
      <c r="T170" s="129">
        <v>0</v>
      </c>
      <c r="U170" s="129">
        <v>0</v>
      </c>
      <c r="V170" s="129">
        <v>0</v>
      </c>
      <c r="W170" s="79">
        <v>0</v>
      </c>
      <c r="X170" s="78">
        <v>0</v>
      </c>
      <c r="Y170" s="78">
        <v>0</v>
      </c>
      <c r="Z170" s="78">
        <v>0</v>
      </c>
      <c r="AA170" s="79">
        <v>0</v>
      </c>
      <c r="AB170" s="78">
        <v>0</v>
      </c>
      <c r="AC170" s="79">
        <v>0</v>
      </c>
      <c r="AD170" s="78">
        <v>0</v>
      </c>
      <c r="AF170" s="144"/>
    </row>
    <row r="171" spans="1:32">
      <c r="A171" s="128" t="s">
        <v>340</v>
      </c>
      <c r="B171" s="143">
        <v>6218290.56746782</v>
      </c>
      <c r="C171" s="129">
        <f t="shared" si="5"/>
        <v>1020937.41723697</v>
      </c>
      <c r="D171" s="129">
        <f t="shared" si="4"/>
        <v>243633.586823004</v>
      </c>
      <c r="E171" s="129">
        <v>0</v>
      </c>
      <c r="F171" s="129">
        <v>0</v>
      </c>
      <c r="G171" s="129">
        <v>0</v>
      </c>
      <c r="H171" s="129">
        <v>0</v>
      </c>
      <c r="I171" s="129">
        <v>87929.5006413027</v>
      </c>
      <c r="J171" s="129">
        <v>54910.6199893685</v>
      </c>
      <c r="K171" s="129">
        <v>156716.966984209</v>
      </c>
      <c r="L171" s="129">
        <v>80582.5081226502</v>
      </c>
      <c r="M171" s="129">
        <v>0</v>
      </c>
      <c r="N171" s="129">
        <v>0</v>
      </c>
      <c r="O171" s="129">
        <v>38857.2016483422</v>
      </c>
      <c r="P171" s="129">
        <v>26069.301557948</v>
      </c>
      <c r="Q171" s="129">
        <v>0</v>
      </c>
      <c r="R171" s="129">
        <v>0</v>
      </c>
      <c r="S171" s="129">
        <v>0</v>
      </c>
      <c r="T171" s="129">
        <v>6544.09251604581</v>
      </c>
      <c r="U171" s="129">
        <v>0</v>
      </c>
      <c r="V171" s="129">
        <v>0</v>
      </c>
      <c r="W171" s="79">
        <v>282345.996819099</v>
      </c>
      <c r="X171" s="78">
        <v>0</v>
      </c>
      <c r="Y171" s="78">
        <v>678.446521364192</v>
      </c>
      <c r="Z171" s="78">
        <v>10109.0630517139</v>
      </c>
      <c r="AA171" s="79">
        <v>0</v>
      </c>
      <c r="AB171" s="78">
        <v>0</v>
      </c>
      <c r="AC171" s="79">
        <v>454409.304622651</v>
      </c>
      <c r="AD171" s="78">
        <v>65418.0015852771</v>
      </c>
      <c r="AF171" s="144"/>
    </row>
    <row r="172" spans="1:32">
      <c r="A172" s="128" t="s">
        <v>341</v>
      </c>
      <c r="B172" s="143">
        <v>0</v>
      </c>
      <c r="C172" s="129">
        <f t="shared" si="5"/>
        <v>0</v>
      </c>
      <c r="D172" s="129">
        <f t="shared" si="4"/>
        <v>84594.0687460437</v>
      </c>
      <c r="E172" s="129">
        <v>0</v>
      </c>
      <c r="F172" s="129">
        <v>0</v>
      </c>
      <c r="G172" s="129">
        <v>0</v>
      </c>
      <c r="H172" s="129">
        <v>0</v>
      </c>
      <c r="I172" s="129">
        <v>0</v>
      </c>
      <c r="J172" s="129">
        <v>0</v>
      </c>
      <c r="K172" s="129">
        <v>0</v>
      </c>
      <c r="L172" s="129">
        <v>84594.0687460437</v>
      </c>
      <c r="M172" s="129">
        <v>0</v>
      </c>
      <c r="N172" s="129">
        <v>0</v>
      </c>
      <c r="O172" s="129">
        <v>0</v>
      </c>
      <c r="P172" s="129">
        <v>0</v>
      </c>
      <c r="Q172" s="129">
        <v>0</v>
      </c>
      <c r="R172" s="129">
        <v>0</v>
      </c>
      <c r="S172" s="129">
        <v>0</v>
      </c>
      <c r="T172" s="129">
        <v>0</v>
      </c>
      <c r="U172" s="129">
        <v>0</v>
      </c>
      <c r="V172" s="129">
        <v>0</v>
      </c>
      <c r="W172" s="79">
        <v>0</v>
      </c>
      <c r="X172" s="78">
        <v>0</v>
      </c>
      <c r="Y172" s="78">
        <v>0</v>
      </c>
      <c r="Z172" s="78">
        <v>0</v>
      </c>
      <c r="AA172" s="79">
        <v>0</v>
      </c>
      <c r="AB172" s="78">
        <v>0</v>
      </c>
      <c r="AC172" s="79">
        <v>0</v>
      </c>
      <c r="AD172" s="78">
        <v>0</v>
      </c>
      <c r="AF172" s="144"/>
    </row>
    <row r="173" spans="1:32">
      <c r="A173" s="128" t="s">
        <v>342</v>
      </c>
      <c r="B173" s="143">
        <v>0</v>
      </c>
      <c r="C173" s="129">
        <f t="shared" si="5"/>
        <v>0</v>
      </c>
      <c r="D173" s="129">
        <f t="shared" si="4"/>
        <v>0</v>
      </c>
      <c r="E173" s="129">
        <v>0</v>
      </c>
      <c r="F173" s="129">
        <v>0</v>
      </c>
      <c r="G173" s="129">
        <v>0</v>
      </c>
      <c r="H173" s="129">
        <v>0</v>
      </c>
      <c r="I173" s="129">
        <v>0</v>
      </c>
      <c r="J173" s="129">
        <v>0</v>
      </c>
      <c r="K173" s="129">
        <v>0</v>
      </c>
      <c r="L173" s="129">
        <v>0</v>
      </c>
      <c r="M173" s="129">
        <v>0</v>
      </c>
      <c r="N173" s="129">
        <v>0</v>
      </c>
      <c r="O173" s="129">
        <v>0</v>
      </c>
      <c r="P173" s="129">
        <v>0</v>
      </c>
      <c r="Q173" s="129">
        <v>0</v>
      </c>
      <c r="R173" s="129">
        <v>0</v>
      </c>
      <c r="S173" s="129">
        <v>0</v>
      </c>
      <c r="T173" s="129">
        <v>0</v>
      </c>
      <c r="U173" s="129">
        <v>0</v>
      </c>
      <c r="V173" s="129">
        <v>0</v>
      </c>
      <c r="W173" s="79">
        <v>0</v>
      </c>
      <c r="X173" s="78">
        <v>0</v>
      </c>
      <c r="Y173" s="78">
        <v>0</v>
      </c>
      <c r="Z173" s="78">
        <v>0</v>
      </c>
      <c r="AA173" s="79">
        <v>0</v>
      </c>
      <c r="AB173" s="78">
        <v>0</v>
      </c>
      <c r="AC173" s="79">
        <v>0</v>
      </c>
      <c r="AD173" s="78">
        <v>0</v>
      </c>
      <c r="AF173" s="144"/>
    </row>
    <row r="174" spans="1:32">
      <c r="A174" s="128" t="s">
        <v>343</v>
      </c>
      <c r="B174" s="143">
        <v>1202687.2330282</v>
      </c>
      <c r="C174" s="129">
        <f t="shared" si="5"/>
        <v>873716.108659581</v>
      </c>
      <c r="D174" s="129">
        <f t="shared" si="4"/>
        <v>883891.250260908</v>
      </c>
      <c r="E174" s="129">
        <v>180994.127249358</v>
      </c>
      <c r="F174" s="129">
        <v>183149.67612722</v>
      </c>
      <c r="G174" s="129">
        <v>160348.850853753</v>
      </c>
      <c r="H174" s="129">
        <v>288821.050811472</v>
      </c>
      <c r="I174" s="129">
        <v>0</v>
      </c>
      <c r="J174" s="129">
        <v>0</v>
      </c>
      <c r="K174" s="129">
        <v>0</v>
      </c>
      <c r="L174" s="129">
        <v>0</v>
      </c>
      <c r="M174" s="129">
        <v>0</v>
      </c>
      <c r="N174" s="129">
        <v>0</v>
      </c>
      <c r="O174" s="129">
        <v>0</v>
      </c>
      <c r="P174" s="129">
        <v>0</v>
      </c>
      <c r="Q174" s="129">
        <v>63175.2699492638</v>
      </c>
      <c r="R174" s="129">
        <v>4130.4849742065</v>
      </c>
      <c r="S174" s="129">
        <v>0</v>
      </c>
      <c r="T174" s="129">
        <v>17417.1003287132</v>
      </c>
      <c r="U174" s="129">
        <v>166865.501283378</v>
      </c>
      <c r="V174" s="129">
        <v>220177.72279752</v>
      </c>
      <c r="W174" s="79">
        <v>0</v>
      </c>
      <c r="X174" s="78">
        <v>0</v>
      </c>
      <c r="Y174" s="78">
        <v>8837.46613743815</v>
      </c>
      <c r="Z174" s="78">
        <v>23033.3791340788</v>
      </c>
      <c r="AA174" s="79">
        <v>0</v>
      </c>
      <c r="AB174" s="78">
        <v>0</v>
      </c>
      <c r="AC174" s="79">
        <v>293494.89318639</v>
      </c>
      <c r="AD174" s="78">
        <v>147161.836087698</v>
      </c>
      <c r="AF174" s="144"/>
    </row>
    <row r="175" spans="1:32">
      <c r="A175" s="128" t="s">
        <v>344</v>
      </c>
      <c r="B175" s="143">
        <v>0</v>
      </c>
      <c r="C175" s="129">
        <f t="shared" si="5"/>
        <v>0</v>
      </c>
      <c r="D175" s="129">
        <f t="shared" si="4"/>
        <v>0</v>
      </c>
      <c r="E175" s="129">
        <v>0</v>
      </c>
      <c r="F175" s="129">
        <v>0</v>
      </c>
      <c r="G175" s="129">
        <v>0</v>
      </c>
      <c r="H175" s="129">
        <v>0</v>
      </c>
      <c r="I175" s="129">
        <v>0</v>
      </c>
      <c r="J175" s="129">
        <v>0</v>
      </c>
      <c r="K175" s="129">
        <v>0</v>
      </c>
      <c r="L175" s="129">
        <v>0</v>
      </c>
      <c r="M175" s="129">
        <v>0</v>
      </c>
      <c r="N175" s="129">
        <v>0</v>
      </c>
      <c r="O175" s="129">
        <v>0</v>
      </c>
      <c r="P175" s="129">
        <v>0</v>
      </c>
      <c r="Q175" s="129">
        <v>0</v>
      </c>
      <c r="R175" s="129">
        <v>0</v>
      </c>
      <c r="S175" s="129">
        <v>0</v>
      </c>
      <c r="T175" s="129">
        <v>0</v>
      </c>
      <c r="U175" s="129">
        <v>0</v>
      </c>
      <c r="V175" s="129">
        <v>0</v>
      </c>
      <c r="W175" s="79">
        <v>0</v>
      </c>
      <c r="X175" s="78">
        <v>0</v>
      </c>
      <c r="Y175" s="78">
        <v>0</v>
      </c>
      <c r="Z175" s="78">
        <v>0</v>
      </c>
      <c r="AA175" s="79">
        <v>0</v>
      </c>
      <c r="AB175" s="78">
        <v>0</v>
      </c>
      <c r="AC175" s="79">
        <v>0</v>
      </c>
      <c r="AD175" s="78">
        <v>0</v>
      </c>
      <c r="AF175" s="144"/>
    </row>
    <row r="176" spans="1:32">
      <c r="A176" s="128" t="s">
        <v>345</v>
      </c>
      <c r="B176" s="143">
        <v>0</v>
      </c>
      <c r="C176" s="129">
        <f t="shared" si="5"/>
        <v>83219.5056552758</v>
      </c>
      <c r="D176" s="129">
        <f t="shared" si="4"/>
        <v>1126432.16942601</v>
      </c>
      <c r="E176" s="129">
        <v>0</v>
      </c>
      <c r="F176" s="129">
        <v>0</v>
      </c>
      <c r="G176" s="129">
        <v>0</v>
      </c>
      <c r="H176" s="129">
        <v>597619.413151363</v>
      </c>
      <c r="I176" s="129">
        <v>0</v>
      </c>
      <c r="J176" s="129">
        <v>94511.9635938544</v>
      </c>
      <c r="K176" s="129">
        <v>0</v>
      </c>
      <c r="L176" s="129">
        <v>0</v>
      </c>
      <c r="M176" s="129">
        <v>0</v>
      </c>
      <c r="N176" s="129">
        <v>0</v>
      </c>
      <c r="O176" s="129">
        <v>0</v>
      </c>
      <c r="P176" s="129">
        <v>5438.32354479864</v>
      </c>
      <c r="Q176" s="129">
        <v>9484.86115005529</v>
      </c>
      <c r="R176" s="129">
        <v>94967.3153081383</v>
      </c>
      <c r="S176" s="129">
        <v>0</v>
      </c>
      <c r="T176" s="129">
        <v>0</v>
      </c>
      <c r="U176" s="129">
        <v>0</v>
      </c>
      <c r="V176" s="129">
        <v>0</v>
      </c>
      <c r="W176" s="79">
        <v>0</v>
      </c>
      <c r="X176" s="78">
        <v>0</v>
      </c>
      <c r="Y176" s="78">
        <v>65896.2752717311</v>
      </c>
      <c r="Z176" s="78">
        <v>53034.7763556337</v>
      </c>
      <c r="AA176" s="79">
        <v>0</v>
      </c>
      <c r="AB176" s="78">
        <v>0</v>
      </c>
      <c r="AC176" s="79">
        <v>7838.36923348937</v>
      </c>
      <c r="AD176" s="78">
        <v>280860.377472226</v>
      </c>
      <c r="AF176" s="144"/>
    </row>
    <row r="177" spans="1:32">
      <c r="A177" s="128" t="s">
        <v>346</v>
      </c>
      <c r="B177" s="143">
        <v>0</v>
      </c>
      <c r="C177" s="129">
        <f t="shared" si="5"/>
        <v>0</v>
      </c>
      <c r="D177" s="129">
        <f t="shared" si="4"/>
        <v>0</v>
      </c>
      <c r="E177" s="129">
        <v>0</v>
      </c>
      <c r="F177" s="129">
        <v>0</v>
      </c>
      <c r="G177" s="129">
        <v>0</v>
      </c>
      <c r="H177" s="129">
        <v>0</v>
      </c>
      <c r="I177" s="129">
        <v>0</v>
      </c>
      <c r="J177" s="129">
        <v>0</v>
      </c>
      <c r="K177" s="129">
        <v>0</v>
      </c>
      <c r="L177" s="129">
        <v>0</v>
      </c>
      <c r="M177" s="129">
        <v>0</v>
      </c>
      <c r="N177" s="129">
        <v>0</v>
      </c>
      <c r="O177" s="129">
        <v>0</v>
      </c>
      <c r="P177" s="129">
        <v>0</v>
      </c>
      <c r="Q177" s="129">
        <v>0</v>
      </c>
      <c r="R177" s="129">
        <v>0</v>
      </c>
      <c r="S177" s="129">
        <v>0</v>
      </c>
      <c r="T177" s="129">
        <v>0</v>
      </c>
      <c r="U177" s="129">
        <v>0</v>
      </c>
      <c r="V177" s="129">
        <v>0</v>
      </c>
      <c r="W177" s="79">
        <v>0</v>
      </c>
      <c r="X177" s="78">
        <v>0</v>
      </c>
      <c r="Y177" s="78">
        <v>0</v>
      </c>
      <c r="Z177" s="78">
        <v>0</v>
      </c>
      <c r="AA177" s="79">
        <v>0</v>
      </c>
      <c r="AB177" s="78">
        <v>0</v>
      </c>
      <c r="AC177" s="79">
        <v>0</v>
      </c>
      <c r="AD177" s="78">
        <v>0</v>
      </c>
      <c r="AF177" s="144"/>
    </row>
    <row r="178" spans="1:32">
      <c r="A178" s="128" t="s">
        <v>347</v>
      </c>
      <c r="B178" s="143">
        <v>225719.37709958</v>
      </c>
      <c r="C178" s="129">
        <f t="shared" ref="C178:C185" si="6">E178+G178+I178+K178+M178+O178+Q178+S178+U178+W178+Y178+AC178+AA178</f>
        <v>64055.3661536935</v>
      </c>
      <c r="D178" s="129">
        <f t="shared" ref="D178:D185" si="7">F178+H178+J178+L178+N178+P178+R178+T178+V178+X178+Z178+AD178+AB178</f>
        <v>72813.1792373824</v>
      </c>
      <c r="E178" s="129">
        <v>7708.26122689315</v>
      </c>
      <c r="F178" s="129">
        <v>20846.7639445033</v>
      </c>
      <c r="G178" s="129">
        <v>0</v>
      </c>
      <c r="H178" s="129">
        <v>0</v>
      </c>
      <c r="I178" s="129">
        <v>9192.40571224056</v>
      </c>
      <c r="J178" s="129">
        <v>19903.0815341253</v>
      </c>
      <c r="K178" s="129">
        <v>0</v>
      </c>
      <c r="L178" s="129">
        <v>0</v>
      </c>
      <c r="M178" s="129">
        <v>0</v>
      </c>
      <c r="N178" s="129">
        <v>0</v>
      </c>
      <c r="O178" s="129">
        <v>0</v>
      </c>
      <c r="P178" s="129">
        <v>0</v>
      </c>
      <c r="Q178" s="129">
        <v>0</v>
      </c>
      <c r="R178" s="129">
        <v>0</v>
      </c>
      <c r="S178" s="129">
        <v>0</v>
      </c>
      <c r="T178" s="129">
        <v>485.328841199717</v>
      </c>
      <c r="U178" s="129">
        <v>0</v>
      </c>
      <c r="V178" s="129">
        <v>19683.9210012518</v>
      </c>
      <c r="W178" s="79">
        <v>0</v>
      </c>
      <c r="X178" s="78">
        <v>0</v>
      </c>
      <c r="Y178" s="78">
        <v>0</v>
      </c>
      <c r="Z178" s="78">
        <v>0</v>
      </c>
      <c r="AA178" s="79">
        <v>0</v>
      </c>
      <c r="AB178" s="78">
        <v>0</v>
      </c>
      <c r="AC178" s="79">
        <v>47154.6992145598</v>
      </c>
      <c r="AD178" s="78">
        <v>11894.0839163022</v>
      </c>
      <c r="AF178" s="144"/>
    </row>
    <row r="179" spans="1:32">
      <c r="A179" s="128" t="s">
        <v>348</v>
      </c>
      <c r="B179" s="143">
        <v>148894.615153395</v>
      </c>
      <c r="C179" s="129">
        <f t="shared" si="6"/>
        <v>396157.894069093</v>
      </c>
      <c r="D179" s="129">
        <f t="shared" si="7"/>
        <v>127258.321423787</v>
      </c>
      <c r="E179" s="129">
        <v>0</v>
      </c>
      <c r="F179" s="129">
        <v>0</v>
      </c>
      <c r="G179" s="129">
        <v>0</v>
      </c>
      <c r="H179" s="129">
        <v>0</v>
      </c>
      <c r="I179" s="129">
        <v>10231.3531948384</v>
      </c>
      <c r="J179" s="129">
        <v>0</v>
      </c>
      <c r="K179" s="129">
        <v>36678.3209604661</v>
      </c>
      <c r="L179" s="129">
        <v>17247.0362884038</v>
      </c>
      <c r="M179" s="129">
        <v>0</v>
      </c>
      <c r="N179" s="129">
        <v>0</v>
      </c>
      <c r="O179" s="129">
        <v>467.478700248625</v>
      </c>
      <c r="P179" s="129">
        <v>383.104373012624</v>
      </c>
      <c r="Q179" s="129">
        <v>34603.2367459012</v>
      </c>
      <c r="R179" s="129">
        <v>14394.3065716587</v>
      </c>
      <c r="S179" s="129">
        <v>1350.24597099159</v>
      </c>
      <c r="T179" s="129">
        <v>38817.5822075876</v>
      </c>
      <c r="U179" s="129">
        <v>28593.6950181254</v>
      </c>
      <c r="V179" s="129">
        <v>34475.488566237</v>
      </c>
      <c r="W179" s="79">
        <v>0</v>
      </c>
      <c r="X179" s="78">
        <v>0</v>
      </c>
      <c r="Y179" s="78">
        <v>12206.3649622423</v>
      </c>
      <c r="Z179" s="78">
        <v>3920.04722131406</v>
      </c>
      <c r="AA179" s="79">
        <v>0</v>
      </c>
      <c r="AB179" s="78">
        <v>0</v>
      </c>
      <c r="AC179" s="79">
        <v>272027.19851628</v>
      </c>
      <c r="AD179" s="78">
        <v>18020.7561955732</v>
      </c>
      <c r="AF179" s="144"/>
    </row>
    <row r="180" spans="1:32">
      <c r="A180" s="128" t="s">
        <v>349</v>
      </c>
      <c r="B180" s="143">
        <v>0</v>
      </c>
      <c r="C180" s="129">
        <f t="shared" si="6"/>
        <v>0</v>
      </c>
      <c r="D180" s="129">
        <f t="shared" si="7"/>
        <v>0</v>
      </c>
      <c r="E180" s="129">
        <v>0</v>
      </c>
      <c r="F180" s="129">
        <v>0</v>
      </c>
      <c r="G180" s="129">
        <v>0</v>
      </c>
      <c r="H180" s="129">
        <v>0</v>
      </c>
      <c r="I180" s="129">
        <v>0</v>
      </c>
      <c r="J180" s="129">
        <v>0</v>
      </c>
      <c r="K180" s="129">
        <v>0</v>
      </c>
      <c r="L180" s="129">
        <v>0</v>
      </c>
      <c r="M180" s="129">
        <v>0</v>
      </c>
      <c r="N180" s="129">
        <v>0</v>
      </c>
      <c r="O180" s="129">
        <v>0</v>
      </c>
      <c r="P180" s="129">
        <v>0</v>
      </c>
      <c r="Q180" s="129">
        <v>0</v>
      </c>
      <c r="R180" s="129">
        <v>0</v>
      </c>
      <c r="S180" s="129">
        <v>0</v>
      </c>
      <c r="T180" s="129">
        <v>0</v>
      </c>
      <c r="U180" s="129">
        <v>0</v>
      </c>
      <c r="V180" s="129">
        <v>0</v>
      </c>
      <c r="W180" s="79">
        <v>0</v>
      </c>
      <c r="X180" s="78">
        <v>0</v>
      </c>
      <c r="Y180" s="78">
        <v>0</v>
      </c>
      <c r="Z180" s="78">
        <v>0</v>
      </c>
      <c r="AA180" s="79">
        <v>0</v>
      </c>
      <c r="AB180" s="78">
        <v>0</v>
      </c>
      <c r="AC180" s="79">
        <v>0</v>
      </c>
      <c r="AD180" s="78">
        <v>0</v>
      </c>
      <c r="AF180" s="144"/>
    </row>
    <row r="181" spans="1:32">
      <c r="A181" s="128" t="s">
        <v>350</v>
      </c>
      <c r="B181" s="143">
        <v>0</v>
      </c>
      <c r="C181" s="129">
        <f t="shared" si="6"/>
        <v>0</v>
      </c>
      <c r="D181" s="129">
        <f t="shared" si="7"/>
        <v>0</v>
      </c>
      <c r="E181" s="129">
        <v>0</v>
      </c>
      <c r="F181" s="129">
        <v>0</v>
      </c>
      <c r="G181" s="129">
        <v>0</v>
      </c>
      <c r="H181" s="129">
        <v>0</v>
      </c>
      <c r="I181" s="129">
        <v>0</v>
      </c>
      <c r="J181" s="129">
        <v>0</v>
      </c>
      <c r="K181" s="129">
        <v>0</v>
      </c>
      <c r="L181" s="129">
        <v>0</v>
      </c>
      <c r="M181" s="129">
        <v>0</v>
      </c>
      <c r="N181" s="129">
        <v>0</v>
      </c>
      <c r="O181" s="129">
        <v>0</v>
      </c>
      <c r="P181" s="129">
        <v>0</v>
      </c>
      <c r="Q181" s="129">
        <v>0</v>
      </c>
      <c r="R181" s="129">
        <v>0</v>
      </c>
      <c r="S181" s="129">
        <v>0</v>
      </c>
      <c r="T181" s="129">
        <v>0</v>
      </c>
      <c r="U181" s="129">
        <v>0</v>
      </c>
      <c r="V181" s="129">
        <v>0</v>
      </c>
      <c r="W181" s="79">
        <v>0</v>
      </c>
      <c r="X181" s="78">
        <v>0</v>
      </c>
      <c r="Y181" s="78">
        <v>0</v>
      </c>
      <c r="Z181" s="78">
        <v>0</v>
      </c>
      <c r="AA181" s="79">
        <v>0</v>
      </c>
      <c r="AB181" s="78">
        <v>0</v>
      </c>
      <c r="AC181" s="79">
        <v>0</v>
      </c>
      <c r="AD181" s="78">
        <v>0</v>
      </c>
      <c r="AF181" s="144"/>
    </row>
    <row r="182" spans="1:32">
      <c r="A182" s="128" t="s">
        <v>351</v>
      </c>
      <c r="B182" s="143">
        <v>0</v>
      </c>
      <c r="C182" s="129">
        <f t="shared" si="6"/>
        <v>0</v>
      </c>
      <c r="D182" s="129">
        <f t="shared" si="7"/>
        <v>0</v>
      </c>
      <c r="E182" s="129">
        <v>0</v>
      </c>
      <c r="F182" s="129">
        <v>0</v>
      </c>
      <c r="G182" s="129">
        <v>0</v>
      </c>
      <c r="H182" s="129">
        <v>0</v>
      </c>
      <c r="I182" s="129">
        <v>0</v>
      </c>
      <c r="J182" s="129">
        <v>0</v>
      </c>
      <c r="K182" s="129">
        <v>0</v>
      </c>
      <c r="L182" s="129">
        <v>0</v>
      </c>
      <c r="M182" s="129">
        <v>0</v>
      </c>
      <c r="N182" s="129">
        <v>0</v>
      </c>
      <c r="O182" s="129">
        <v>0</v>
      </c>
      <c r="P182" s="129">
        <v>0</v>
      </c>
      <c r="Q182" s="129">
        <v>0</v>
      </c>
      <c r="R182" s="129">
        <v>0</v>
      </c>
      <c r="S182" s="129">
        <v>0</v>
      </c>
      <c r="T182" s="129">
        <v>0</v>
      </c>
      <c r="U182" s="129">
        <v>0</v>
      </c>
      <c r="V182" s="129">
        <v>0</v>
      </c>
      <c r="W182" s="79">
        <v>0</v>
      </c>
      <c r="X182" s="78">
        <v>0</v>
      </c>
      <c r="Y182" s="78">
        <v>0</v>
      </c>
      <c r="Z182" s="78">
        <v>0</v>
      </c>
      <c r="AA182" s="79">
        <v>0</v>
      </c>
      <c r="AB182" s="78">
        <v>0</v>
      </c>
      <c r="AC182" s="79">
        <v>0</v>
      </c>
      <c r="AD182" s="78">
        <v>0</v>
      </c>
      <c r="AF182" s="144"/>
    </row>
    <row r="183" spans="1:32">
      <c r="A183" s="128" t="s">
        <v>352</v>
      </c>
      <c r="B183" s="143">
        <v>0</v>
      </c>
      <c r="C183" s="129">
        <f t="shared" si="6"/>
        <v>41979.4738552994</v>
      </c>
      <c r="D183" s="129">
        <f t="shared" si="7"/>
        <v>6323.18723773154</v>
      </c>
      <c r="E183" s="129">
        <v>0</v>
      </c>
      <c r="F183" s="129">
        <v>0</v>
      </c>
      <c r="G183" s="129">
        <v>23389.038700269</v>
      </c>
      <c r="H183" s="129">
        <v>0</v>
      </c>
      <c r="I183" s="129">
        <v>0</v>
      </c>
      <c r="J183" s="129">
        <v>0</v>
      </c>
      <c r="K183" s="129">
        <v>0</v>
      </c>
      <c r="L183" s="129">
        <v>0</v>
      </c>
      <c r="M183" s="129">
        <v>0</v>
      </c>
      <c r="N183" s="129">
        <v>0</v>
      </c>
      <c r="O183" s="129">
        <v>0</v>
      </c>
      <c r="P183" s="129">
        <v>0</v>
      </c>
      <c r="Q183" s="129">
        <v>0</v>
      </c>
      <c r="R183" s="129">
        <v>0</v>
      </c>
      <c r="S183" s="129">
        <v>0</v>
      </c>
      <c r="T183" s="129">
        <v>0</v>
      </c>
      <c r="U183" s="129">
        <v>0</v>
      </c>
      <c r="V183" s="129">
        <v>0</v>
      </c>
      <c r="W183" s="79">
        <v>0</v>
      </c>
      <c r="X183" s="78">
        <v>0</v>
      </c>
      <c r="Y183" s="78">
        <v>0</v>
      </c>
      <c r="Z183" s="78">
        <v>0</v>
      </c>
      <c r="AA183" s="79">
        <v>0</v>
      </c>
      <c r="AB183" s="78">
        <v>0</v>
      </c>
      <c r="AC183" s="79">
        <v>18590.4351550303</v>
      </c>
      <c r="AD183" s="78">
        <v>6323.18723773154</v>
      </c>
      <c r="AF183" s="144"/>
    </row>
    <row r="184" spans="1:32">
      <c r="A184" s="128" t="s">
        <v>353</v>
      </c>
      <c r="B184" s="143">
        <v>23636332.3896343</v>
      </c>
      <c r="C184" s="129">
        <f t="shared" si="6"/>
        <v>5511534.07375626</v>
      </c>
      <c r="D184" s="129">
        <f t="shared" si="7"/>
        <v>0</v>
      </c>
      <c r="E184" s="129">
        <v>0</v>
      </c>
      <c r="F184" s="129">
        <v>0</v>
      </c>
      <c r="G184" s="129">
        <v>0</v>
      </c>
      <c r="H184" s="129">
        <v>0</v>
      </c>
      <c r="I184" s="129">
        <v>0</v>
      </c>
      <c r="J184" s="129">
        <v>0</v>
      </c>
      <c r="K184" s="129">
        <v>0</v>
      </c>
      <c r="L184" s="129">
        <v>0</v>
      </c>
      <c r="M184" s="129">
        <v>5511534.07375626</v>
      </c>
      <c r="N184" s="129">
        <v>0</v>
      </c>
      <c r="O184" s="129">
        <v>0</v>
      </c>
      <c r="P184" s="129">
        <v>0</v>
      </c>
      <c r="Q184" s="129">
        <v>0</v>
      </c>
      <c r="R184" s="129">
        <v>0</v>
      </c>
      <c r="S184" s="129">
        <v>0</v>
      </c>
      <c r="T184" s="129">
        <v>0</v>
      </c>
      <c r="U184" s="129">
        <v>0</v>
      </c>
      <c r="V184" s="129">
        <v>0</v>
      </c>
      <c r="W184" s="79">
        <v>0</v>
      </c>
      <c r="X184" s="78">
        <v>0</v>
      </c>
      <c r="Y184" s="78">
        <v>0</v>
      </c>
      <c r="Z184" s="78">
        <v>0</v>
      </c>
      <c r="AA184" s="79">
        <v>0</v>
      </c>
      <c r="AB184" s="78">
        <v>0</v>
      </c>
      <c r="AC184" s="79">
        <v>0</v>
      </c>
      <c r="AD184" s="78">
        <v>0</v>
      </c>
      <c r="AF184" s="144"/>
    </row>
    <row r="185" spans="1:32">
      <c r="A185" s="128" t="s">
        <v>354</v>
      </c>
      <c r="B185" s="143">
        <v>0</v>
      </c>
      <c r="C185" s="129">
        <f t="shared" si="6"/>
        <v>0</v>
      </c>
      <c r="D185" s="129">
        <f t="shared" si="7"/>
        <v>0</v>
      </c>
      <c r="E185" s="129">
        <v>0</v>
      </c>
      <c r="F185" s="129">
        <v>0</v>
      </c>
      <c r="G185" s="129">
        <v>0</v>
      </c>
      <c r="H185" s="129">
        <v>0</v>
      </c>
      <c r="I185" s="129">
        <v>0</v>
      </c>
      <c r="J185" s="129">
        <v>0</v>
      </c>
      <c r="K185" s="129">
        <v>0</v>
      </c>
      <c r="L185" s="129">
        <v>0</v>
      </c>
      <c r="M185" s="129">
        <v>0</v>
      </c>
      <c r="N185" s="129">
        <v>0</v>
      </c>
      <c r="O185" s="129">
        <v>0</v>
      </c>
      <c r="P185" s="129">
        <v>0</v>
      </c>
      <c r="Q185" s="129">
        <v>0</v>
      </c>
      <c r="R185" s="129">
        <v>0</v>
      </c>
      <c r="S185" s="129">
        <v>0</v>
      </c>
      <c r="T185" s="129">
        <v>0</v>
      </c>
      <c r="U185" s="129">
        <v>0</v>
      </c>
      <c r="V185" s="129">
        <v>0</v>
      </c>
      <c r="W185" s="79">
        <v>0</v>
      </c>
      <c r="X185" s="78">
        <v>0</v>
      </c>
      <c r="Y185" s="78">
        <v>0</v>
      </c>
      <c r="Z185" s="78">
        <v>0</v>
      </c>
      <c r="AA185" s="79">
        <v>0</v>
      </c>
      <c r="AB185" s="78">
        <v>0</v>
      </c>
      <c r="AC185" s="79">
        <v>0</v>
      </c>
      <c r="AD185" s="78">
        <v>0</v>
      </c>
      <c r="AF185" s="144"/>
    </row>
    <row r="186" spans="1:32">
      <c r="A186" s="128" t="s">
        <v>355</v>
      </c>
      <c r="B186" s="143">
        <v>0</v>
      </c>
      <c r="C186" s="129">
        <f t="shared" ref="C186:C187" si="8">E186+G186+I186+K186+M186+O186+Q186+S186+U186+W186+Y186+AC186+AA186</f>
        <v>0</v>
      </c>
      <c r="D186" s="129">
        <f t="shared" ref="D186:D187" si="9">F186+H186+J186+L186+N186+P186+R186+T186+V186+X186+Z186+AD186+AB186</f>
        <v>41949.7646573976</v>
      </c>
      <c r="E186" s="129">
        <v>0</v>
      </c>
      <c r="F186" s="129">
        <v>0</v>
      </c>
      <c r="G186" s="129">
        <v>0</v>
      </c>
      <c r="H186" s="129">
        <v>0</v>
      </c>
      <c r="I186" s="129">
        <v>0</v>
      </c>
      <c r="J186" s="129">
        <v>0</v>
      </c>
      <c r="K186" s="129">
        <v>0</v>
      </c>
      <c r="L186" s="129">
        <v>0</v>
      </c>
      <c r="M186" s="129">
        <v>0</v>
      </c>
      <c r="N186" s="129">
        <v>0</v>
      </c>
      <c r="O186" s="129">
        <v>0</v>
      </c>
      <c r="P186" s="129">
        <v>0</v>
      </c>
      <c r="Q186" s="129">
        <v>0</v>
      </c>
      <c r="R186" s="129">
        <v>0</v>
      </c>
      <c r="S186" s="129">
        <v>0</v>
      </c>
      <c r="T186" s="129">
        <v>0</v>
      </c>
      <c r="U186" s="129">
        <v>0</v>
      </c>
      <c r="V186" s="129">
        <v>0</v>
      </c>
      <c r="W186" s="79">
        <v>0</v>
      </c>
      <c r="X186" s="78">
        <v>0</v>
      </c>
      <c r="Y186" s="78">
        <v>0</v>
      </c>
      <c r="Z186" s="78">
        <v>41949.7646573976</v>
      </c>
      <c r="AA186" s="79">
        <v>0</v>
      </c>
      <c r="AB186" s="78">
        <v>0</v>
      </c>
      <c r="AC186" s="79">
        <v>0</v>
      </c>
      <c r="AD186" s="78">
        <v>0</v>
      </c>
      <c r="AF186" s="144"/>
    </row>
    <row r="187" spans="1:32">
      <c r="A187" s="128" t="s">
        <v>356</v>
      </c>
      <c r="B187" s="143">
        <v>24176813.6870159</v>
      </c>
      <c r="C187" s="129">
        <f t="shared" si="8"/>
        <v>4164397.61719867</v>
      </c>
      <c r="D187" s="129">
        <f t="shared" si="9"/>
        <v>3596644.42229206</v>
      </c>
      <c r="E187" s="129">
        <v>0</v>
      </c>
      <c r="F187" s="129">
        <v>0</v>
      </c>
      <c r="G187" s="129">
        <v>595557.212942421</v>
      </c>
      <c r="H187" s="129">
        <v>532176.083972421</v>
      </c>
      <c r="I187" s="129">
        <v>346178.854588955</v>
      </c>
      <c r="J187" s="129">
        <v>423872.888800308</v>
      </c>
      <c r="K187" s="129">
        <v>357610.056829577</v>
      </c>
      <c r="L187" s="129">
        <v>293244.387469409</v>
      </c>
      <c r="M187" s="129">
        <v>989627.007720439</v>
      </c>
      <c r="N187" s="129">
        <v>982634.306975713</v>
      </c>
      <c r="O187" s="129">
        <v>0</v>
      </c>
      <c r="P187" s="129">
        <v>45218.6108514879</v>
      </c>
      <c r="Q187" s="129">
        <v>372169.699021781</v>
      </c>
      <c r="R187" s="129">
        <v>240790.5659413</v>
      </c>
      <c r="S187" s="129">
        <v>78320.2420613006</v>
      </c>
      <c r="T187" s="129">
        <v>52728.7486478712</v>
      </c>
      <c r="U187" s="129">
        <v>559807.977706022</v>
      </c>
      <c r="V187" s="129">
        <v>458513.059387535</v>
      </c>
      <c r="W187" s="79">
        <v>0</v>
      </c>
      <c r="X187" s="78">
        <v>0</v>
      </c>
      <c r="Y187" s="78">
        <v>97753.5809657026</v>
      </c>
      <c r="Z187" s="78">
        <v>183031.375407301</v>
      </c>
      <c r="AA187" s="79">
        <v>0</v>
      </c>
      <c r="AB187" s="78">
        <v>0</v>
      </c>
      <c r="AC187" s="79">
        <v>767372.985362473</v>
      </c>
      <c r="AD187" s="78">
        <v>384434.394838718</v>
      </c>
      <c r="AF187" s="144"/>
    </row>
    <row r="188" spans="1:32">
      <c r="A188" s="128" t="s">
        <v>357</v>
      </c>
      <c r="B188" s="143">
        <v>0</v>
      </c>
      <c r="C188" s="129">
        <f t="shared" ref="C188" si="10">E188+G188+I188+K188+M188+O188+Q188+S188+U188+W188+Y188+AC188+AA188</f>
        <v>0</v>
      </c>
      <c r="D188" s="129">
        <f t="shared" ref="D188" si="11">F188+H188+J188+L188+N188+P188+R188+T188+V188+X188+Z188+AD188+AB188</f>
        <v>0</v>
      </c>
      <c r="E188" s="129">
        <v>0</v>
      </c>
      <c r="F188" s="129">
        <v>0</v>
      </c>
      <c r="G188" s="129">
        <v>0</v>
      </c>
      <c r="H188" s="129">
        <v>0</v>
      </c>
      <c r="I188" s="129">
        <v>0</v>
      </c>
      <c r="J188" s="129">
        <v>0</v>
      </c>
      <c r="K188" s="129">
        <v>0</v>
      </c>
      <c r="L188" s="129">
        <v>0</v>
      </c>
      <c r="M188" s="129">
        <v>0</v>
      </c>
      <c r="N188" s="129">
        <v>0</v>
      </c>
      <c r="O188" s="129">
        <v>0</v>
      </c>
      <c r="P188" s="129">
        <v>0</v>
      </c>
      <c r="Q188" s="129">
        <v>0</v>
      </c>
      <c r="R188" s="129">
        <v>0</v>
      </c>
      <c r="S188" s="129">
        <v>0</v>
      </c>
      <c r="T188" s="129">
        <v>0</v>
      </c>
      <c r="U188" s="129">
        <v>0</v>
      </c>
      <c r="V188" s="129">
        <v>0</v>
      </c>
      <c r="W188" s="79">
        <v>0</v>
      </c>
      <c r="X188" s="78">
        <v>0</v>
      </c>
      <c r="Y188" s="78">
        <v>0</v>
      </c>
      <c r="Z188" s="78">
        <v>0</v>
      </c>
      <c r="AA188" s="79">
        <v>0</v>
      </c>
      <c r="AB188" s="78">
        <v>0</v>
      </c>
      <c r="AC188" s="79">
        <v>0</v>
      </c>
      <c r="AD188" s="78">
        <v>0</v>
      </c>
      <c r="AF188" s="144"/>
    </row>
    <row r="189" spans="1:32">
      <c r="A189" s="128" t="s">
        <v>358</v>
      </c>
      <c r="B189" s="143">
        <v>0</v>
      </c>
      <c r="C189" s="129">
        <f t="shared" ref="C189" si="12">E189+G189+I189+K189+M189+O189+Q189+S189+U189+W189+Y189+AC189+AA189</f>
        <v>0</v>
      </c>
      <c r="D189" s="129">
        <f t="shared" ref="D189" si="13">F189+H189+J189+L189+N189+P189+R189+T189+V189+X189+Z189+AD189+AB189</f>
        <v>0</v>
      </c>
      <c r="E189" s="129">
        <v>0</v>
      </c>
      <c r="F189" s="129">
        <v>0</v>
      </c>
      <c r="G189" s="129">
        <v>0</v>
      </c>
      <c r="H189" s="129">
        <v>0</v>
      </c>
      <c r="I189" s="129">
        <v>0</v>
      </c>
      <c r="J189" s="129">
        <v>0</v>
      </c>
      <c r="K189" s="129">
        <v>0</v>
      </c>
      <c r="L189" s="129">
        <v>0</v>
      </c>
      <c r="M189" s="129">
        <v>0</v>
      </c>
      <c r="N189" s="129">
        <v>0</v>
      </c>
      <c r="O189" s="129">
        <v>0</v>
      </c>
      <c r="P189" s="129">
        <v>0</v>
      </c>
      <c r="Q189" s="129">
        <v>0</v>
      </c>
      <c r="R189" s="129">
        <v>0</v>
      </c>
      <c r="S189" s="129">
        <v>0</v>
      </c>
      <c r="T189" s="129">
        <v>0</v>
      </c>
      <c r="U189" s="129">
        <v>0</v>
      </c>
      <c r="V189" s="129">
        <v>0</v>
      </c>
      <c r="W189" s="79">
        <v>0</v>
      </c>
      <c r="X189" s="78">
        <v>0</v>
      </c>
      <c r="Y189" s="78">
        <v>0</v>
      </c>
      <c r="Z189" s="78">
        <v>0</v>
      </c>
      <c r="AA189" s="79">
        <v>0</v>
      </c>
      <c r="AB189" s="78">
        <v>0</v>
      </c>
      <c r="AC189" s="79">
        <v>0</v>
      </c>
      <c r="AD189" s="78">
        <v>0</v>
      </c>
      <c r="AF189" s="144"/>
    </row>
    <row r="190" spans="1:32">
      <c r="A190" s="128" t="s">
        <v>359</v>
      </c>
      <c r="B190" s="143">
        <v>0</v>
      </c>
      <c r="C190" s="129">
        <f t="shared" ref="C190:C191" si="14">E190+G190+I190+K190+M190+O190+Q190+S190+U190+W190+Y190+AC190+AA190</f>
        <v>0</v>
      </c>
      <c r="D190" s="129">
        <f t="shared" ref="D190:D191" si="15">F190+H190+J190+L190+N190+P190+R190+T190+V190+X190+Z190+AD190+AB190</f>
        <v>0</v>
      </c>
      <c r="E190" s="129">
        <v>0</v>
      </c>
      <c r="F190" s="129">
        <v>0</v>
      </c>
      <c r="G190" s="129">
        <v>0</v>
      </c>
      <c r="H190" s="129">
        <v>0</v>
      </c>
      <c r="I190" s="129">
        <v>0</v>
      </c>
      <c r="J190" s="129">
        <v>0</v>
      </c>
      <c r="K190" s="129">
        <v>0</v>
      </c>
      <c r="L190" s="129">
        <v>0</v>
      </c>
      <c r="M190" s="129">
        <v>0</v>
      </c>
      <c r="N190" s="129">
        <v>0</v>
      </c>
      <c r="O190" s="129">
        <v>0</v>
      </c>
      <c r="P190" s="129">
        <v>0</v>
      </c>
      <c r="Q190" s="129">
        <v>0</v>
      </c>
      <c r="R190" s="129">
        <v>0</v>
      </c>
      <c r="S190" s="129">
        <v>0</v>
      </c>
      <c r="T190" s="129">
        <v>0</v>
      </c>
      <c r="U190" s="129">
        <v>0</v>
      </c>
      <c r="V190" s="129">
        <v>0</v>
      </c>
      <c r="W190" s="79">
        <v>0</v>
      </c>
      <c r="X190" s="78">
        <v>0</v>
      </c>
      <c r="Y190" s="78">
        <v>0</v>
      </c>
      <c r="Z190" s="78">
        <v>0</v>
      </c>
      <c r="AA190" s="79">
        <v>0</v>
      </c>
      <c r="AB190" s="78">
        <v>0</v>
      </c>
      <c r="AC190" s="79">
        <v>0</v>
      </c>
      <c r="AD190" s="78">
        <v>0</v>
      </c>
      <c r="AF190" s="144"/>
    </row>
    <row r="191" spans="1:32">
      <c r="A191" s="128" t="s">
        <v>360</v>
      </c>
      <c r="B191" s="143">
        <v>0</v>
      </c>
      <c r="C191" s="129">
        <f t="shared" si="14"/>
        <v>0</v>
      </c>
      <c r="D191" s="129">
        <f t="shared" si="15"/>
        <v>0</v>
      </c>
      <c r="E191" s="129">
        <v>0</v>
      </c>
      <c r="F191" s="129">
        <v>0</v>
      </c>
      <c r="G191" s="129">
        <v>0</v>
      </c>
      <c r="H191" s="129">
        <v>0</v>
      </c>
      <c r="I191" s="129">
        <v>0</v>
      </c>
      <c r="J191" s="129">
        <v>0</v>
      </c>
      <c r="K191" s="129">
        <v>0</v>
      </c>
      <c r="L191" s="129">
        <v>0</v>
      </c>
      <c r="M191" s="129">
        <v>0</v>
      </c>
      <c r="N191" s="129">
        <v>0</v>
      </c>
      <c r="O191" s="129">
        <v>0</v>
      </c>
      <c r="P191" s="129">
        <v>0</v>
      </c>
      <c r="Q191" s="129">
        <v>0</v>
      </c>
      <c r="R191" s="129">
        <v>0</v>
      </c>
      <c r="S191" s="129">
        <v>0</v>
      </c>
      <c r="T191" s="129">
        <v>0</v>
      </c>
      <c r="U191" s="129">
        <v>0</v>
      </c>
      <c r="V191" s="129">
        <v>0</v>
      </c>
      <c r="W191" s="79">
        <v>0</v>
      </c>
      <c r="X191" s="78">
        <v>0</v>
      </c>
      <c r="Y191" s="78">
        <v>0</v>
      </c>
      <c r="Z191" s="78">
        <v>0</v>
      </c>
      <c r="AA191" s="79">
        <v>0</v>
      </c>
      <c r="AB191" s="78">
        <v>0</v>
      </c>
      <c r="AC191" s="79">
        <v>0</v>
      </c>
      <c r="AD191" s="78">
        <v>0</v>
      </c>
      <c r="AF191" s="144"/>
    </row>
    <row r="192" spans="1:32">
      <c r="A192" s="128" t="s">
        <v>361</v>
      </c>
      <c r="B192" s="143"/>
      <c r="C192" s="129">
        <f t="shared" ref="C192:C194" si="16">E192+G192+I192+K192+M192+O192+Q192+S192+U192+W192+Y192+AC192+AA192</f>
        <v>0</v>
      </c>
      <c r="D192" s="129">
        <f t="shared" ref="D192:D194" si="17">F192+H192+J192+L192+N192+P192+R192+T192+V192+X192+Z192+AD192+AB192</f>
        <v>0</v>
      </c>
      <c r="E192" s="129">
        <v>0</v>
      </c>
      <c r="F192" s="129">
        <v>0</v>
      </c>
      <c r="G192" s="129">
        <v>0</v>
      </c>
      <c r="H192" s="129">
        <v>0</v>
      </c>
      <c r="I192" s="129">
        <v>0</v>
      </c>
      <c r="J192" s="129">
        <v>0</v>
      </c>
      <c r="K192" s="129">
        <v>0</v>
      </c>
      <c r="L192" s="129">
        <v>0</v>
      </c>
      <c r="M192" s="129">
        <v>0</v>
      </c>
      <c r="N192" s="129">
        <v>0</v>
      </c>
      <c r="O192" s="129">
        <v>0</v>
      </c>
      <c r="P192" s="129">
        <v>0</v>
      </c>
      <c r="Q192" s="129">
        <v>0</v>
      </c>
      <c r="R192" s="129">
        <v>0</v>
      </c>
      <c r="S192" s="129">
        <v>0</v>
      </c>
      <c r="T192" s="129">
        <v>0</v>
      </c>
      <c r="U192" s="129">
        <v>0</v>
      </c>
      <c r="V192" s="129">
        <v>0</v>
      </c>
      <c r="W192" s="79">
        <v>0</v>
      </c>
      <c r="X192" s="78">
        <v>0</v>
      </c>
      <c r="Y192" s="78">
        <v>0</v>
      </c>
      <c r="Z192" s="78">
        <v>0</v>
      </c>
      <c r="AA192" s="79">
        <v>0</v>
      </c>
      <c r="AB192" s="78">
        <v>0</v>
      </c>
      <c r="AC192" s="79">
        <v>0</v>
      </c>
      <c r="AD192" s="78">
        <v>0</v>
      </c>
      <c r="AF192" s="144"/>
    </row>
    <row r="193" spans="1:32">
      <c r="A193" s="128" t="s">
        <v>362</v>
      </c>
      <c r="B193" s="143"/>
      <c r="C193" s="129">
        <f t="shared" si="16"/>
        <v>0</v>
      </c>
      <c r="D193" s="129">
        <f t="shared" si="17"/>
        <v>0</v>
      </c>
      <c r="E193" s="129">
        <v>0</v>
      </c>
      <c r="F193" s="129">
        <v>0</v>
      </c>
      <c r="G193" s="129">
        <v>0</v>
      </c>
      <c r="H193" s="129">
        <v>0</v>
      </c>
      <c r="I193" s="129">
        <v>0</v>
      </c>
      <c r="J193" s="129">
        <v>0</v>
      </c>
      <c r="K193" s="129">
        <v>0</v>
      </c>
      <c r="L193" s="129">
        <v>0</v>
      </c>
      <c r="M193" s="129">
        <v>0</v>
      </c>
      <c r="N193" s="129">
        <v>0</v>
      </c>
      <c r="O193" s="129">
        <v>0</v>
      </c>
      <c r="P193" s="129">
        <v>0</v>
      </c>
      <c r="Q193" s="129">
        <v>0</v>
      </c>
      <c r="R193" s="129">
        <v>0</v>
      </c>
      <c r="S193" s="129">
        <v>0</v>
      </c>
      <c r="T193" s="129">
        <v>0</v>
      </c>
      <c r="U193" s="129">
        <v>0</v>
      </c>
      <c r="V193" s="129">
        <v>0</v>
      </c>
      <c r="W193" s="79">
        <v>0</v>
      </c>
      <c r="X193" s="78">
        <v>0</v>
      </c>
      <c r="Y193" s="78">
        <v>0</v>
      </c>
      <c r="Z193" s="78">
        <v>0</v>
      </c>
      <c r="AA193" s="79">
        <v>0</v>
      </c>
      <c r="AB193" s="78">
        <v>0</v>
      </c>
      <c r="AC193" s="79">
        <v>0</v>
      </c>
      <c r="AD193" s="78">
        <v>0</v>
      </c>
      <c r="AF193" s="144"/>
    </row>
    <row r="194" spans="1:32">
      <c r="A194" s="128" t="s">
        <v>363</v>
      </c>
      <c r="B194" s="143"/>
      <c r="C194" s="129">
        <f t="shared" si="16"/>
        <v>0</v>
      </c>
      <c r="D194" s="129">
        <f t="shared" si="17"/>
        <v>0</v>
      </c>
      <c r="E194" s="129">
        <v>0</v>
      </c>
      <c r="F194" s="129">
        <v>0</v>
      </c>
      <c r="G194" s="129">
        <v>0</v>
      </c>
      <c r="H194" s="129">
        <v>0</v>
      </c>
      <c r="I194" s="129">
        <v>0</v>
      </c>
      <c r="J194" s="129">
        <v>0</v>
      </c>
      <c r="K194" s="129">
        <v>0</v>
      </c>
      <c r="L194" s="129">
        <v>0</v>
      </c>
      <c r="M194" s="129">
        <v>0</v>
      </c>
      <c r="N194" s="129">
        <v>0</v>
      </c>
      <c r="O194" s="129">
        <v>0</v>
      </c>
      <c r="P194" s="129">
        <v>0</v>
      </c>
      <c r="Q194" s="129">
        <v>0</v>
      </c>
      <c r="R194" s="129">
        <v>0</v>
      </c>
      <c r="S194" s="129">
        <v>0</v>
      </c>
      <c r="T194" s="129">
        <v>0</v>
      </c>
      <c r="U194" s="129">
        <v>0</v>
      </c>
      <c r="V194" s="129">
        <v>0</v>
      </c>
      <c r="W194" s="79">
        <v>0</v>
      </c>
      <c r="X194" s="78">
        <v>0</v>
      </c>
      <c r="Y194" s="78">
        <v>0</v>
      </c>
      <c r="Z194" s="78">
        <v>0</v>
      </c>
      <c r="AA194" s="79">
        <v>0</v>
      </c>
      <c r="AB194" s="78">
        <v>0</v>
      </c>
      <c r="AC194" s="79">
        <v>0</v>
      </c>
      <c r="AD194" s="78">
        <v>0</v>
      </c>
      <c r="AF194" s="144"/>
    </row>
    <row r="195" spans="1:32">
      <c r="A195" s="128" t="s">
        <v>364</v>
      </c>
      <c r="B195" s="143"/>
      <c r="C195" s="129">
        <f t="shared" ref="C195:C203" si="18">E195+G195+I195+K195+M195+O195+Q195+S195+U195+W195+Y195+AC195+AA195</f>
        <v>0</v>
      </c>
      <c r="D195" s="129">
        <f t="shared" ref="D195:D203" si="19">F195+H195+J195+L195+N195+P195+R195+T195+V195+X195+Z195+AD195+AB195</f>
        <v>0</v>
      </c>
      <c r="E195" s="129">
        <v>0</v>
      </c>
      <c r="F195" s="129">
        <v>0</v>
      </c>
      <c r="G195" s="129">
        <v>0</v>
      </c>
      <c r="H195" s="129">
        <v>0</v>
      </c>
      <c r="I195" s="129">
        <v>0</v>
      </c>
      <c r="J195" s="129">
        <v>0</v>
      </c>
      <c r="K195" s="129">
        <v>0</v>
      </c>
      <c r="L195" s="129">
        <v>0</v>
      </c>
      <c r="M195" s="129">
        <v>0</v>
      </c>
      <c r="N195" s="129">
        <v>0</v>
      </c>
      <c r="O195" s="129">
        <v>0</v>
      </c>
      <c r="P195" s="129">
        <v>0</v>
      </c>
      <c r="Q195" s="129">
        <v>0</v>
      </c>
      <c r="R195" s="129">
        <v>0</v>
      </c>
      <c r="S195" s="129">
        <v>0</v>
      </c>
      <c r="T195" s="129">
        <v>0</v>
      </c>
      <c r="U195" s="129">
        <v>0</v>
      </c>
      <c r="V195" s="129">
        <v>0</v>
      </c>
      <c r="W195" s="79">
        <v>0</v>
      </c>
      <c r="X195" s="78">
        <v>0</v>
      </c>
      <c r="Y195" s="78">
        <v>0</v>
      </c>
      <c r="Z195" s="78">
        <v>0</v>
      </c>
      <c r="AA195" s="79">
        <v>0</v>
      </c>
      <c r="AB195" s="78">
        <v>0</v>
      </c>
      <c r="AC195" s="79">
        <v>0</v>
      </c>
      <c r="AD195" s="78">
        <v>0</v>
      </c>
      <c r="AF195" s="144"/>
    </row>
    <row r="196" spans="1:32">
      <c r="A196" s="128" t="s">
        <v>365</v>
      </c>
      <c r="B196" s="143"/>
      <c r="C196" s="129">
        <f t="shared" si="18"/>
        <v>0</v>
      </c>
      <c r="D196" s="129">
        <f t="shared" si="19"/>
        <v>0</v>
      </c>
      <c r="E196" s="129">
        <v>0</v>
      </c>
      <c r="F196" s="129">
        <v>0</v>
      </c>
      <c r="G196" s="129">
        <v>0</v>
      </c>
      <c r="H196" s="129">
        <v>0</v>
      </c>
      <c r="I196" s="129">
        <v>0</v>
      </c>
      <c r="J196" s="129">
        <v>0</v>
      </c>
      <c r="K196" s="129">
        <v>0</v>
      </c>
      <c r="L196" s="129">
        <v>0</v>
      </c>
      <c r="M196" s="129">
        <v>0</v>
      </c>
      <c r="N196" s="129">
        <v>0</v>
      </c>
      <c r="O196" s="129">
        <v>0</v>
      </c>
      <c r="P196" s="129">
        <v>0</v>
      </c>
      <c r="Q196" s="129">
        <v>0</v>
      </c>
      <c r="R196" s="129">
        <v>0</v>
      </c>
      <c r="S196" s="129">
        <v>0</v>
      </c>
      <c r="T196" s="129">
        <v>0</v>
      </c>
      <c r="U196" s="129">
        <v>0</v>
      </c>
      <c r="V196" s="129">
        <v>0</v>
      </c>
      <c r="W196" s="79">
        <v>0</v>
      </c>
      <c r="X196" s="78">
        <v>0</v>
      </c>
      <c r="Y196" s="78">
        <v>0</v>
      </c>
      <c r="Z196" s="78">
        <v>0</v>
      </c>
      <c r="AA196" s="79">
        <v>0</v>
      </c>
      <c r="AB196" s="78">
        <v>0</v>
      </c>
      <c r="AC196" s="79">
        <v>0</v>
      </c>
      <c r="AD196" s="78">
        <v>0</v>
      </c>
      <c r="AF196" s="144"/>
    </row>
    <row r="197" spans="1:32">
      <c r="A197" s="128" t="s">
        <v>366</v>
      </c>
      <c r="B197" s="143"/>
      <c r="C197" s="129">
        <f t="shared" si="18"/>
        <v>0</v>
      </c>
      <c r="D197" s="129">
        <f t="shared" si="19"/>
        <v>0</v>
      </c>
      <c r="E197" s="129">
        <v>0</v>
      </c>
      <c r="F197" s="129">
        <v>0</v>
      </c>
      <c r="G197" s="129">
        <v>0</v>
      </c>
      <c r="H197" s="129">
        <v>0</v>
      </c>
      <c r="I197" s="129">
        <v>0</v>
      </c>
      <c r="J197" s="129">
        <v>0</v>
      </c>
      <c r="K197" s="129">
        <v>0</v>
      </c>
      <c r="L197" s="129">
        <v>0</v>
      </c>
      <c r="M197" s="129">
        <v>0</v>
      </c>
      <c r="N197" s="129">
        <v>0</v>
      </c>
      <c r="O197" s="129">
        <v>0</v>
      </c>
      <c r="P197" s="129">
        <v>0</v>
      </c>
      <c r="Q197" s="129">
        <v>0</v>
      </c>
      <c r="R197" s="129">
        <v>0</v>
      </c>
      <c r="S197" s="129">
        <v>0</v>
      </c>
      <c r="T197" s="129">
        <v>0</v>
      </c>
      <c r="U197" s="129">
        <v>0</v>
      </c>
      <c r="V197" s="129">
        <v>0</v>
      </c>
      <c r="W197" s="79">
        <v>0</v>
      </c>
      <c r="X197" s="78">
        <v>0</v>
      </c>
      <c r="Y197" s="78">
        <v>0</v>
      </c>
      <c r="Z197" s="78">
        <v>0</v>
      </c>
      <c r="AA197" s="79">
        <v>0</v>
      </c>
      <c r="AB197" s="78">
        <v>0</v>
      </c>
      <c r="AC197" s="79">
        <v>0</v>
      </c>
      <c r="AD197" s="78">
        <v>0</v>
      </c>
      <c r="AF197" s="144"/>
    </row>
    <row r="198" spans="1:32">
      <c r="A198" s="128" t="s">
        <v>367</v>
      </c>
      <c r="B198" s="143"/>
      <c r="C198" s="129">
        <f t="shared" si="18"/>
        <v>0</v>
      </c>
      <c r="D198" s="129">
        <f t="shared" si="19"/>
        <v>0</v>
      </c>
      <c r="E198" s="129">
        <v>0</v>
      </c>
      <c r="F198" s="129">
        <v>0</v>
      </c>
      <c r="G198" s="129">
        <v>0</v>
      </c>
      <c r="H198" s="129">
        <v>0</v>
      </c>
      <c r="I198" s="129">
        <v>0</v>
      </c>
      <c r="J198" s="129">
        <v>0</v>
      </c>
      <c r="K198" s="129">
        <v>0</v>
      </c>
      <c r="L198" s="129">
        <v>0</v>
      </c>
      <c r="M198" s="129">
        <v>0</v>
      </c>
      <c r="N198" s="129">
        <v>0</v>
      </c>
      <c r="O198" s="129">
        <v>0</v>
      </c>
      <c r="P198" s="129">
        <v>0</v>
      </c>
      <c r="Q198" s="129">
        <v>0</v>
      </c>
      <c r="R198" s="129">
        <v>0</v>
      </c>
      <c r="S198" s="129">
        <v>0</v>
      </c>
      <c r="T198" s="129">
        <v>0</v>
      </c>
      <c r="U198" s="129">
        <v>0</v>
      </c>
      <c r="V198" s="129">
        <v>0</v>
      </c>
      <c r="W198" s="79">
        <v>0</v>
      </c>
      <c r="X198" s="78">
        <v>0</v>
      </c>
      <c r="Y198" s="78">
        <v>0</v>
      </c>
      <c r="Z198" s="78">
        <v>0</v>
      </c>
      <c r="AA198" s="79">
        <v>0</v>
      </c>
      <c r="AB198" s="78">
        <v>0</v>
      </c>
      <c r="AC198" s="79">
        <v>0</v>
      </c>
      <c r="AD198" s="78">
        <v>0</v>
      </c>
      <c r="AF198" s="144"/>
    </row>
    <row r="199" spans="1:32">
      <c r="A199" s="128" t="s">
        <v>368</v>
      </c>
      <c r="B199" s="143"/>
      <c r="C199" s="129">
        <f t="shared" si="18"/>
        <v>0</v>
      </c>
      <c r="D199" s="129">
        <f t="shared" si="19"/>
        <v>0</v>
      </c>
      <c r="E199" s="129">
        <v>0</v>
      </c>
      <c r="F199" s="129">
        <v>0</v>
      </c>
      <c r="G199" s="129">
        <v>0</v>
      </c>
      <c r="H199" s="129">
        <v>0</v>
      </c>
      <c r="I199" s="129">
        <v>0</v>
      </c>
      <c r="J199" s="129">
        <v>0</v>
      </c>
      <c r="K199" s="129">
        <v>0</v>
      </c>
      <c r="L199" s="129">
        <v>0</v>
      </c>
      <c r="M199" s="129">
        <v>0</v>
      </c>
      <c r="N199" s="129">
        <v>0</v>
      </c>
      <c r="O199" s="129">
        <v>0</v>
      </c>
      <c r="P199" s="129">
        <v>0</v>
      </c>
      <c r="Q199" s="129">
        <v>0</v>
      </c>
      <c r="R199" s="129">
        <v>0</v>
      </c>
      <c r="S199" s="129">
        <v>0</v>
      </c>
      <c r="T199" s="129">
        <v>0</v>
      </c>
      <c r="U199" s="129">
        <v>0</v>
      </c>
      <c r="V199" s="129">
        <v>0</v>
      </c>
      <c r="W199" s="79">
        <v>0</v>
      </c>
      <c r="X199" s="78">
        <v>0</v>
      </c>
      <c r="Y199" s="78">
        <v>0</v>
      </c>
      <c r="Z199" s="78">
        <v>0</v>
      </c>
      <c r="AA199" s="79">
        <v>0</v>
      </c>
      <c r="AB199" s="78">
        <v>0</v>
      </c>
      <c r="AC199" s="79">
        <v>0</v>
      </c>
      <c r="AD199" s="78">
        <v>0</v>
      </c>
      <c r="AF199" s="144"/>
    </row>
    <row r="200" spans="1:32">
      <c r="A200" s="128" t="s">
        <v>369</v>
      </c>
      <c r="B200" s="143"/>
      <c r="C200" s="129">
        <f t="shared" ref="C200:C202" si="20">E200+G200+I200+K200+M200+O200+Q200+S200+U200+W200+Y200+AC200+AA200</f>
        <v>0</v>
      </c>
      <c r="D200" s="129">
        <f t="shared" ref="D200:D202" si="21">F200+H200+J200+L200+N200+P200+R200+T200+V200+X200+Z200+AD200+AB200</f>
        <v>0</v>
      </c>
      <c r="E200" s="129">
        <v>0</v>
      </c>
      <c r="F200" s="129">
        <v>0</v>
      </c>
      <c r="G200" s="129">
        <v>0</v>
      </c>
      <c r="H200" s="129">
        <v>0</v>
      </c>
      <c r="I200" s="129">
        <v>0</v>
      </c>
      <c r="J200" s="129">
        <v>0</v>
      </c>
      <c r="K200" s="129">
        <v>0</v>
      </c>
      <c r="L200" s="129">
        <v>0</v>
      </c>
      <c r="M200" s="129">
        <v>0</v>
      </c>
      <c r="N200" s="129">
        <v>0</v>
      </c>
      <c r="O200" s="129">
        <v>0</v>
      </c>
      <c r="P200" s="129">
        <v>0</v>
      </c>
      <c r="Q200" s="129">
        <v>0</v>
      </c>
      <c r="R200" s="129">
        <v>0</v>
      </c>
      <c r="S200" s="129">
        <v>0</v>
      </c>
      <c r="T200" s="129">
        <v>0</v>
      </c>
      <c r="U200" s="129">
        <v>0</v>
      </c>
      <c r="V200" s="129">
        <v>0</v>
      </c>
      <c r="W200" s="79">
        <v>0</v>
      </c>
      <c r="X200" s="78">
        <v>0</v>
      </c>
      <c r="Y200" s="78">
        <v>0</v>
      </c>
      <c r="Z200" s="78">
        <v>0</v>
      </c>
      <c r="AA200" s="79">
        <v>0</v>
      </c>
      <c r="AB200" s="78">
        <v>0</v>
      </c>
      <c r="AC200" s="79">
        <v>0</v>
      </c>
      <c r="AD200" s="78">
        <v>0</v>
      </c>
      <c r="AF200" s="144"/>
    </row>
    <row r="201" spans="1:32">
      <c r="A201" s="128" t="s">
        <v>370</v>
      </c>
      <c r="B201" s="143"/>
      <c r="C201" s="129">
        <f t="shared" si="20"/>
        <v>0</v>
      </c>
      <c r="D201" s="129">
        <f t="shared" si="21"/>
        <v>0</v>
      </c>
      <c r="E201" s="129">
        <v>0</v>
      </c>
      <c r="F201" s="129">
        <v>0</v>
      </c>
      <c r="G201" s="129">
        <v>0</v>
      </c>
      <c r="H201" s="129">
        <v>0</v>
      </c>
      <c r="I201" s="129">
        <v>0</v>
      </c>
      <c r="J201" s="129">
        <v>0</v>
      </c>
      <c r="K201" s="129">
        <v>0</v>
      </c>
      <c r="L201" s="129">
        <v>0</v>
      </c>
      <c r="M201" s="129">
        <v>0</v>
      </c>
      <c r="N201" s="129">
        <v>0</v>
      </c>
      <c r="O201" s="129">
        <v>0</v>
      </c>
      <c r="P201" s="129">
        <v>0</v>
      </c>
      <c r="Q201" s="129">
        <v>0</v>
      </c>
      <c r="R201" s="129">
        <v>0</v>
      </c>
      <c r="S201" s="129">
        <v>0</v>
      </c>
      <c r="T201" s="129">
        <v>0</v>
      </c>
      <c r="U201" s="129">
        <v>0</v>
      </c>
      <c r="V201" s="129">
        <v>0</v>
      </c>
      <c r="W201" s="79">
        <v>0</v>
      </c>
      <c r="X201" s="78">
        <v>0</v>
      </c>
      <c r="Y201" s="78">
        <v>0</v>
      </c>
      <c r="Z201" s="78">
        <v>0</v>
      </c>
      <c r="AA201" s="79">
        <v>0</v>
      </c>
      <c r="AB201" s="78">
        <v>0</v>
      </c>
      <c r="AC201" s="79">
        <v>0</v>
      </c>
      <c r="AD201" s="78">
        <v>0</v>
      </c>
      <c r="AF201" s="144"/>
    </row>
    <row r="202" spans="1:32">
      <c r="A202" s="128" t="s">
        <v>371</v>
      </c>
      <c r="B202" s="143"/>
      <c r="C202" s="129">
        <f t="shared" si="20"/>
        <v>0</v>
      </c>
      <c r="D202" s="129">
        <f t="shared" si="21"/>
        <v>0</v>
      </c>
      <c r="E202" s="129">
        <v>0</v>
      </c>
      <c r="F202" s="129">
        <v>0</v>
      </c>
      <c r="G202" s="129">
        <v>0</v>
      </c>
      <c r="H202" s="129">
        <v>0</v>
      </c>
      <c r="I202" s="129">
        <v>0</v>
      </c>
      <c r="J202" s="129">
        <v>0</v>
      </c>
      <c r="K202" s="129">
        <v>0</v>
      </c>
      <c r="L202" s="129">
        <v>0</v>
      </c>
      <c r="M202" s="129">
        <v>0</v>
      </c>
      <c r="N202" s="129">
        <v>0</v>
      </c>
      <c r="O202" s="129">
        <v>0</v>
      </c>
      <c r="P202" s="129">
        <v>0</v>
      </c>
      <c r="Q202" s="129">
        <v>0</v>
      </c>
      <c r="R202" s="129">
        <v>0</v>
      </c>
      <c r="S202" s="129">
        <v>0</v>
      </c>
      <c r="T202" s="129">
        <v>0</v>
      </c>
      <c r="U202" s="129">
        <v>0</v>
      </c>
      <c r="V202" s="129">
        <v>0</v>
      </c>
      <c r="W202" s="79">
        <v>0</v>
      </c>
      <c r="X202" s="78">
        <v>0</v>
      </c>
      <c r="Y202" s="78">
        <v>0</v>
      </c>
      <c r="Z202" s="78">
        <v>0</v>
      </c>
      <c r="AA202" s="79">
        <v>0</v>
      </c>
      <c r="AB202" s="78">
        <v>0</v>
      </c>
      <c r="AC202" s="79">
        <v>0</v>
      </c>
      <c r="AD202" s="78">
        <v>0</v>
      </c>
      <c r="AF202" s="144"/>
    </row>
    <row r="203" spans="1:32">
      <c r="A203" s="128" t="s">
        <v>372</v>
      </c>
      <c r="B203" s="143"/>
      <c r="C203" s="129">
        <f t="shared" si="18"/>
        <v>0</v>
      </c>
      <c r="D203" s="129">
        <f t="shared" si="19"/>
        <v>0</v>
      </c>
      <c r="E203" s="129">
        <v>0</v>
      </c>
      <c r="F203" s="129">
        <v>0</v>
      </c>
      <c r="G203" s="129">
        <v>0</v>
      </c>
      <c r="H203" s="129">
        <v>0</v>
      </c>
      <c r="I203" s="129">
        <v>0</v>
      </c>
      <c r="J203" s="129">
        <v>0</v>
      </c>
      <c r="K203" s="129">
        <v>0</v>
      </c>
      <c r="L203" s="129">
        <v>0</v>
      </c>
      <c r="M203" s="129">
        <v>0</v>
      </c>
      <c r="N203" s="129">
        <v>0</v>
      </c>
      <c r="O203" s="129">
        <v>0</v>
      </c>
      <c r="P203" s="129">
        <v>0</v>
      </c>
      <c r="Q203" s="129">
        <v>0</v>
      </c>
      <c r="R203" s="129">
        <v>0</v>
      </c>
      <c r="S203" s="129">
        <v>0</v>
      </c>
      <c r="T203" s="129">
        <v>0</v>
      </c>
      <c r="U203" s="129">
        <v>0</v>
      </c>
      <c r="V203" s="129">
        <v>0</v>
      </c>
      <c r="W203" s="79">
        <v>0</v>
      </c>
      <c r="X203" s="78">
        <v>0</v>
      </c>
      <c r="Y203" s="78">
        <v>0</v>
      </c>
      <c r="Z203" s="78">
        <v>0</v>
      </c>
      <c r="AA203" s="79">
        <v>0</v>
      </c>
      <c r="AB203" s="78">
        <v>0</v>
      </c>
      <c r="AC203" s="79">
        <v>0</v>
      </c>
      <c r="AD203" s="78">
        <v>0</v>
      </c>
      <c r="AF203" s="144"/>
    </row>
    <row r="204" spans="1:32">
      <c r="A204" s="128" t="s">
        <v>373</v>
      </c>
      <c r="B204" s="143"/>
      <c r="C204" s="129">
        <f t="shared" ref="C204:C206" si="22">E204+G204+I204+K204+M204+O204+Q204+S204+U204+W204+Y204+AC204+AA204</f>
        <v>0</v>
      </c>
      <c r="D204" s="129">
        <f t="shared" ref="D204:D206" si="23">F204+H204+J204+L204+N204+P204+R204+T204+V204+X204+Z204+AD204+AB204</f>
        <v>0</v>
      </c>
      <c r="E204" s="129">
        <v>0</v>
      </c>
      <c r="F204" s="129">
        <v>0</v>
      </c>
      <c r="G204" s="129">
        <v>0</v>
      </c>
      <c r="H204" s="129">
        <v>0</v>
      </c>
      <c r="I204" s="129">
        <v>0</v>
      </c>
      <c r="J204" s="129">
        <v>0</v>
      </c>
      <c r="K204" s="129">
        <v>0</v>
      </c>
      <c r="L204" s="129">
        <v>0</v>
      </c>
      <c r="M204" s="129">
        <v>0</v>
      </c>
      <c r="N204" s="129">
        <v>0</v>
      </c>
      <c r="O204" s="129">
        <v>0</v>
      </c>
      <c r="P204" s="129">
        <v>0</v>
      </c>
      <c r="Q204" s="129">
        <v>0</v>
      </c>
      <c r="R204" s="129">
        <v>0</v>
      </c>
      <c r="S204" s="129">
        <v>0</v>
      </c>
      <c r="T204" s="129">
        <v>0</v>
      </c>
      <c r="U204" s="129">
        <v>0</v>
      </c>
      <c r="V204" s="129">
        <v>0</v>
      </c>
      <c r="W204" s="79">
        <v>0</v>
      </c>
      <c r="X204" s="78">
        <v>0</v>
      </c>
      <c r="Y204" s="78">
        <v>0</v>
      </c>
      <c r="Z204" s="78">
        <v>0</v>
      </c>
      <c r="AA204" s="79">
        <v>0</v>
      </c>
      <c r="AB204" s="78">
        <v>0</v>
      </c>
      <c r="AC204" s="79">
        <v>0</v>
      </c>
      <c r="AD204" s="78">
        <v>0</v>
      </c>
      <c r="AF204" s="144"/>
    </row>
    <row r="205" spans="1:32">
      <c r="A205" s="128" t="s">
        <v>374</v>
      </c>
      <c r="B205" s="143"/>
      <c r="C205" s="129">
        <f t="shared" si="22"/>
        <v>0</v>
      </c>
      <c r="D205" s="129">
        <f t="shared" si="23"/>
        <v>0</v>
      </c>
      <c r="E205" s="129">
        <v>0</v>
      </c>
      <c r="F205" s="129">
        <v>0</v>
      </c>
      <c r="G205" s="129">
        <v>0</v>
      </c>
      <c r="H205" s="129">
        <v>0</v>
      </c>
      <c r="I205" s="129">
        <v>0</v>
      </c>
      <c r="J205" s="129">
        <v>0</v>
      </c>
      <c r="K205" s="129">
        <v>0</v>
      </c>
      <c r="L205" s="129">
        <v>0</v>
      </c>
      <c r="M205" s="129">
        <v>0</v>
      </c>
      <c r="N205" s="129">
        <v>0</v>
      </c>
      <c r="O205" s="129">
        <v>0</v>
      </c>
      <c r="P205" s="129">
        <v>0</v>
      </c>
      <c r="Q205" s="129">
        <v>0</v>
      </c>
      <c r="R205" s="129">
        <v>0</v>
      </c>
      <c r="S205" s="129">
        <v>0</v>
      </c>
      <c r="T205" s="129">
        <v>0</v>
      </c>
      <c r="U205" s="129">
        <v>0</v>
      </c>
      <c r="V205" s="129">
        <v>0</v>
      </c>
      <c r="W205" s="79">
        <v>0</v>
      </c>
      <c r="X205" s="78">
        <v>0</v>
      </c>
      <c r="Y205" s="78">
        <v>0</v>
      </c>
      <c r="Z205" s="78">
        <v>0</v>
      </c>
      <c r="AA205" s="79">
        <v>0</v>
      </c>
      <c r="AB205" s="78">
        <v>0</v>
      </c>
      <c r="AC205" s="79">
        <v>0</v>
      </c>
      <c r="AD205" s="78">
        <v>0</v>
      </c>
      <c r="AF205" s="144"/>
    </row>
    <row r="206" spans="1:32">
      <c r="A206" s="128" t="s">
        <v>375</v>
      </c>
      <c r="B206" s="143"/>
      <c r="C206" s="129">
        <f t="shared" si="22"/>
        <v>0</v>
      </c>
      <c r="D206" s="129">
        <f t="shared" si="23"/>
        <v>0</v>
      </c>
      <c r="E206" s="129">
        <v>0</v>
      </c>
      <c r="F206" s="129">
        <v>0</v>
      </c>
      <c r="G206" s="129">
        <v>0</v>
      </c>
      <c r="H206" s="129">
        <v>0</v>
      </c>
      <c r="I206" s="129">
        <v>0</v>
      </c>
      <c r="J206" s="129">
        <v>0</v>
      </c>
      <c r="K206" s="129">
        <v>0</v>
      </c>
      <c r="L206" s="129">
        <v>0</v>
      </c>
      <c r="M206" s="129">
        <v>0</v>
      </c>
      <c r="N206" s="129">
        <v>0</v>
      </c>
      <c r="O206" s="129">
        <v>0</v>
      </c>
      <c r="P206" s="129">
        <v>0</v>
      </c>
      <c r="Q206" s="129">
        <v>0</v>
      </c>
      <c r="R206" s="129">
        <v>0</v>
      </c>
      <c r="S206" s="129">
        <v>0</v>
      </c>
      <c r="T206" s="129">
        <v>0</v>
      </c>
      <c r="U206" s="129">
        <v>0</v>
      </c>
      <c r="V206" s="129">
        <v>0</v>
      </c>
      <c r="W206" s="79">
        <v>0</v>
      </c>
      <c r="X206" s="78">
        <v>0</v>
      </c>
      <c r="Y206" s="78">
        <v>0</v>
      </c>
      <c r="Z206" s="78">
        <v>0</v>
      </c>
      <c r="AA206" s="79">
        <v>0</v>
      </c>
      <c r="AB206" s="78">
        <v>0</v>
      </c>
      <c r="AC206" s="79">
        <v>0</v>
      </c>
      <c r="AD206" s="78">
        <v>0</v>
      </c>
      <c r="AF206" s="144"/>
    </row>
    <row r="207" spans="1:32">
      <c r="A207" s="128" t="s">
        <v>376</v>
      </c>
      <c r="B207" s="143"/>
      <c r="C207" s="129">
        <f t="shared" ref="C207:C209" si="24">E207+G207+I207+K207+M207+O207+Q207+S207+U207+W207+Y207+AC207+AA207</f>
        <v>0</v>
      </c>
      <c r="D207" s="129">
        <f t="shared" ref="D207:D209" si="25">F207+H207+J207+L207+N207+P207+R207+T207+V207+X207+Z207+AD207+AB207</f>
        <v>0</v>
      </c>
      <c r="E207" s="129">
        <v>0</v>
      </c>
      <c r="F207" s="129">
        <v>0</v>
      </c>
      <c r="G207" s="129">
        <v>0</v>
      </c>
      <c r="H207" s="129">
        <v>0</v>
      </c>
      <c r="I207" s="129">
        <v>0</v>
      </c>
      <c r="J207" s="129">
        <v>0</v>
      </c>
      <c r="K207" s="129">
        <v>0</v>
      </c>
      <c r="L207" s="129">
        <v>0</v>
      </c>
      <c r="M207" s="129">
        <v>0</v>
      </c>
      <c r="N207" s="129">
        <v>0</v>
      </c>
      <c r="O207" s="129">
        <v>0</v>
      </c>
      <c r="P207" s="129">
        <v>0</v>
      </c>
      <c r="Q207" s="129">
        <v>0</v>
      </c>
      <c r="R207" s="129">
        <v>0</v>
      </c>
      <c r="S207" s="129">
        <v>0</v>
      </c>
      <c r="T207" s="129">
        <v>0</v>
      </c>
      <c r="U207" s="129">
        <v>0</v>
      </c>
      <c r="V207" s="129">
        <v>0</v>
      </c>
      <c r="W207" s="79">
        <v>0</v>
      </c>
      <c r="X207" s="78">
        <v>0</v>
      </c>
      <c r="Y207" s="78">
        <v>0</v>
      </c>
      <c r="Z207" s="78">
        <v>0</v>
      </c>
      <c r="AA207" s="79">
        <v>0</v>
      </c>
      <c r="AB207" s="78">
        <v>0</v>
      </c>
      <c r="AC207" s="79">
        <v>0</v>
      </c>
      <c r="AD207" s="78">
        <v>0</v>
      </c>
      <c r="AF207" s="144"/>
    </row>
    <row r="208" spans="1:32">
      <c r="A208" s="128" t="s">
        <v>377</v>
      </c>
      <c r="B208" s="143"/>
      <c r="C208" s="129">
        <f t="shared" si="24"/>
        <v>0</v>
      </c>
      <c r="D208" s="129">
        <f t="shared" si="25"/>
        <v>0</v>
      </c>
      <c r="E208" s="129">
        <v>0</v>
      </c>
      <c r="F208" s="129">
        <v>0</v>
      </c>
      <c r="G208" s="129">
        <v>0</v>
      </c>
      <c r="H208" s="129">
        <v>0</v>
      </c>
      <c r="I208" s="129">
        <v>0</v>
      </c>
      <c r="J208" s="129">
        <v>0</v>
      </c>
      <c r="K208" s="129">
        <v>0</v>
      </c>
      <c r="L208" s="129">
        <v>0</v>
      </c>
      <c r="M208" s="129">
        <v>0</v>
      </c>
      <c r="N208" s="129">
        <v>0</v>
      </c>
      <c r="O208" s="129">
        <v>0</v>
      </c>
      <c r="P208" s="129">
        <v>0</v>
      </c>
      <c r="Q208" s="129">
        <v>0</v>
      </c>
      <c r="R208" s="129">
        <v>0</v>
      </c>
      <c r="S208" s="129">
        <v>0</v>
      </c>
      <c r="T208" s="129">
        <v>0</v>
      </c>
      <c r="U208" s="129">
        <v>0</v>
      </c>
      <c r="V208" s="129">
        <v>0</v>
      </c>
      <c r="W208" s="79">
        <v>0</v>
      </c>
      <c r="X208" s="78">
        <v>0</v>
      </c>
      <c r="Y208" s="78">
        <v>0</v>
      </c>
      <c r="Z208" s="78">
        <v>0</v>
      </c>
      <c r="AA208" s="79">
        <v>0</v>
      </c>
      <c r="AB208" s="78">
        <v>0</v>
      </c>
      <c r="AC208" s="79">
        <v>0</v>
      </c>
      <c r="AD208" s="78">
        <v>0</v>
      </c>
      <c r="AF208" s="144"/>
    </row>
    <row r="209" spans="1:32">
      <c r="A209" s="128" t="s">
        <v>378</v>
      </c>
      <c r="B209" s="143"/>
      <c r="C209" s="129">
        <f t="shared" si="24"/>
        <v>0</v>
      </c>
      <c r="D209" s="129">
        <f t="shared" si="25"/>
        <v>0</v>
      </c>
      <c r="E209" s="129">
        <v>0</v>
      </c>
      <c r="F209" s="129">
        <v>0</v>
      </c>
      <c r="G209" s="129">
        <v>0</v>
      </c>
      <c r="H209" s="129">
        <v>0</v>
      </c>
      <c r="I209" s="129">
        <v>0</v>
      </c>
      <c r="J209" s="129">
        <v>0</v>
      </c>
      <c r="K209" s="129">
        <v>0</v>
      </c>
      <c r="L209" s="129">
        <v>0</v>
      </c>
      <c r="M209" s="129">
        <v>0</v>
      </c>
      <c r="N209" s="129">
        <v>0</v>
      </c>
      <c r="O209" s="129">
        <v>0</v>
      </c>
      <c r="P209" s="129">
        <v>0</v>
      </c>
      <c r="Q209" s="129">
        <v>0</v>
      </c>
      <c r="R209" s="129">
        <v>0</v>
      </c>
      <c r="S209" s="129">
        <v>0</v>
      </c>
      <c r="T209" s="129">
        <v>0</v>
      </c>
      <c r="U209" s="129">
        <v>0</v>
      </c>
      <c r="V209" s="129">
        <v>0</v>
      </c>
      <c r="W209" s="79">
        <v>0</v>
      </c>
      <c r="X209" s="78">
        <v>0</v>
      </c>
      <c r="Y209" s="78">
        <v>0</v>
      </c>
      <c r="Z209" s="78">
        <v>0</v>
      </c>
      <c r="AA209" s="79">
        <v>0</v>
      </c>
      <c r="AB209" s="78">
        <v>0</v>
      </c>
      <c r="AC209" s="79">
        <v>0</v>
      </c>
      <c r="AD209" s="78">
        <v>0</v>
      </c>
      <c r="AF209" s="144"/>
    </row>
    <row r="210" spans="1:32">
      <c r="A210" s="128" t="s">
        <v>297</v>
      </c>
      <c r="B210" s="143">
        <v>113.687009310231</v>
      </c>
      <c r="C210" s="129">
        <f t="shared" si="5"/>
        <v>0</v>
      </c>
      <c r="D210" s="129">
        <f t="shared" si="4"/>
        <v>0</v>
      </c>
      <c r="E210" s="129">
        <v>0</v>
      </c>
      <c r="F210" s="129">
        <v>0</v>
      </c>
      <c r="G210" s="129">
        <v>0</v>
      </c>
      <c r="H210" s="129">
        <v>0</v>
      </c>
      <c r="I210" s="129">
        <v>0</v>
      </c>
      <c r="J210" s="129">
        <v>0</v>
      </c>
      <c r="K210" s="129">
        <v>0</v>
      </c>
      <c r="L210" s="129">
        <v>0</v>
      </c>
      <c r="M210" s="129">
        <v>0</v>
      </c>
      <c r="N210" s="129">
        <v>0</v>
      </c>
      <c r="O210" s="129">
        <v>0</v>
      </c>
      <c r="P210" s="129">
        <v>0</v>
      </c>
      <c r="Q210" s="129">
        <v>0</v>
      </c>
      <c r="R210" s="129">
        <v>0</v>
      </c>
      <c r="S210" s="129">
        <v>0</v>
      </c>
      <c r="T210" s="129">
        <v>0</v>
      </c>
      <c r="U210" s="129">
        <v>0</v>
      </c>
      <c r="V210" s="129">
        <v>0</v>
      </c>
      <c r="W210" s="79">
        <v>0</v>
      </c>
      <c r="X210" s="78">
        <v>0</v>
      </c>
      <c r="Y210" s="78">
        <v>0</v>
      </c>
      <c r="Z210" s="78">
        <v>0</v>
      </c>
      <c r="AA210" s="79">
        <v>0</v>
      </c>
      <c r="AB210" s="78">
        <v>0</v>
      </c>
      <c r="AC210" s="79">
        <v>0</v>
      </c>
      <c r="AD210" s="78">
        <v>0</v>
      </c>
      <c r="AF210" s="144"/>
    </row>
    <row r="211" ht="16.5" spans="1:32">
      <c r="A211" s="131" t="s">
        <v>379</v>
      </c>
      <c r="B211" s="145">
        <v>8851693013.7766</v>
      </c>
      <c r="C211" s="88">
        <f t="shared" si="5"/>
        <v>653770432.858142</v>
      </c>
      <c r="D211" s="88">
        <f t="shared" si="4"/>
        <v>529824191.339228</v>
      </c>
      <c r="E211" s="88">
        <f>SUM(E3:E210)</f>
        <v>79955293.2448997</v>
      </c>
      <c r="F211" s="88">
        <f>SUM(F3:F210)</f>
        <v>60923596.5328595</v>
      </c>
      <c r="G211" s="88">
        <f>SUM(G3:G210)</f>
        <v>39379620.7889332</v>
      </c>
      <c r="H211" s="88">
        <f>SUM(H3:H210)</f>
        <v>35648457.630716</v>
      </c>
      <c r="I211" s="88">
        <f>SUM(I3:I210)</f>
        <v>39935148.9284327</v>
      </c>
      <c r="J211" s="88">
        <f>SUM(J3:J210)</f>
        <v>31907336.1697675</v>
      </c>
      <c r="K211" s="88">
        <f>SUM(K3:K210)</f>
        <v>46911128.9300087</v>
      </c>
      <c r="L211" s="88">
        <f>SUM(L3:L210)</f>
        <v>43349302.4272304</v>
      </c>
      <c r="M211" s="88">
        <f>SUM(M3:M210)</f>
        <v>136460878.67108</v>
      </c>
      <c r="N211" s="88">
        <f>SUM(N3:N210)</f>
        <v>115116029.2126</v>
      </c>
      <c r="O211" s="88">
        <f>SUM(O3:O210)</f>
        <v>14456559.3026676</v>
      </c>
      <c r="P211" s="88">
        <f>SUM(P3:P210)</f>
        <v>5557545.59560494</v>
      </c>
      <c r="Q211" s="88">
        <f>SUM(Q3:Q210)</f>
        <v>47609717.1153917</v>
      </c>
      <c r="R211" s="88">
        <f>SUM(R3:R210)</f>
        <v>48241280.7041352</v>
      </c>
      <c r="S211" s="88">
        <f>SUM(S3:S210)</f>
        <v>6288939.05583066</v>
      </c>
      <c r="T211" s="88">
        <f>SUM(T3:T210)</f>
        <v>6058570.11944554</v>
      </c>
      <c r="U211" s="88">
        <f>SUM(U3:U210)</f>
        <v>55452634.667416</v>
      </c>
      <c r="V211" s="88">
        <f>SUM(V3:V210)</f>
        <v>39637998.5851425</v>
      </c>
      <c r="W211" s="89">
        <f t="shared" ref="W211" si="26">SUM(W3:W210)</f>
        <v>4311390.30535561</v>
      </c>
      <c r="X211" s="88">
        <f t="shared" ref="X211" si="27">SUM(X3:X210)</f>
        <v>799825.716330825</v>
      </c>
      <c r="Y211" s="88">
        <f t="shared" ref="Y211" si="28">SUM(Y3:Y210)</f>
        <v>8856057.51430491</v>
      </c>
      <c r="Z211" s="88">
        <f t="shared" ref="Z211" si="29">SUM(Z3:Z210)</f>
        <v>12735807.340686</v>
      </c>
      <c r="AA211" s="89">
        <f>SUM(AA3:AA210)</f>
        <v>999950.974765942</v>
      </c>
      <c r="AB211" s="88">
        <f>SUM(AB3:AB210)</f>
        <v>1027432.16276598</v>
      </c>
      <c r="AC211" s="89">
        <f>SUM(AC3:AC210)</f>
        <v>173153113.359055</v>
      </c>
      <c r="AD211" s="88">
        <f>SUM(AD3:AD210)</f>
        <v>128821009.141943</v>
      </c>
    </row>
    <row r="212" ht="16.5" spans="1:32">
      <c r="C212" s="90"/>
      <c r="D212" s="90"/>
      <c r="E212" s="90"/>
      <c r="F212" s="90"/>
    </row>
    <row r="213" ht="16.5" spans="1:32">
      <c r="A213" s="93" t="s">
        <v>380</v>
      </c>
      <c r="B213" s="93"/>
      <c r="C213" s="60" t="s">
        <v>2</v>
      </c>
      <c r="D213" s="60"/>
      <c r="E213" s="61" t="s">
        <v>3</v>
      </c>
      <c r="F213" s="61"/>
      <c r="G213" s="61" t="s">
        <v>4</v>
      </c>
      <c r="H213" s="61"/>
      <c r="I213" s="61" t="s">
        <v>5</v>
      </c>
      <c r="J213" s="61"/>
      <c r="K213" s="61" t="s">
        <v>6</v>
      </c>
      <c r="L213" s="61"/>
      <c r="M213" s="61" t="s">
        <v>7</v>
      </c>
      <c r="N213" s="61"/>
      <c r="O213" s="61" t="s">
        <v>8</v>
      </c>
      <c r="P213" s="61"/>
      <c r="Q213" s="61" t="s">
        <v>9</v>
      </c>
      <c r="R213" s="61"/>
      <c r="S213" s="61" t="s">
        <v>10</v>
      </c>
      <c r="T213" s="61"/>
      <c r="U213" s="61" t="s">
        <v>11</v>
      </c>
      <c r="V213" s="61"/>
      <c r="W213" s="62" t="s">
        <v>299</v>
      </c>
      <c r="X213" s="61"/>
      <c r="Y213" s="61" t="s">
        <v>300</v>
      </c>
      <c r="Z213" s="61"/>
      <c r="AA213" s="62" t="s">
        <v>301</v>
      </c>
      <c r="AB213" s="61"/>
      <c r="AC213" s="62" t="s">
        <v>302</v>
      </c>
      <c r="AD213" s="61"/>
    </row>
    <row r="214" s="55" customFormat="1" ht="16.5" spans="1:32">
      <c r="A214" s="140" t="s">
        <v>18</v>
      </c>
      <c r="B214" s="65" t="s">
        <v>381</v>
      </c>
      <c r="C214" s="66">
        <v>46023</v>
      </c>
      <c r="D214" s="66">
        <v>46054</v>
      </c>
      <c r="E214" s="67">
        <v>46023</v>
      </c>
      <c r="F214" s="67">
        <v>46054</v>
      </c>
      <c r="G214" s="67">
        <v>46023</v>
      </c>
      <c r="H214" s="67">
        <v>46054</v>
      </c>
      <c r="I214" s="67">
        <v>46023</v>
      </c>
      <c r="J214" s="67">
        <v>46054</v>
      </c>
      <c r="K214" s="67">
        <v>46023</v>
      </c>
      <c r="L214" s="67">
        <v>46054</v>
      </c>
      <c r="M214" s="67">
        <v>46023</v>
      </c>
      <c r="N214" s="67">
        <v>46054</v>
      </c>
      <c r="O214" s="67">
        <v>46023</v>
      </c>
      <c r="P214" s="67">
        <v>46054</v>
      </c>
      <c r="Q214" s="67">
        <v>46023</v>
      </c>
      <c r="R214" s="67">
        <v>46054</v>
      </c>
      <c r="S214" s="67">
        <v>46023</v>
      </c>
      <c r="T214" s="67">
        <v>46054</v>
      </c>
      <c r="U214" s="67">
        <v>46023</v>
      </c>
      <c r="V214" s="67">
        <v>46054</v>
      </c>
      <c r="W214" s="68">
        <v>46023</v>
      </c>
      <c r="X214" s="69">
        <v>46054</v>
      </c>
      <c r="Y214" s="68">
        <v>46023</v>
      </c>
      <c r="Z214" s="69">
        <v>46054</v>
      </c>
      <c r="AA214" s="68">
        <v>46023</v>
      </c>
      <c r="AB214" s="69">
        <v>46054</v>
      </c>
      <c r="AC214" s="68">
        <v>46023</v>
      </c>
      <c r="AD214" s="69">
        <v>46054</v>
      </c>
    </row>
    <row r="215" spans="1:32">
      <c r="A215" s="141" t="s">
        <v>25</v>
      </c>
      <c r="B215" s="146" t="e">
        <f>#REF!/B3-1</f>
        <v>#REF!</v>
      </c>
      <c r="C215" s="101">
        <f>C3/C$211</f>
        <v>0.248293390732873</v>
      </c>
      <c r="D215" s="101">
        <f>D3/D$211</f>
        <v>0.217172569279958</v>
      </c>
      <c r="E215" s="106">
        <f>E3/E$211</f>
        <v>0.354654909478839</v>
      </c>
      <c r="F215" s="106">
        <f>F3/F$211</f>
        <v>0.311690239823974</v>
      </c>
      <c r="G215" s="106">
        <f>G3/G$211</f>
        <v>0.241069836401402</v>
      </c>
      <c r="H215" s="106">
        <f>H3/H$211</f>
        <v>0.200881299930761</v>
      </c>
      <c r="I215" s="137">
        <f>I3/I$211</f>
        <v>0.152558181726473</v>
      </c>
      <c r="J215" s="137">
        <f>J3/J$211</f>
        <v>0.152071834643243</v>
      </c>
      <c r="K215" s="137">
        <f>K3/K$211</f>
        <v>0.233008867365644</v>
      </c>
      <c r="L215" s="137">
        <f>L3/L$211</f>
        <v>0.236714489976678</v>
      </c>
      <c r="M215" s="137">
        <f>M3/M$211</f>
        <v>0.275146784356933</v>
      </c>
      <c r="N215" s="137">
        <f>N3/N$211</f>
        <v>0.24438543078986</v>
      </c>
      <c r="O215" s="137">
        <f>O3/O$211</f>
        <v>0.121613253600663</v>
      </c>
      <c r="P215" s="137">
        <f>P3/P$211</f>
        <v>0.206721323921428</v>
      </c>
      <c r="Q215" s="137">
        <f>Q3/Q$211</f>
        <v>0.113876757386766</v>
      </c>
      <c r="R215" s="137">
        <f>R3/R$211</f>
        <v>0.12846437549103</v>
      </c>
      <c r="S215" s="137">
        <f>S3/S$211</f>
        <v>0.301975333293417</v>
      </c>
      <c r="T215" s="137">
        <f>T3/T$211</f>
        <v>0.223221701592693</v>
      </c>
      <c r="U215" s="137">
        <f>U3/U$211</f>
        <v>0.27864549050193</v>
      </c>
      <c r="V215" s="137">
        <f>V3/V$211</f>
        <v>0.21755292232779</v>
      </c>
      <c r="W215" s="107"/>
      <c r="X215" s="106">
        <f>X3/X$211</f>
        <v>0.106461087533304</v>
      </c>
      <c r="Y215" s="106">
        <f>Y3/Y$211</f>
        <v>0.153418836323956</v>
      </c>
      <c r="Z215" s="106">
        <f>Z3/Z$211</f>
        <v>0.136203930800425</v>
      </c>
      <c r="AA215" s="107"/>
      <c r="AB215" s="106"/>
      <c r="AC215" s="107">
        <f>AC3/AC$211</f>
        <v>0.24060441531879</v>
      </c>
      <c r="AD215" s="106">
        <f>AD3/AD$211</f>
        <v>0.203530606005573</v>
      </c>
    </row>
    <row r="216" spans="1:32">
      <c r="A216" s="141" t="s">
        <v>31</v>
      </c>
      <c r="B216" s="146" t="e">
        <f>#REF!/B4-1</f>
        <v>#REF!</v>
      </c>
      <c r="C216" s="106">
        <f>C4/C$211</f>
        <v>0.0884452736794326</v>
      </c>
      <c r="D216" s="106">
        <f>D4/D$211</f>
        <v>0.082152993853451</v>
      </c>
      <c r="E216" s="106">
        <f>E4/E$211</f>
        <v>0.0752926273381949</v>
      </c>
      <c r="F216" s="106">
        <f>F4/F$211</f>
        <v>0.0712027014780905</v>
      </c>
      <c r="G216" s="106">
        <f>G4/G$211</f>
        <v>0.0978421171850748</v>
      </c>
      <c r="H216" s="106">
        <f>H4/H$211</f>
        <v>0.0775363030772022</v>
      </c>
      <c r="I216" s="137">
        <f>I4/I$211</f>
        <v>0.179483556610289</v>
      </c>
      <c r="J216" s="137">
        <f>J4/J$211</f>
        <v>0.147764415788212</v>
      </c>
      <c r="K216" s="137">
        <f>K4/K$211</f>
        <v>0.0753862608780422</v>
      </c>
      <c r="L216" s="137">
        <f>L4/L$211</f>
        <v>0.0674287592352611</v>
      </c>
      <c r="M216" s="137">
        <f>M4/M$211</f>
        <v>0.0966195768527989</v>
      </c>
      <c r="N216" s="137">
        <f>N4/N$211</f>
        <v>0.11609009038119</v>
      </c>
      <c r="O216" s="137">
        <f>O4/O$211</f>
        <v>0.225198191724568</v>
      </c>
      <c r="P216" s="137">
        <f>P4/P$211</f>
        <v>0.0944918003415659</v>
      </c>
      <c r="Q216" s="137">
        <f>Q4/Q$211</f>
        <v>0.113665079390991</v>
      </c>
      <c r="R216" s="137">
        <f>R4/R$211</f>
        <v>0.0878798674622265</v>
      </c>
      <c r="S216" s="137">
        <f>S4/S$211</f>
        <v>0.0777385372623206</v>
      </c>
      <c r="T216" s="137">
        <f>T4/T$211</f>
        <v>0.0462968723730242</v>
      </c>
      <c r="U216" s="137">
        <f>U4/U$211</f>
        <v>0.0862300475482594</v>
      </c>
      <c r="V216" s="137">
        <f>V4/V$211</f>
        <v>0.0668260310009032</v>
      </c>
      <c r="W216" s="107"/>
      <c r="X216" s="106">
        <f>X4/X$211</f>
        <v>0.0799742585397742</v>
      </c>
      <c r="Y216" s="106">
        <f>Y4/Y$211</f>
        <v>0.0970646939159695</v>
      </c>
      <c r="Z216" s="106">
        <f>Z4/Z$211</f>
        <v>0.0825474129801321</v>
      </c>
      <c r="AA216" s="107"/>
      <c r="AB216" s="106"/>
      <c r="AC216" s="107">
        <f>AC4/AC$211</f>
        <v>0.0511950774336763</v>
      </c>
      <c r="AD216" s="106">
        <f>AD4/AD$211</f>
        <v>0.0508151283062701</v>
      </c>
    </row>
    <row r="217" spans="1:32">
      <c r="A217" s="141" t="s">
        <v>33</v>
      </c>
      <c r="B217" s="146" t="e">
        <f>#REF!/B5-1</f>
        <v>#REF!</v>
      </c>
      <c r="C217" s="106">
        <f>C5/C$211</f>
        <v>0.0469816108668076</v>
      </c>
      <c r="D217" s="106">
        <f>D5/D$211</f>
        <v>0.0467696643123402</v>
      </c>
      <c r="E217" s="106">
        <f>E5/E$211</f>
        <v>0.0347260672403263</v>
      </c>
      <c r="F217" s="106">
        <f>F5/F$211</f>
        <v>0.0281346718911513</v>
      </c>
      <c r="G217" s="106">
        <f>G5/G$211</f>
        <v>0.0386729944741494</v>
      </c>
      <c r="H217" s="106">
        <f>H5/H$211</f>
        <v>0.0302766608956354</v>
      </c>
      <c r="I217" s="137">
        <f>I5/I$211</f>
        <v>0.0461651073481842</v>
      </c>
      <c r="J217" s="137">
        <f>J5/J$211</f>
        <v>0.0399300244907815</v>
      </c>
      <c r="K217" s="137">
        <f>K5/K$211</f>
        <v>0.0453733419225078</v>
      </c>
      <c r="L217" s="137">
        <f>L5/L$211</f>
        <v>0.0298506997331839</v>
      </c>
      <c r="M217" s="137">
        <f>M5/M$211</f>
        <v>0.0681224662768743</v>
      </c>
      <c r="N217" s="137">
        <f>N5/N$211</f>
        <v>0.0669180663229158</v>
      </c>
      <c r="O217" s="137">
        <f>O5/O$211</f>
        <v>0.0291971652734256</v>
      </c>
      <c r="P217" s="137">
        <f>P5/P$211</f>
        <v>0.0736851003012092</v>
      </c>
      <c r="Q217" s="137">
        <f>Q5/Q$211</f>
        <v>0.0293010692018658</v>
      </c>
      <c r="R217" s="137">
        <f>R5/R$211</f>
        <v>0.0285991042160985</v>
      </c>
      <c r="S217" s="137">
        <f>S5/S$211</f>
        <v>0.037094219739225</v>
      </c>
      <c r="T217" s="137">
        <f>T5/T$211</f>
        <v>0.0266655727405293</v>
      </c>
      <c r="U217" s="137">
        <f>U5/U$211</f>
        <v>0.0364791741553712</v>
      </c>
      <c r="V217" s="137">
        <f>V5/V$211</f>
        <v>0.0314445801075354</v>
      </c>
      <c r="W217" s="107"/>
      <c r="X217" s="106">
        <f>X5/X$211</f>
        <v>0.00175609803721366</v>
      </c>
      <c r="Y217" s="106">
        <f>Y5/Y$211</f>
        <v>0.0841370390871888</v>
      </c>
      <c r="Z217" s="106">
        <f>Z5/Z$211</f>
        <v>0.0677108287608216</v>
      </c>
      <c r="AA217" s="107"/>
      <c r="AB217" s="106"/>
      <c r="AC217" s="107">
        <f>AC5/AC$211</f>
        <v>0.0467302428718089</v>
      </c>
      <c r="AD217" s="106">
        <f>AD5/AD$211</f>
        <v>0.059416009347272</v>
      </c>
    </row>
    <row r="218" spans="1:32">
      <c r="A218" s="141" t="s">
        <v>35</v>
      </c>
      <c r="B218" s="146" t="e">
        <f>#REF!/B6-1</f>
        <v>#REF!</v>
      </c>
      <c r="C218" s="106">
        <f>C6/C$211</f>
        <v>0.0378519620617634</v>
      </c>
      <c r="D218" s="106">
        <f>D6/D$211</f>
        <v>0.0371030293029362</v>
      </c>
      <c r="E218" s="106">
        <f>E6/E$211</f>
        <v>0.0248349110025546</v>
      </c>
      <c r="F218" s="106">
        <f>F6/F$211</f>
        <v>0.0283016122418942</v>
      </c>
      <c r="G218" s="106">
        <f>G6/G$211</f>
        <v>0.0352153636010542</v>
      </c>
      <c r="H218" s="106">
        <f>H6/H$211</f>
        <v>0.0285126250861692</v>
      </c>
      <c r="I218" s="137">
        <f>I6/I$211</f>
        <v>0.0317188033323874</v>
      </c>
      <c r="J218" s="137">
        <f>J6/J$211</f>
        <v>0.0269711946394599</v>
      </c>
      <c r="K218" s="137">
        <f>K6/K$211</f>
        <v>0.0513645706702428</v>
      </c>
      <c r="L218" s="137">
        <f>L6/L$211</f>
        <v>0.038845814588019</v>
      </c>
      <c r="M218" s="137">
        <f>M6/M$211</f>
        <v>0.0530706368165552</v>
      </c>
      <c r="N218" s="137">
        <f>N6/N$211</f>
        <v>0.055126799142832</v>
      </c>
      <c r="O218" s="137">
        <f>O6/O$211</f>
        <v>0.0309373499470542</v>
      </c>
      <c r="P218" s="137">
        <f>P6/P$211</f>
        <v>0.0633405938153691</v>
      </c>
      <c r="Q218" s="137">
        <f>Q6/Q$211</f>
        <v>0.0527019277306572</v>
      </c>
      <c r="R218" s="137">
        <f>R6/R$211</f>
        <v>0.0434878275688601</v>
      </c>
      <c r="S218" s="137">
        <f>S6/S$211</f>
        <v>0.0426779172702971</v>
      </c>
      <c r="T218" s="137">
        <f>T6/T$211</f>
        <v>0.027073003947282</v>
      </c>
      <c r="U218" s="137">
        <f>U6/U$211</f>
        <v>0.046656530820715</v>
      </c>
      <c r="V218" s="137">
        <f>V6/V$211</f>
        <v>0.0415382322681203</v>
      </c>
      <c r="W218" s="107"/>
      <c r="X218" s="106">
        <f>X6/X$211</f>
        <v>0.00942524705171194</v>
      </c>
      <c r="Y218" s="106">
        <f>Y6/Y$211</f>
        <v>0.044690828050367</v>
      </c>
      <c r="Z218" s="106">
        <f>Z6/Z$211</f>
        <v>0.0460448014386431</v>
      </c>
      <c r="AA218" s="107"/>
      <c r="AB218" s="106"/>
      <c r="AC218" s="107">
        <f>AC6/AC$211</f>
        <v>0.0221293039068629</v>
      </c>
      <c r="AD218" s="106">
        <f>AD6/AD$211</f>
        <v>0.0246273503888064</v>
      </c>
    </row>
    <row r="219" spans="1:32">
      <c r="A219" s="141" t="s">
        <v>37</v>
      </c>
      <c r="B219" s="146" t="e">
        <f>#REF!/B7-1</f>
        <v>#REF!</v>
      </c>
      <c r="C219" s="106">
        <f>C7/C$211</f>
        <v>0.0993440793236507</v>
      </c>
      <c r="D219" s="106">
        <f>D7/D$211</f>
        <v>0.164404671873402</v>
      </c>
      <c r="E219" s="106">
        <f>E7/E$211</f>
        <v>0.17855084678788</v>
      </c>
      <c r="F219" s="106">
        <f>F7/F$211</f>
        <v>0.2152586390318</v>
      </c>
      <c r="G219" s="106">
        <f>G7/G$211</f>
        <v>0.0972135074627551</v>
      </c>
      <c r="H219" s="106">
        <f>H7/H$211</f>
        <v>0.136466960483841</v>
      </c>
      <c r="I219" s="137">
        <f>I7/I$211</f>
        <v>0.0638042546582497</v>
      </c>
      <c r="J219" s="137">
        <f>J7/J$211</f>
        <v>0.135632041876286</v>
      </c>
      <c r="K219" s="137">
        <f>K7/K$211</f>
        <v>0.0791644965997811</v>
      </c>
      <c r="L219" s="137">
        <f>L7/L$211</f>
        <v>0.115885554147913</v>
      </c>
      <c r="M219" s="137">
        <f>M7/M$211</f>
        <v>0.0535595377126813</v>
      </c>
      <c r="N219" s="137">
        <f>N7/N$211</f>
        <v>0.103063664911399</v>
      </c>
      <c r="O219" s="137">
        <f>O7/O$211</f>
        <v>0.105812228977769</v>
      </c>
      <c r="P219" s="137">
        <f>P7/P$211</f>
        <v>0.084405191653045</v>
      </c>
      <c r="Q219" s="137">
        <f>Q7/Q$211</f>
        <v>0.0537255992141715</v>
      </c>
      <c r="R219" s="137">
        <f>R7/R$211</f>
        <v>0.116850633347397</v>
      </c>
      <c r="S219" s="137">
        <f>S7/S$211</f>
        <v>0.0879102108852688</v>
      </c>
      <c r="T219" s="137">
        <f>T7/T$211</f>
        <v>0.112498647939232</v>
      </c>
      <c r="U219" s="137">
        <f>U7/U$211</f>
        <v>0.0966057228285447</v>
      </c>
      <c r="V219" s="137">
        <f>V7/V$211</f>
        <v>0.150920225242568</v>
      </c>
      <c r="W219" s="107"/>
      <c r="X219" s="106">
        <f>X7/X$211</f>
        <v>0.177391529318539</v>
      </c>
      <c r="Y219" s="106">
        <f>Y7/Y$211</f>
        <v>0.102852769006793</v>
      </c>
      <c r="Z219" s="106">
        <f>Z7/Z$211</f>
        <v>0.17456225588135</v>
      </c>
      <c r="AA219" s="107"/>
      <c r="AB219" s="106"/>
      <c r="AC219" s="107">
        <f>AC7/AC$211</f>
        <v>0.124964504351187</v>
      </c>
      <c r="AD219" s="106">
        <f>AD7/AD$211</f>
        <v>0.25433560432402</v>
      </c>
    </row>
    <row r="220" spans="1:32">
      <c r="A220" s="141" t="s">
        <v>40</v>
      </c>
      <c r="B220" s="146" t="e">
        <f>#REF!/B8-1</f>
        <v>#REF!</v>
      </c>
      <c r="C220" s="106">
        <f>C8/C$211</f>
        <v>0.0698307090617829</v>
      </c>
      <c r="D220" s="106">
        <f>D8/D$211</f>
        <v>0.058309707981712</v>
      </c>
      <c r="E220" s="106">
        <f>E8/E$211</f>
        <v>0.0289338458706523</v>
      </c>
      <c r="F220" s="106">
        <f>F8/F$211</f>
        <v>0.0314261818005097</v>
      </c>
      <c r="G220" s="106">
        <f>G8/G$211</f>
        <v>0.0368985799497715</v>
      </c>
      <c r="H220" s="106">
        <f>H8/H$211</f>
        <v>0.0277709384502437</v>
      </c>
      <c r="I220" s="137">
        <f>I8/I$211</f>
        <v>0.111450435373365</v>
      </c>
      <c r="J220" s="137">
        <f>J8/J$211</f>
        <v>0.130738581433523</v>
      </c>
      <c r="K220" s="137">
        <f>K8/K$211</f>
        <v>0.0563229603610285</v>
      </c>
      <c r="L220" s="137">
        <f>L8/L$211</f>
        <v>0.0328545168608651</v>
      </c>
      <c r="M220" s="137">
        <f>M8/M$211</f>
        <v>0.0761456242649223</v>
      </c>
      <c r="N220" s="137">
        <f>N8/N$211</f>
        <v>0.059932348561996</v>
      </c>
      <c r="O220" s="137">
        <f>O8/O$211</f>
        <v>0.0627023571854008</v>
      </c>
      <c r="P220" s="137">
        <f>P8/P$211</f>
        <v>0.0887048166512227</v>
      </c>
      <c r="Q220" s="137">
        <f>Q8/Q$211</f>
        <v>0.0863795275600642</v>
      </c>
      <c r="R220" s="137">
        <f>R8/R$211</f>
        <v>0.0684940854080562</v>
      </c>
      <c r="S220" s="137">
        <f>S8/S$211</f>
        <v>0.0687206917677348</v>
      </c>
      <c r="T220" s="137">
        <f>T8/T$211</f>
        <v>0.0474474639870612</v>
      </c>
      <c r="U220" s="137">
        <f>U8/U$211</f>
        <v>0.0655608422603444</v>
      </c>
      <c r="V220" s="137">
        <f>V8/V$211</f>
        <v>0.0652804934251714</v>
      </c>
      <c r="W220" s="107"/>
      <c r="X220" s="106">
        <f>X8/X$211</f>
        <v>0</v>
      </c>
      <c r="Y220" s="106">
        <f>Y8/Y$211</f>
        <v>0.191047350334442</v>
      </c>
      <c r="Z220" s="106">
        <f>Z8/Z$211</f>
        <v>0.192977720013683</v>
      </c>
      <c r="AA220" s="107"/>
      <c r="AB220" s="106"/>
      <c r="AC220" s="107">
        <f>AC8/AC$211</f>
        <v>0.0781128866345029</v>
      </c>
      <c r="AD220" s="106">
        <f>AD8/AD$211</f>
        <v>0.0494049077373673</v>
      </c>
    </row>
    <row r="221" spans="1:32">
      <c r="A221" s="141" t="s">
        <v>43</v>
      </c>
      <c r="B221" s="146" t="e">
        <f>#REF!/B9-1</f>
        <v>#REF!</v>
      </c>
      <c r="C221" s="106">
        <f>C9/C$211</f>
        <v>0.0290620879821558</v>
      </c>
      <c r="D221" s="106">
        <f>D9/D$211</f>
        <v>0.0313010220241224</v>
      </c>
      <c r="E221" s="106">
        <f>E9/E$211</f>
        <v>0.0854770375663364</v>
      </c>
      <c r="F221" s="106">
        <f>F9/F$211</f>
        <v>0.08174827253332</v>
      </c>
      <c r="G221" s="106">
        <f>G9/G$211</f>
        <v>0.0416610719770971</v>
      </c>
      <c r="H221" s="106">
        <f>H9/H$211</f>
        <v>0.0314782296587257</v>
      </c>
      <c r="I221" s="137">
        <f>I9/I$211</f>
        <v>0.0211361112901955</v>
      </c>
      <c r="J221" s="137">
        <f>J9/J$211</f>
        <v>0.0160503281514466</v>
      </c>
      <c r="K221" s="137">
        <f>K9/K$211</f>
        <v>0.02036587422931</v>
      </c>
      <c r="L221" s="137">
        <f>L9/L$211</f>
        <v>0.0134153042428313</v>
      </c>
      <c r="M221" s="137">
        <f>M9/M$211</f>
        <v>0.0196650589096402</v>
      </c>
      <c r="N221" s="137">
        <f>N9/N$211</f>
        <v>0.0251260907213559</v>
      </c>
      <c r="O221" s="137">
        <f>O9/O$211</f>
        <v>0.0233762770026654</v>
      </c>
      <c r="P221" s="137">
        <f>P9/P$211</f>
        <v>0.0122808854246172</v>
      </c>
      <c r="Q221" s="137">
        <f>Q9/Q$211</f>
        <v>0.0176600721638724</v>
      </c>
      <c r="R221" s="137">
        <f>R9/R$211</f>
        <v>0.0109328738947719</v>
      </c>
      <c r="S221" s="137">
        <f>S9/S$211</f>
        <v>0.0250357925809497</v>
      </c>
      <c r="T221" s="137">
        <f>T9/T$211</f>
        <v>0.0292743446812263</v>
      </c>
      <c r="U221" s="137">
        <f>U9/U$211</f>
        <v>0.0407209247156604</v>
      </c>
      <c r="V221" s="137">
        <f>V9/V$211</f>
        <v>0.0258635944956832</v>
      </c>
      <c r="W221" s="107"/>
      <c r="X221" s="106">
        <f>X9/X$211</f>
        <v>0.0398813647367216</v>
      </c>
      <c r="Y221" s="106">
        <f>Y9/Y$211</f>
        <v>0.0257899179596979</v>
      </c>
      <c r="Z221" s="106">
        <f>Z9/Z$211</f>
        <v>0.0411821917214883</v>
      </c>
      <c r="AA221" s="107"/>
      <c r="AB221" s="106"/>
      <c r="AC221" s="107">
        <f>AC9/AC$211</f>
        <v>0.0123239291869826</v>
      </c>
      <c r="AD221" s="106">
        <f>AD9/AD$211</f>
        <v>0.0317082311919414</v>
      </c>
    </row>
    <row r="222" spans="1:32">
      <c r="A222" s="141" t="s">
        <v>45</v>
      </c>
      <c r="B222" s="146" t="e">
        <f>#REF!/B10-1</f>
        <v>#REF!</v>
      </c>
      <c r="C222" s="106">
        <f>C10/C$211</f>
        <v>0.0133953226035508</v>
      </c>
      <c r="D222" s="106">
        <f>D10/D$211</f>
        <v>0.0114242902944779</v>
      </c>
      <c r="E222" s="106">
        <f>E10/E$211</f>
        <v>0.00512711526337237</v>
      </c>
      <c r="F222" s="106">
        <f>F10/F$211</f>
        <v>0.00430421501304419</v>
      </c>
      <c r="G222" s="106">
        <f>G10/G$211</f>
        <v>0.0148197446814775</v>
      </c>
      <c r="H222" s="106">
        <f>H10/H$211</f>
        <v>0.0104042530063335</v>
      </c>
      <c r="I222" s="137">
        <f>I10/I$211</f>
        <v>0.0394780838137784</v>
      </c>
      <c r="J222" s="137">
        <f>J10/J$211</f>
        <v>0.038669651953009</v>
      </c>
      <c r="K222" s="137">
        <f>K10/K$211</f>
        <v>0.0113778452661665</v>
      </c>
      <c r="L222" s="137">
        <f>L10/L$211</f>
        <v>0.00874940847850061</v>
      </c>
      <c r="M222" s="137">
        <f>M10/M$211</f>
        <v>0.0101111053457799</v>
      </c>
      <c r="N222" s="137">
        <f>N10/N$211</f>
        <v>0.00827541140454133</v>
      </c>
      <c r="O222" s="137">
        <f>O10/O$211</f>
        <v>0.0128423690379074</v>
      </c>
      <c r="P222" s="137">
        <f>P10/P$211</f>
        <v>0.0203769320621664</v>
      </c>
      <c r="Q222" s="137">
        <f>Q10/Q$211</f>
        <v>0.0291017369593222</v>
      </c>
      <c r="R222" s="137">
        <f>R10/R$211</f>
        <v>0.0240068156605068</v>
      </c>
      <c r="S222" s="137">
        <f>S10/S$211</f>
        <v>0.010069640998406</v>
      </c>
      <c r="T222" s="137">
        <f>T10/T$211</f>
        <v>0.00721156579311708</v>
      </c>
      <c r="U222" s="137">
        <f>U10/U$211</f>
        <v>0.016753550199543</v>
      </c>
      <c r="V222" s="137">
        <f>V10/V$211</f>
        <v>0.0119427550179817</v>
      </c>
      <c r="W222" s="107"/>
      <c r="X222" s="106">
        <f>X10/X$211</f>
        <v>0.11743931048033</v>
      </c>
      <c r="Y222" s="106">
        <f>Y10/Y$211</f>
        <v>0.021304352383729</v>
      </c>
      <c r="Z222" s="106">
        <f>Z10/Z$211</f>
        <v>0.0204138902390846</v>
      </c>
      <c r="AA222" s="107"/>
      <c r="AB222" s="106"/>
      <c r="AC222" s="107">
        <f>AC10/AC$211</f>
        <v>0.007636937316266</v>
      </c>
      <c r="AD222" s="106">
        <f>AD10/AD$211</f>
        <v>0.00552410201759216</v>
      </c>
    </row>
    <row r="223" spans="1:32">
      <c r="A223" s="141" t="s">
        <v>47</v>
      </c>
      <c r="B223" s="146" t="e">
        <f>#REF!/B11-1</f>
        <v>#REF!</v>
      </c>
      <c r="C223" s="106">
        <f>C11/C$211</f>
        <v>0.101882054688159</v>
      </c>
      <c r="D223" s="106">
        <f>D11/D$211</f>
        <v>0.0548926258321886</v>
      </c>
      <c r="E223" s="106">
        <f>E11/E$211</f>
        <v>0.0576291525533105</v>
      </c>
      <c r="F223" s="106">
        <f>F11/F$211</f>
        <v>0.0387288592393821</v>
      </c>
      <c r="G223" s="106">
        <f>G11/G$211</f>
        <v>0.0645234603336573</v>
      </c>
      <c r="H223" s="106">
        <f>H11/H$211</f>
        <v>0.0318323121191035</v>
      </c>
      <c r="I223" s="137">
        <f>I11/I$211</f>
        <v>0.0900538607718617</v>
      </c>
      <c r="J223" s="137">
        <f>J11/J$211</f>
        <v>0.0552337728117675</v>
      </c>
      <c r="K223" s="137">
        <f>K11/K$211</f>
        <v>0.139770882964464</v>
      </c>
      <c r="L223" s="137">
        <f>L11/L$211</f>
        <v>0.0715550406795555</v>
      </c>
      <c r="M223" s="137">
        <f>M11/M$211</f>
        <v>0.0923081854483439</v>
      </c>
      <c r="N223" s="137">
        <f>N11/N$211</f>
        <v>0.0615554724947318</v>
      </c>
      <c r="O223" s="137">
        <f>O11/O$211</f>
        <v>0.169451895500495</v>
      </c>
      <c r="P223" s="137">
        <f>P11/P$211</f>
        <v>0.0397602220418294</v>
      </c>
      <c r="Q223" s="137">
        <f>Q11/Q$211</f>
        <v>0.159536386703691</v>
      </c>
      <c r="R223" s="137">
        <f>R11/R$211</f>
        <v>0.0683549634542739</v>
      </c>
      <c r="S223" s="137">
        <f>S11/S$211</f>
        <v>0.0949148426437946</v>
      </c>
      <c r="T223" s="137">
        <f>T11/T$211</f>
        <v>0.0530335024041253</v>
      </c>
      <c r="U223" s="137">
        <f>U11/U$211</f>
        <v>0.065284933636439</v>
      </c>
      <c r="V223" s="137">
        <f>V11/V$211</f>
        <v>0.067141489852733</v>
      </c>
      <c r="W223" s="107"/>
      <c r="X223" s="106">
        <f>X11/X$211</f>
        <v>0.0664689412278693</v>
      </c>
      <c r="Y223" s="106">
        <f>Y11/Y$211</f>
        <v>0.105812776780866</v>
      </c>
      <c r="Z223" s="106">
        <f>Z11/Z$211</f>
        <v>0.0498374957351459</v>
      </c>
      <c r="AA223" s="107"/>
      <c r="AB223" s="106"/>
      <c r="AC223" s="107">
        <f>AC11/AC$211</f>
        <v>0.123682301007244</v>
      </c>
      <c r="AD223" s="106">
        <f>AD11/AD$211</f>
        <v>0.0500685072517189</v>
      </c>
    </row>
    <row r="224" spans="1:32">
      <c r="A224" s="141" t="s">
        <v>49</v>
      </c>
      <c r="B224" s="146" t="e">
        <f>#REF!/B12-1</f>
        <v>#REF!</v>
      </c>
      <c r="C224" s="106">
        <f>C12/C$211</f>
        <v>0.15604108707152</v>
      </c>
      <c r="D224" s="106">
        <f>D12/D$211</f>
        <v>0.185422381309625</v>
      </c>
      <c r="E224" s="106">
        <f>E12/E$211</f>
        <v>0.060936842902037</v>
      </c>
      <c r="F224" s="106">
        <f>F12/F$211</f>
        <v>0.0796004062946463</v>
      </c>
      <c r="G224" s="106">
        <f>G12/G$211</f>
        <v>0.161609873152983</v>
      </c>
      <c r="H224" s="106">
        <f>H12/H$211</f>
        <v>0.196453530786679</v>
      </c>
      <c r="I224" s="137">
        <f>I12/I$211</f>
        <v>0.131193154994485</v>
      </c>
      <c r="J224" s="137">
        <f>J12/J$211</f>
        <v>0.131556565509046</v>
      </c>
      <c r="K224" s="137">
        <f>K12/K$211</f>
        <v>0.203598324681256</v>
      </c>
      <c r="L224" s="137">
        <f>L12/L$211</f>
        <v>0.280457104082367</v>
      </c>
      <c r="M224" s="137">
        <f>M12/M$211</f>
        <v>0.153044348299986</v>
      </c>
      <c r="N224" s="137">
        <f>N12/N$211</f>
        <v>0.189034348039041</v>
      </c>
      <c r="O224" s="137">
        <f>O12/O$211</f>
        <v>0.133698880541263</v>
      </c>
      <c r="P224" s="137">
        <f>P12/P$211</f>
        <v>0.202207896287011</v>
      </c>
      <c r="Q224" s="137">
        <f>Q12/Q$211</f>
        <v>0.257612087521412</v>
      </c>
      <c r="R224" s="137">
        <f>R12/R$211</f>
        <v>0.321973693346462</v>
      </c>
      <c r="S224" s="137">
        <f>S12/S$211</f>
        <v>0.114186334092618</v>
      </c>
      <c r="T224" s="137">
        <f>T12/T$211</f>
        <v>0.151134914378265</v>
      </c>
      <c r="U224" s="137">
        <f>U12/U$211</f>
        <v>0.0972045714989868</v>
      </c>
      <c r="V224" s="137">
        <f>V12/V$211</f>
        <v>0.146996898911277</v>
      </c>
      <c r="W224" s="107"/>
      <c r="X224" s="106">
        <f>X12/X$211</f>
        <v>0.0294723719310149</v>
      </c>
      <c r="Y224" s="106">
        <f>Y12/Y$211</f>
        <v>0.0423877030705736</v>
      </c>
      <c r="Z224" s="106">
        <f>Z12/Z$211</f>
        <v>0.0583739082026417</v>
      </c>
      <c r="AA224" s="107"/>
      <c r="AB224" s="106"/>
      <c r="AC224" s="107">
        <f>AC12/AC$211</f>
        <v>0.197310378273549</v>
      </c>
      <c r="AD224" s="106">
        <f>AD12/AD$211</f>
        <v>0.182589389021098</v>
      </c>
    </row>
    <row r="225" spans="1:30">
      <c r="A225" s="141" t="s">
        <v>51</v>
      </c>
      <c r="B225" s="146" t="e">
        <f>#REF!/B13-1</f>
        <v>#REF!</v>
      </c>
      <c r="C225" s="106">
        <f>C13/C$211</f>
        <v>0.0120836479714665</v>
      </c>
      <c r="D225" s="106">
        <f>D13/D$211</f>
        <v>0.0169610571391451</v>
      </c>
      <c r="E225" s="106">
        <f>E13/E$211</f>
        <v>0.00474862712562846</v>
      </c>
      <c r="F225" s="106">
        <f>F13/F$211</f>
        <v>0.00764393748651519</v>
      </c>
      <c r="G225" s="106">
        <f>G13/G$211</f>
        <v>0.00186432789367752</v>
      </c>
      <c r="H225" s="106">
        <f>H13/H$211</f>
        <v>0.00146174741828278</v>
      </c>
      <c r="I225" s="137">
        <f>I13/I$211</f>
        <v>0.0119732169490558</v>
      </c>
      <c r="J225" s="137">
        <f>J13/J$211</f>
        <v>0.0206567209986535</v>
      </c>
      <c r="K225" s="137">
        <f>K13/K$211</f>
        <v>0.0155292736733273</v>
      </c>
      <c r="L225" s="137">
        <f>L13/L$211</f>
        <v>0.0302772505581942</v>
      </c>
      <c r="M225" s="137">
        <f>M13/M$211</f>
        <v>0.00833977069055538</v>
      </c>
      <c r="N225" s="137">
        <f>N13/N$211</f>
        <v>0.0128120105417463</v>
      </c>
      <c r="O225" s="137">
        <f>O13/O$211</f>
        <v>0.0180632565141131</v>
      </c>
      <c r="P225" s="137">
        <f>P13/P$211</f>
        <v>0.00952838455806529</v>
      </c>
      <c r="Q225" s="137">
        <f>Q13/Q$211</f>
        <v>0.0155342764355349</v>
      </c>
      <c r="R225" s="137">
        <f>R13/R$211</f>
        <v>0.0243535464416428</v>
      </c>
      <c r="S225" s="137">
        <f>S13/S$211</f>
        <v>0.0187521226022574</v>
      </c>
      <c r="T225" s="137">
        <f>T13/T$211</f>
        <v>0.0311201959755727</v>
      </c>
      <c r="U225" s="137">
        <f>U13/U$211</f>
        <v>0.0164332061906014</v>
      </c>
      <c r="V225" s="137">
        <f>V13/V$211</f>
        <v>0.035697693164408</v>
      </c>
      <c r="W225" s="107"/>
      <c r="X225" s="106">
        <f>X13/X$211</f>
        <v>0.05613655991093</v>
      </c>
      <c r="Y225" s="106">
        <f>Y13/Y$211</f>
        <v>0.00341204075378758</v>
      </c>
      <c r="Z225" s="106">
        <f>Z13/Z$211</f>
        <v>0.00877692395568596</v>
      </c>
      <c r="AA225" s="107"/>
      <c r="AB225" s="106"/>
      <c r="AC225" s="107">
        <f>AC13/AC$211</f>
        <v>0.0175683191470429</v>
      </c>
      <c r="AD225" s="106">
        <f>AD13/AD$211</f>
        <v>0.0157900982244575</v>
      </c>
    </row>
    <row r="226" spans="1:30">
      <c r="A226" s="141" t="s">
        <v>53</v>
      </c>
      <c r="B226" s="146" t="e">
        <f>#REF!/B14-1</f>
        <v>#REF!</v>
      </c>
      <c r="C226" s="106">
        <f>C14/C$211</f>
        <v>0.00262683097558685</v>
      </c>
      <c r="D226" s="106">
        <f>D14/D$211</f>
        <v>0.00185371947525026</v>
      </c>
      <c r="E226" s="106">
        <f>E14/E$211</f>
        <v>0.000828146370332891</v>
      </c>
      <c r="F226" s="106">
        <f>F14/F$211</f>
        <v>0.000622237763508201</v>
      </c>
      <c r="G226" s="106">
        <f>G14/G$211</f>
        <v>0.00101735568844341</v>
      </c>
      <c r="H226" s="106">
        <f>H14/H$211</f>
        <v>0.00111383979799057</v>
      </c>
      <c r="I226" s="137">
        <f>I14/I$211</f>
        <v>0.00169230988641965</v>
      </c>
      <c r="J226" s="137">
        <f>J14/J$211</f>
        <v>0.00167103820555458</v>
      </c>
      <c r="K226" s="137">
        <f>K14/K$211</f>
        <v>0.00111152057119955</v>
      </c>
      <c r="L226" s="137">
        <f>L14/L$211</f>
        <v>0.000604554587173257</v>
      </c>
      <c r="M226" s="137">
        <f>M14/M$211</f>
        <v>0.00128656625101171</v>
      </c>
      <c r="N226" s="137">
        <f>N14/N$211</f>
        <v>0.00132127964459666</v>
      </c>
      <c r="O226" s="137">
        <f>O14/O$211</f>
        <v>0.00193412500683119</v>
      </c>
      <c r="P226" s="137">
        <f>P14/P$211</f>
        <v>0.000601268482578602</v>
      </c>
      <c r="Q226" s="137">
        <f>Q14/Q$211</f>
        <v>0.00135407688052797</v>
      </c>
      <c r="R226" s="137">
        <f>R14/R$211</f>
        <v>0.000556056712436073</v>
      </c>
      <c r="S226" s="137">
        <f>S14/S$211</f>
        <v>0.00334653390782472</v>
      </c>
      <c r="T226" s="137">
        <f>T14/T$211</f>
        <v>0.0162311698250682</v>
      </c>
      <c r="U226" s="137">
        <f>U14/U$211</f>
        <v>0.0141677734597352</v>
      </c>
      <c r="V226" s="137">
        <f>V14/V$211</f>
        <v>0.00775734154374152</v>
      </c>
      <c r="W226" s="107"/>
      <c r="X226" s="106">
        <f>X14/X$211</f>
        <v>0</v>
      </c>
      <c r="Y226" s="106">
        <f>Y14/Y$211</f>
        <v>0.00393296732441309</v>
      </c>
      <c r="Z226" s="106">
        <f>Z14/Z$211</f>
        <v>0.00502612957088067</v>
      </c>
      <c r="AA226" s="107"/>
      <c r="AB226" s="106"/>
      <c r="AC226" s="107">
        <f>AC14/AC$211</f>
        <v>0.00219827733660426</v>
      </c>
      <c r="AD226" s="106">
        <f>AD14/AD$211</f>
        <v>0.00134219153955035</v>
      </c>
    </row>
    <row r="227" spans="1:30">
      <c r="A227" s="141" t="s">
        <v>55</v>
      </c>
      <c r="B227" s="146" t="e">
        <f>#REF!/B15-1</f>
        <v>#REF!</v>
      </c>
      <c r="C227" s="106">
        <f>C15/C$211</f>
        <v>0.00301636869942511</v>
      </c>
      <c r="D227" s="106">
        <f>D15/D$211</f>
        <v>0.00424014839177973</v>
      </c>
      <c r="E227" s="106">
        <f>E15/E$211</f>
        <v>0.00341563100695165</v>
      </c>
      <c r="F227" s="106">
        <f>F15/F$211</f>
        <v>0.00519769884291234</v>
      </c>
      <c r="G227" s="106">
        <f>G15/G$211</f>
        <v>0.00505065213175616</v>
      </c>
      <c r="H227" s="106">
        <f>H15/H$211</f>
        <v>0.00846349957401587</v>
      </c>
      <c r="I227" s="137">
        <f>I15/I$211</f>
        <v>0.00671889764478511</v>
      </c>
      <c r="J227" s="137">
        <f>J15/J$211</f>
        <v>0.00498318668066177</v>
      </c>
      <c r="K227" s="137">
        <f>K15/K$211</f>
        <v>0.00133103156456397</v>
      </c>
      <c r="L227" s="137">
        <f>L15/L$211</f>
        <v>0.00398514737606575</v>
      </c>
      <c r="M227" s="137">
        <f>M15/M$211</f>
        <v>0.00181567132122555</v>
      </c>
      <c r="N227" s="137">
        <f>N15/N$211</f>
        <v>0.00267199253131613</v>
      </c>
      <c r="O227" s="137">
        <f>O15/O$211</f>
        <v>0.0047518638996659</v>
      </c>
      <c r="P227" s="137">
        <f>P15/P$211</f>
        <v>0.00713077675170588</v>
      </c>
      <c r="Q227" s="137">
        <f>Q15/Q$211</f>
        <v>0.00294729763148188</v>
      </c>
      <c r="R227" s="137">
        <f>R15/R$211</f>
        <v>0.00397215098524228</v>
      </c>
      <c r="S227" s="137">
        <f>S15/S$211</f>
        <v>0.00385180662036706</v>
      </c>
      <c r="T227" s="137">
        <f>T15/T$211</f>
        <v>0.0132058335707666</v>
      </c>
      <c r="U227" s="137">
        <f>U15/U$211</f>
        <v>0.00888765955712401</v>
      </c>
      <c r="V227" s="137">
        <f>V15/V$211</f>
        <v>0.0081779413111558</v>
      </c>
      <c r="W227" s="107"/>
      <c r="X227" s="106">
        <f>X15/X$211</f>
        <v>0.0299110235525412</v>
      </c>
      <c r="Y227" s="106">
        <f>Y15/Y$211</f>
        <v>0.0136676756209609</v>
      </c>
      <c r="Z227" s="106">
        <f>Z15/Z$211</f>
        <v>0.0106534985514254</v>
      </c>
      <c r="AA227" s="107"/>
      <c r="AB227" s="106"/>
      <c r="AC227" s="107">
        <f>AC15/AC$211</f>
        <v>0.000429495048580559</v>
      </c>
      <c r="AD227" s="106">
        <f>AD15/AD$211</f>
        <v>0.00150438011563495</v>
      </c>
    </row>
    <row r="228" spans="1:30">
      <c r="A228" s="141" t="s">
        <v>57</v>
      </c>
      <c r="B228" s="146" t="e">
        <f>#REF!/B16-1</f>
        <v>#REF!</v>
      </c>
      <c r="C228" s="106">
        <f>C16/C$211</f>
        <v>0.00614597392810612</v>
      </c>
      <c r="D228" s="106">
        <f>D16/D$211</f>
        <v>0.00544532697840844</v>
      </c>
      <c r="E228" s="106">
        <f>E16/E$211</f>
        <v>0.00185126732583158</v>
      </c>
      <c r="F228" s="106">
        <f>F16/F$211</f>
        <v>0.00158123294434233</v>
      </c>
      <c r="G228" s="106">
        <f>G16/G$211</f>
        <v>0.00212380857658316</v>
      </c>
      <c r="H228" s="106">
        <f>H16/H$211</f>
        <v>0.00119312664804798</v>
      </c>
      <c r="I228" s="137">
        <f>I16/I$211</f>
        <v>0.00852995936886811</v>
      </c>
      <c r="J228" s="137">
        <f>J16/J$211</f>
        <v>0.00874228107459333</v>
      </c>
      <c r="K228" s="137">
        <f>K16/K$211</f>
        <v>0.00793717467916209</v>
      </c>
      <c r="L228" s="137">
        <f>L16/L$211</f>
        <v>0.00580683579942396</v>
      </c>
      <c r="M228" s="137">
        <f>M16/M$211</f>
        <v>0.00689824861774917</v>
      </c>
      <c r="N228" s="137">
        <f>N16/N$211</f>
        <v>0.00504242284903112</v>
      </c>
      <c r="O228" s="137">
        <f>O16/O$211</f>
        <v>0.00217559920960423</v>
      </c>
      <c r="P228" s="137">
        <f>P16/P$211</f>
        <v>0.00772075447669584</v>
      </c>
      <c r="Q228" s="137">
        <f>Q16/Q$211</f>
        <v>0.00596649918187437</v>
      </c>
      <c r="R228" s="137">
        <f>R16/R$211</f>
        <v>0.00466130152058505</v>
      </c>
      <c r="S228" s="137">
        <f>S16/S$211</f>
        <v>0.00503014532830394</v>
      </c>
      <c r="T228" s="137">
        <f>T16/T$211</f>
        <v>0.00509057668631088</v>
      </c>
      <c r="U228" s="137">
        <f>U16/U$211</f>
        <v>0.0125496375746787</v>
      </c>
      <c r="V228" s="137">
        <f>V16/V$211</f>
        <v>0.0130093875711377</v>
      </c>
      <c r="W228" s="107"/>
      <c r="X228" s="106">
        <f>X16/X$211</f>
        <v>0.119644094210165</v>
      </c>
      <c r="Y228" s="106">
        <f>Y16/Y$211</f>
        <v>0.0105678267543903</v>
      </c>
      <c r="Z228" s="106">
        <f>Z16/Z$211</f>
        <v>0.00866533376217623</v>
      </c>
      <c r="AA228" s="107"/>
      <c r="AB228" s="106"/>
      <c r="AC228" s="107">
        <f>AC16/AC$211</f>
        <v>0.00574881666165774</v>
      </c>
      <c r="AD228" s="106">
        <f>AD16/AD$211</f>
        <v>0.0047719841600733</v>
      </c>
    </row>
    <row r="229" spans="1:30">
      <c r="A229" s="141" t="s">
        <v>59</v>
      </c>
      <c r="B229" s="146" t="e">
        <f>#REF!/B17-1</f>
        <v>#REF!</v>
      </c>
      <c r="C229" s="106">
        <f>C17/C$211</f>
        <v>0.00146472038303211</v>
      </c>
      <c r="D229" s="106">
        <f>D17/D$211</f>
        <v>0.0013595173515526</v>
      </c>
      <c r="E229" s="106">
        <f>E17/E$211</f>
        <v>0.00191452097317327</v>
      </c>
      <c r="F229" s="106">
        <f>F17/F$211</f>
        <v>0.00125885239091972</v>
      </c>
      <c r="G229" s="106">
        <f>G17/G$211</f>
        <v>0.00483231045575748</v>
      </c>
      <c r="H229" s="106">
        <f>H17/H$211</f>
        <v>0.00347610000925966</v>
      </c>
      <c r="I229" s="137">
        <f>I17/I$211</f>
        <v>0.00118638956471808</v>
      </c>
      <c r="J229" s="137">
        <f>J17/J$211</f>
        <v>0.00053127756217102</v>
      </c>
      <c r="K229" s="137">
        <f>K17/K$211</f>
        <v>0.00166461288253871</v>
      </c>
      <c r="L229" s="137">
        <f>L17/L$211</f>
        <v>0.0004788204667465</v>
      </c>
      <c r="M229" s="137">
        <f>M17/M$211</f>
        <v>0.00158850998972671</v>
      </c>
      <c r="N229" s="137">
        <f>N17/N$211</f>
        <v>0.00161404368479849</v>
      </c>
      <c r="O229" s="137">
        <f>O17/O$211</f>
        <v>0.000916171306977209</v>
      </c>
      <c r="P229" s="137">
        <f>P17/P$211</f>
        <v>0.00363007193897659</v>
      </c>
      <c r="Q229" s="137">
        <f>Q17/Q$211</f>
        <v>0.00124999177227592</v>
      </c>
      <c r="R229" s="137">
        <f>R17/R$211</f>
        <v>0.000875686478520666</v>
      </c>
      <c r="S229" s="137">
        <f>S17/S$211</f>
        <v>0.00329505114043674</v>
      </c>
      <c r="T229" s="137">
        <f>T17/T$211</f>
        <v>0.00254720812834515</v>
      </c>
      <c r="U229" s="137">
        <f>U17/U$211</f>
        <v>0.0024223285268908</v>
      </c>
      <c r="V229" s="137">
        <f>V17/V$211</f>
        <v>0.00180315433835211</v>
      </c>
      <c r="W229" s="107"/>
      <c r="X229" s="106">
        <f>X17/X$211</f>
        <v>0</v>
      </c>
      <c r="Y229" s="106">
        <f>Y17/Y$211</f>
        <v>0.00129700129559362</v>
      </c>
      <c r="Z229" s="106">
        <f>Z17/Z$211</f>
        <v>0.00174932007727509</v>
      </c>
      <c r="AA229" s="107"/>
      <c r="AB229" s="106"/>
      <c r="AC229" s="107">
        <f>AC17/AC$211</f>
        <v>0.00018881338238911</v>
      </c>
      <c r="AD229" s="106">
        <f>AD17/AD$211</f>
        <v>0.000967077334812249</v>
      </c>
    </row>
    <row r="230" spans="1:30">
      <c r="A230" s="141" t="s">
        <v>61</v>
      </c>
      <c r="B230" s="146" t="e">
        <f>#REF!/B18-1</f>
        <v>#REF!</v>
      </c>
      <c r="C230" s="106">
        <f>C18/C$211</f>
        <v>0.000553668991273641</v>
      </c>
      <c r="D230" s="106">
        <f>D18/D$211</f>
        <v>0.000533884010575005</v>
      </c>
      <c r="E230" s="106">
        <f>E18/E$211</f>
        <v>0.000296216727651564</v>
      </c>
      <c r="F230" s="106">
        <f>F18/F$211</f>
        <v>0.00028676392635045</v>
      </c>
      <c r="G230" s="106">
        <f>G18/G$211</f>
        <v>0.00260552692590324</v>
      </c>
      <c r="H230" s="106">
        <f>H18/H$211</f>
        <v>0.00210514022902263</v>
      </c>
      <c r="I230" s="137">
        <f>I18/I$211</f>
        <v>0.00018844315108915</v>
      </c>
      <c r="J230" s="137">
        <f>J18/J$211</f>
        <v>0.000254259324779512</v>
      </c>
      <c r="K230" s="137">
        <f>K18/K$211</f>
        <v>0.000146367832843064</v>
      </c>
      <c r="L230" s="137">
        <f>L18/L$211</f>
        <v>0.000159815545527581</v>
      </c>
      <c r="M230" s="137">
        <f>M18/M$211</f>
        <v>0.000596403374932649</v>
      </c>
      <c r="N230" s="137">
        <f>N18/N$211</f>
        <v>0.00050381751195545</v>
      </c>
      <c r="O230" s="137">
        <f>O18/O$211</f>
        <v>0.000408456175537294</v>
      </c>
      <c r="P230" s="137">
        <f>P18/P$211</f>
        <v>0.000620834608882341</v>
      </c>
      <c r="Q230" s="137">
        <f>Q18/Q$211</f>
        <v>0.000324775170517429</v>
      </c>
      <c r="R230" s="137">
        <f>R18/R$211</f>
        <v>0.000427332371060975</v>
      </c>
      <c r="S230" s="137">
        <f>S18/S$211</f>
        <v>0.00049140498397706</v>
      </c>
      <c r="T230" s="137">
        <f>T18/T$211</f>
        <v>0.00138906828509839</v>
      </c>
      <c r="U230" s="137">
        <f>U18/U$211</f>
        <v>0.000581757308211318</v>
      </c>
      <c r="V230" s="137">
        <f>V18/V$211</f>
        <v>0.000379578314607135</v>
      </c>
      <c r="W230" s="107"/>
      <c r="X230" s="106">
        <f>X18/X$211</f>
        <v>0</v>
      </c>
      <c r="Y230" s="106">
        <f>Y18/Y$211</f>
        <v>0.000463640928948204</v>
      </c>
      <c r="Z230" s="106">
        <f>Z18/Z$211</f>
        <v>0.000758206759143284</v>
      </c>
      <c r="AA230" s="107"/>
      <c r="AB230" s="106"/>
      <c r="AC230" s="107">
        <f>AC18/AC$211</f>
        <v>0.00045671946428633</v>
      </c>
      <c r="AD230" s="106">
        <f>AD18/AD$211</f>
        <v>0.000466753256690939</v>
      </c>
    </row>
    <row r="231" spans="1:30">
      <c r="A231" s="141" t="s">
        <v>63</v>
      </c>
      <c r="B231" s="146" t="e">
        <f>#REF!/B19-1</f>
        <v>#REF!</v>
      </c>
      <c r="C231" s="106">
        <f>C19/C$211</f>
        <v>0.00143783156683643</v>
      </c>
      <c r="D231" s="106">
        <f>D19/D$211</f>
        <v>0.00357836042172452</v>
      </c>
      <c r="E231" s="106">
        <f>E19/E$211</f>
        <v>0.00247203480367314</v>
      </c>
      <c r="F231" s="106">
        <f>F19/F$211</f>
        <v>0.00448930985107586</v>
      </c>
      <c r="G231" s="106">
        <f>G19/G$211</f>
        <v>0.00639236885851068</v>
      </c>
      <c r="H231" s="106">
        <f>H19/H$211</f>
        <v>0.0226531661515011</v>
      </c>
      <c r="I231" s="137">
        <f>I19/I$211</f>
        <v>0.000412912953715661</v>
      </c>
      <c r="J231" s="137">
        <f>J19/J$211</f>
        <v>0.000356078545108731</v>
      </c>
      <c r="K231" s="137">
        <f>K19/K$211</f>
        <v>0.000929410515136591</v>
      </c>
      <c r="L231" s="137">
        <f>L19/L$211</f>
        <v>0.00180649333831329</v>
      </c>
      <c r="M231" s="137">
        <f>M19/M$211</f>
        <v>7.97464755763405e-6</v>
      </c>
      <c r="N231" s="137">
        <f>N19/N$211</f>
        <v>4.86388175011255e-6</v>
      </c>
      <c r="O231" s="137">
        <f>O19/O$211</f>
        <v>0.00150673085380062</v>
      </c>
      <c r="P231" s="137">
        <f>P19/P$211</f>
        <v>0.00608052183581455</v>
      </c>
      <c r="Q231" s="137">
        <f>Q19/Q$211</f>
        <v>0.00101664110858686</v>
      </c>
      <c r="R231" s="137">
        <f>R19/R$211</f>
        <v>0.00152961811589966</v>
      </c>
      <c r="S231" s="137">
        <f>S19/S$211</f>
        <v>0.00139554988648802</v>
      </c>
      <c r="T231" s="137">
        <f>T19/T$211</f>
        <v>0.0284654146098258</v>
      </c>
      <c r="U231" s="137">
        <f>U19/U$211</f>
        <v>0.0037014044017645</v>
      </c>
      <c r="V231" s="137">
        <f>V19/V$211</f>
        <v>0.00252510431047189</v>
      </c>
      <c r="W231" s="107"/>
      <c r="X231" s="106">
        <f>X19/X$211</f>
        <v>0</v>
      </c>
      <c r="Y231" s="106">
        <f>Y19/Y$211</f>
        <v>0.00284448486747488</v>
      </c>
      <c r="Z231" s="106">
        <f>Z19/Z$211</f>
        <v>0.00629591715022056</v>
      </c>
      <c r="AA231" s="107"/>
      <c r="AB231" s="106"/>
      <c r="AC231" s="107">
        <f>AC19/AC$211</f>
        <v>0.000693308683300076</v>
      </c>
      <c r="AD231" s="106">
        <f>AD19/AD$211</f>
        <v>0.00205166870260947</v>
      </c>
    </row>
    <row r="232" spans="1:30">
      <c r="A232" s="141" t="s">
        <v>65</v>
      </c>
      <c r="B232" s="146" t="e">
        <f>#REF!/B20-1</f>
        <v>#REF!</v>
      </c>
      <c r="C232" s="106">
        <f>C20/C$211</f>
        <v>0.00172675830387056</v>
      </c>
      <c r="D232" s="106">
        <f>D20/D$211</f>
        <v>0.00144781999299471</v>
      </c>
      <c r="E232" s="106">
        <f>E20/E$211</f>
        <v>0.0061902882976383</v>
      </c>
      <c r="F232" s="106">
        <f>F20/F$211</f>
        <v>0.00393043410506608</v>
      </c>
      <c r="G232" s="106">
        <f>G20/G$211</f>
        <v>0.00203496003708039</v>
      </c>
      <c r="H232" s="106">
        <f>H20/H$211</f>
        <v>0.00216573465192619</v>
      </c>
      <c r="I232" s="137">
        <f>I20/I$211</f>
        <v>0.000875521752096079</v>
      </c>
      <c r="J232" s="137">
        <f>J20/J$211</f>
        <v>0.000553801879938221</v>
      </c>
      <c r="K232" s="137">
        <f>K20/K$211</f>
        <v>0.000597569064580328</v>
      </c>
      <c r="L232" s="137">
        <f>L20/L$211</f>
        <v>0.000559016357683463</v>
      </c>
      <c r="M232" s="137">
        <f>M20/M$211</f>
        <v>0.00105231444394929</v>
      </c>
      <c r="N232" s="137">
        <f>N20/N$211</f>
        <v>0.000997695089437262</v>
      </c>
      <c r="O232" s="137">
        <f>O20/O$211</f>
        <v>0.00171672044687386</v>
      </c>
      <c r="P232" s="137">
        <f>P20/P$211</f>
        <v>3.65854603942409e-5</v>
      </c>
      <c r="Q232" s="137">
        <f>Q20/Q$211</f>
        <v>0.00055757021974963</v>
      </c>
      <c r="R232" s="137">
        <f>R20/R$211</f>
        <v>0.000487620986641717</v>
      </c>
      <c r="S232" s="137">
        <f>S20/S$211</f>
        <v>0.00256973588129408</v>
      </c>
      <c r="T232" s="137">
        <f>T20/T$211</f>
        <v>0.0292768090484488</v>
      </c>
      <c r="U232" s="137">
        <f>U20/U$211</f>
        <v>0.00301007785686438</v>
      </c>
      <c r="V232" s="137">
        <f>V20/V$211</f>
        <v>0.00077689536211589</v>
      </c>
      <c r="W232" s="107"/>
      <c r="X232" s="106">
        <f>X20/X$211</f>
        <v>0</v>
      </c>
      <c r="Y232" s="106">
        <f>Y20/Y$211</f>
        <v>0</v>
      </c>
      <c r="Z232" s="106">
        <f>Z20/Z$211</f>
        <v>5.59632146362317e-5</v>
      </c>
      <c r="AA232" s="107"/>
      <c r="AB232" s="106"/>
      <c r="AC232" s="107">
        <f>AC20/AC$211</f>
        <v>0.000564703191398469</v>
      </c>
      <c r="AD232" s="106">
        <f>AD20/AD$211</f>
        <v>0.000474030331720883</v>
      </c>
    </row>
    <row r="233" spans="1:30">
      <c r="A233" s="141" t="s">
        <v>67</v>
      </c>
      <c r="B233" s="146" t="e">
        <f>#REF!/B21-1</f>
        <v>#REF!</v>
      </c>
      <c r="C233" s="106">
        <f>C21/C$211</f>
        <v>0.00161744238996135</v>
      </c>
      <c r="D233" s="106">
        <f>D21/D$211</f>
        <v>0.000907879416017314</v>
      </c>
      <c r="E233" s="106">
        <f>E21/E$211</f>
        <v>0.00521478503186275</v>
      </c>
      <c r="F233" s="106">
        <f>F21/F$211</f>
        <v>0.00635622212342312</v>
      </c>
      <c r="G233" s="106">
        <f>G21/G$211</f>
        <v>5.84195543738544e-5</v>
      </c>
      <c r="H233" s="106">
        <f>H21/H$211</f>
        <v>0.000137531822295755</v>
      </c>
      <c r="I233" s="137">
        <f>I21/I$211</f>
        <v>0.000115068647762444</v>
      </c>
      <c r="J233" s="137">
        <f>J21/J$211</f>
        <v>1.65117409761622e-5</v>
      </c>
      <c r="K233" s="137">
        <f>K21/K$211</f>
        <v>0.000730003323893653</v>
      </c>
      <c r="L233" s="137">
        <f>L21/L$211</f>
        <v>0.000449595461014656</v>
      </c>
      <c r="M233" s="137">
        <f>M21/M$211</f>
        <v>0</v>
      </c>
      <c r="N233" s="137">
        <f>N21/N$211</f>
        <v>0</v>
      </c>
      <c r="O233" s="137">
        <f>O21/O$211</f>
        <v>0</v>
      </c>
      <c r="P233" s="137">
        <f>P21/P$211</f>
        <v>0</v>
      </c>
      <c r="Q233" s="137">
        <f>Q21/Q$211</f>
        <v>0</v>
      </c>
      <c r="R233" s="137">
        <f>R21/R$211</f>
        <v>0</v>
      </c>
      <c r="S233" s="137">
        <f>S21/S$211</f>
        <v>0</v>
      </c>
      <c r="T233" s="137">
        <f>T21/T$211</f>
        <v>0</v>
      </c>
      <c r="U233" s="137">
        <f>U21/U$211</f>
        <v>0.0104074419290774</v>
      </c>
      <c r="V233" s="137">
        <f>V21/V$211</f>
        <v>0.00110348792304735</v>
      </c>
      <c r="W233" s="107"/>
      <c r="X233" s="106">
        <f>X21/X$211</f>
        <v>0</v>
      </c>
      <c r="Y233" s="106">
        <f>Y21/Y$211</f>
        <v>0</v>
      </c>
      <c r="Z233" s="106">
        <f>Z21/Z$211</f>
        <v>0</v>
      </c>
      <c r="AA233" s="107"/>
      <c r="AB233" s="106"/>
      <c r="AC233" s="107">
        <f>AC21/AC$211</f>
        <v>0.000128355568664131</v>
      </c>
      <c r="AD233" s="106">
        <f>AD21/AD$211</f>
        <v>0.000194946617167076</v>
      </c>
    </row>
    <row r="234" spans="1:30">
      <c r="A234" s="141" t="s">
        <v>69</v>
      </c>
      <c r="B234" s="146" t="e">
        <f>#REF!/B22-1</f>
        <v>#REF!</v>
      </c>
      <c r="C234" s="106">
        <f>C22/C$211</f>
        <v>0.00152544581746047</v>
      </c>
      <c r="D234" s="106">
        <f>D22/D$211</f>
        <v>0.00175139518007009</v>
      </c>
      <c r="E234" s="106">
        <f>E22/E$211</f>
        <v>0.0124576910121545</v>
      </c>
      <c r="F234" s="106">
        <f>F22/F$211</f>
        <v>0.0152310695330597</v>
      </c>
      <c r="G234" s="106">
        <f>G22/G$211</f>
        <v>0</v>
      </c>
      <c r="H234" s="106">
        <f>H22/H$211</f>
        <v>0</v>
      </c>
      <c r="I234" s="137">
        <f>I22/I$211</f>
        <v>0</v>
      </c>
      <c r="J234" s="137">
        <f>J22/J$211</f>
        <v>0</v>
      </c>
      <c r="K234" s="137">
        <f>K22/K$211</f>
        <v>0</v>
      </c>
      <c r="L234" s="137">
        <f>L22/L$211</f>
        <v>0</v>
      </c>
      <c r="M234" s="137">
        <f>M22/M$211</f>
        <v>0</v>
      </c>
      <c r="N234" s="137">
        <f>N22/N$211</f>
        <v>0</v>
      </c>
      <c r="O234" s="137">
        <f>O22/O$211</f>
        <v>0</v>
      </c>
      <c r="P234" s="137">
        <f>P22/P$211</f>
        <v>0</v>
      </c>
      <c r="Q234" s="137">
        <f>Q22/Q$211</f>
        <v>0</v>
      </c>
      <c r="R234" s="137">
        <f>R22/R$211</f>
        <v>0</v>
      </c>
      <c r="S234" s="137">
        <f>S22/S$211</f>
        <v>0</v>
      </c>
      <c r="T234" s="137">
        <f>T22/T$211</f>
        <v>0</v>
      </c>
      <c r="U234" s="137">
        <f>U22/U$211</f>
        <v>0</v>
      </c>
      <c r="V234" s="137">
        <f>V22/V$211</f>
        <v>0</v>
      </c>
      <c r="W234" s="107"/>
      <c r="X234" s="106">
        <f>X22/X$211</f>
        <v>0</v>
      </c>
      <c r="Y234" s="106">
        <f>Y22/Y$211</f>
        <v>0</v>
      </c>
      <c r="Z234" s="106">
        <f>Z22/Z$211</f>
        <v>0</v>
      </c>
      <c r="AA234" s="107"/>
      <c r="AB234" s="106"/>
      <c r="AC234" s="107">
        <f>AC22/AC$211</f>
        <v>7.1210637088083e-6</v>
      </c>
      <c r="AD234" s="106">
        <f>AD22/AD$211</f>
        <v>0</v>
      </c>
    </row>
    <row r="235" spans="1:30">
      <c r="A235" s="141" t="s">
        <v>71</v>
      </c>
      <c r="B235" s="146" t="e">
        <f>#REF!/B23-1</f>
        <v>#REF!</v>
      </c>
      <c r="C235" s="106">
        <f>C23/C$211</f>
        <v>0.00319936674678116</v>
      </c>
      <c r="D235" s="106">
        <f>D23/D$211</f>
        <v>0.0056581107558328</v>
      </c>
      <c r="E235" s="106">
        <f>E23/E$211</f>
        <v>0.00330804265981077</v>
      </c>
      <c r="F235" s="106">
        <f>F23/F$211</f>
        <v>0.00310957865028103</v>
      </c>
      <c r="G235" s="106">
        <f>G23/G$211</f>
        <v>0.00400785126504638</v>
      </c>
      <c r="H235" s="106">
        <f>H23/H$211</f>
        <v>0.0042644610479908</v>
      </c>
      <c r="I235" s="137">
        <f>I23/I$211</f>
        <v>0.00267974445171971</v>
      </c>
      <c r="J235" s="137">
        <f>J23/J$211</f>
        <v>0.0100355069956723</v>
      </c>
      <c r="K235" s="137">
        <f>K23/K$211</f>
        <v>0.00268148116956778</v>
      </c>
      <c r="L235" s="137">
        <f>L23/L$211</f>
        <v>0.00476905849763538</v>
      </c>
      <c r="M235" s="137">
        <f>M23/M$211</f>
        <v>0.00286114847800542</v>
      </c>
      <c r="N235" s="137">
        <f>N23/N$211</f>
        <v>0.00553319468316243</v>
      </c>
      <c r="O235" s="137">
        <f>O23/O$211</f>
        <v>0.0014789250248366</v>
      </c>
      <c r="P235" s="137">
        <f>P23/P$211</f>
        <v>0.00232331573697181</v>
      </c>
      <c r="Q235" s="137">
        <f>Q23/Q$211</f>
        <v>0.000760636191443362</v>
      </c>
      <c r="R235" s="137">
        <f>R23/R$211</f>
        <v>0.00346458967234679</v>
      </c>
      <c r="S235" s="137">
        <f>S23/S$211</f>
        <v>0.00423158816492726</v>
      </c>
      <c r="T235" s="137">
        <f>T23/T$211</f>
        <v>0.0251653871172867</v>
      </c>
      <c r="U235" s="137">
        <f>U23/U$211</f>
        <v>0.0107176997878243</v>
      </c>
      <c r="V235" s="137">
        <f>V23/V$211</f>
        <v>0.00831006651512137</v>
      </c>
      <c r="W235" s="107"/>
      <c r="X235" s="106">
        <f>X23/X$211</f>
        <v>0.0479845551238645</v>
      </c>
      <c r="Y235" s="106">
        <f>Y23/Y$211</f>
        <v>0.00506951631290971</v>
      </c>
      <c r="Z235" s="106">
        <f>Z23/Z$211</f>
        <v>0.00488187046750926</v>
      </c>
      <c r="AA235" s="107"/>
      <c r="AB235" s="106"/>
      <c r="AC235" s="107">
        <f>AC23/AC$211</f>
        <v>0.00171977800190299</v>
      </c>
      <c r="AD235" s="106">
        <f>AD23/AD$211</f>
        <v>0.00566656048663532</v>
      </c>
    </row>
    <row r="236" spans="1:30">
      <c r="A236" s="141" t="s">
        <v>73</v>
      </c>
      <c r="B236" s="146" t="e">
        <f>#REF!/B24-1</f>
        <v>#REF!</v>
      </c>
      <c r="C236" s="106">
        <f>C24/C$211</f>
        <v>0.00297277153189445</v>
      </c>
      <c r="D236" s="106">
        <f>D24/D$211</f>
        <v>0.00169400104370105</v>
      </c>
      <c r="E236" s="106">
        <f>E24/E$211</f>
        <v>0.00199850411973967</v>
      </c>
      <c r="F236" s="106">
        <f>F24/F$211</f>
        <v>0.0014343622337883</v>
      </c>
      <c r="G236" s="106">
        <f>G24/G$211</f>
        <v>0.000897232749774973</v>
      </c>
      <c r="H236" s="106">
        <f>H24/H$211</f>
        <v>0.000316103283879678</v>
      </c>
      <c r="I236" s="137">
        <f>I24/I$211</f>
        <v>0.00261125503595115</v>
      </c>
      <c r="J236" s="137">
        <f>J24/J$211</f>
        <v>0.00108775806800081</v>
      </c>
      <c r="K236" s="137">
        <f>K24/K$211</f>
        <v>0.00184733417685335</v>
      </c>
      <c r="L236" s="137">
        <f>L24/L$211</f>
        <v>0.00105233616682705</v>
      </c>
      <c r="M236" s="137">
        <f>M24/M$211</f>
        <v>0.00193775857953139</v>
      </c>
      <c r="N236" s="137">
        <f>N24/N$211</f>
        <v>0.00173173680334433</v>
      </c>
      <c r="O236" s="137">
        <f>O24/O$211</f>
        <v>0.00219759248218665</v>
      </c>
      <c r="P236" s="137">
        <f>P24/P$211</f>
        <v>0.00251363367591722</v>
      </c>
      <c r="Q236" s="137">
        <f>Q24/Q$211</f>
        <v>0.00213204083483265</v>
      </c>
      <c r="R236" s="137">
        <f>R24/R$211</f>
        <v>0.00128723610692567</v>
      </c>
      <c r="S236" s="137">
        <f>S24/S$211</f>
        <v>0.00216234539588164</v>
      </c>
      <c r="T236" s="137">
        <f>T24/T$211</f>
        <v>0.00886579229246153</v>
      </c>
      <c r="U236" s="137">
        <f>U24/U$211</f>
        <v>0.00602825978701068</v>
      </c>
      <c r="V236" s="137">
        <f>V24/V$211</f>
        <v>0.00269129272819681</v>
      </c>
      <c r="W236" s="107"/>
      <c r="X236" s="106">
        <f>X24/X$211</f>
        <v>0</v>
      </c>
      <c r="Y236" s="106">
        <f>Y24/Y$211</f>
        <v>0.00909164716135971</v>
      </c>
      <c r="Z236" s="106">
        <f>Z24/Z$211</f>
        <v>0.00587986877865896</v>
      </c>
      <c r="AA236" s="107"/>
      <c r="AB236" s="106"/>
      <c r="AC236" s="107">
        <f>AC24/AC$211</f>
        <v>0.00422368062817054</v>
      </c>
      <c r="AD236" s="106">
        <f>AD24/AD$211</f>
        <v>0.0016134600924934</v>
      </c>
    </row>
    <row r="237" spans="1:30">
      <c r="A237" s="141" t="s">
        <v>75</v>
      </c>
      <c r="B237" s="146" t="e">
        <f>#REF!/B25-1</f>
        <v>#REF!</v>
      </c>
      <c r="C237" s="106">
        <f>C25/C$211</f>
        <v>0.00393921909676339</v>
      </c>
      <c r="D237" s="106">
        <f>D25/D$211</f>
        <v>0.00696480745730527</v>
      </c>
      <c r="E237" s="106">
        <f>E25/E$211</f>
        <v>0</v>
      </c>
      <c r="F237" s="106">
        <f>F25/F$211</f>
        <v>0</v>
      </c>
      <c r="G237" s="106">
        <f>G25/G$211</f>
        <v>0.0129131375270477</v>
      </c>
      <c r="H237" s="106">
        <f>H25/H$211</f>
        <v>0.0253025445368969</v>
      </c>
      <c r="I237" s="137">
        <f>I25/I$211</f>
        <v>0.00931007578752294</v>
      </c>
      <c r="J237" s="137">
        <f>J25/J$211</f>
        <v>1.527244951901e-5</v>
      </c>
      <c r="K237" s="137">
        <f>K25/K$211</f>
        <v>0.00271729720061079</v>
      </c>
      <c r="L237" s="137">
        <f>L25/L$211</f>
        <v>0.0126232997735645</v>
      </c>
      <c r="M237" s="137">
        <f>M25/M$211</f>
        <v>0.000641394547288951</v>
      </c>
      <c r="N237" s="137">
        <f>N25/N$211</f>
        <v>0.000229066088920384</v>
      </c>
      <c r="O237" s="137">
        <f>O25/O$211</f>
        <v>0.00142734639255914</v>
      </c>
      <c r="P237" s="137">
        <f>P25/P$211</f>
        <v>0.00733081342969851</v>
      </c>
      <c r="Q237" s="137">
        <f>Q25/Q$211</f>
        <v>0.00125253278239197</v>
      </c>
      <c r="R237" s="137">
        <f>R25/R$211</f>
        <v>0.0110736983388499</v>
      </c>
      <c r="S237" s="137">
        <f>S25/S$211</f>
        <v>0.0126467658261603</v>
      </c>
      <c r="T237" s="137">
        <f>T25/T$211</f>
        <v>0.0129759745600112</v>
      </c>
      <c r="U237" s="137">
        <f>U25/U$211</f>
        <v>0.00711530518874504</v>
      </c>
      <c r="V237" s="137">
        <f>V25/V$211</f>
        <v>0.0125646781588455</v>
      </c>
      <c r="W237" s="107"/>
      <c r="X237" s="106">
        <f>X25/X$211</f>
        <v>0</v>
      </c>
      <c r="Y237" s="106">
        <f>Y25/Y$211</f>
        <v>0.010799715671223</v>
      </c>
      <c r="Z237" s="106">
        <f>Z25/Z$211</f>
        <v>0</v>
      </c>
      <c r="AA237" s="107"/>
      <c r="AB237" s="106"/>
      <c r="AC237" s="107">
        <f>AC25/AC$211</f>
        <v>0.00479360250545223</v>
      </c>
      <c r="AD237" s="106">
        <f>AD25/AD$211</f>
        <v>0.00824751964851663</v>
      </c>
    </row>
    <row r="238" spans="1:30">
      <c r="A238" s="141" t="s">
        <v>77</v>
      </c>
      <c r="B238" s="146" t="e">
        <f>#REF!/B26-1</f>
        <v>#REF!</v>
      </c>
      <c r="C238" s="106">
        <f>C26/C$211</f>
        <v>0.00956496920513167</v>
      </c>
      <c r="D238" s="106">
        <f>D26/D$211</f>
        <v>0.00913180287751753</v>
      </c>
      <c r="E238" s="106">
        <f>E26/E$211</f>
        <v>0.00798063107208208</v>
      </c>
      <c r="F238" s="106">
        <f>F26/F$211</f>
        <v>0.00870128329014357</v>
      </c>
      <c r="G238" s="106">
        <f>G26/G$211</f>
        <v>0.0409568035559131</v>
      </c>
      <c r="H238" s="106">
        <f>H26/H$211</f>
        <v>0.0495059083147631</v>
      </c>
      <c r="I238" s="137">
        <f>I26/I$211</f>
        <v>0.00844891678177897</v>
      </c>
      <c r="J238" s="137">
        <f>J26/J$211</f>
        <v>0.00700410281547404</v>
      </c>
      <c r="K238" s="137">
        <f>K26/K$211</f>
        <v>0.00445449444796079</v>
      </c>
      <c r="L238" s="137">
        <f>L26/L$211</f>
        <v>0.00334944116533377</v>
      </c>
      <c r="M238" s="137">
        <f>M26/M$211</f>
        <v>0.000662251009204299</v>
      </c>
      <c r="N238" s="137">
        <f>N26/N$211</f>
        <v>0.000506172434072863</v>
      </c>
      <c r="O238" s="137">
        <f>O26/O$211</f>
        <v>0.0118221609963501</v>
      </c>
      <c r="P238" s="137">
        <f>P26/P$211</f>
        <v>0.00996312487211207</v>
      </c>
      <c r="Q238" s="137">
        <f>Q26/Q$211</f>
        <v>0.00609282368478641</v>
      </c>
      <c r="R238" s="137">
        <f>R26/R$211</f>
        <v>0.00470185440102053</v>
      </c>
      <c r="S238" s="137">
        <f>S26/S$211</f>
        <v>0.0164355641786557</v>
      </c>
      <c r="T238" s="137">
        <f>T26/T$211</f>
        <v>0.0115958876215191</v>
      </c>
      <c r="U238" s="137">
        <f>U26/U$211</f>
        <v>0.0100085266738358</v>
      </c>
      <c r="V238" s="137">
        <f>V26/V$211</f>
        <v>0.00757666296874922</v>
      </c>
      <c r="W238" s="107"/>
      <c r="X238" s="106">
        <f>X26/X$211</f>
        <v>0</v>
      </c>
      <c r="Y238" s="106">
        <f>Y26/Y$211</f>
        <v>0.00376643865828607</v>
      </c>
      <c r="Z238" s="106">
        <f>Z26/Z$211</f>
        <v>0.00753157364766618</v>
      </c>
      <c r="AA238" s="107"/>
      <c r="AB238" s="106"/>
      <c r="AC238" s="107">
        <f>AC26/AC$211</f>
        <v>0.0127799543455061</v>
      </c>
      <c r="AD238" s="106">
        <f>AD26/AD$211</f>
        <v>0.0106169610905868</v>
      </c>
    </row>
    <row r="239" spans="1:30">
      <c r="A239" s="141" t="s">
        <v>79</v>
      </c>
      <c r="B239" s="146" t="e">
        <f>#REF!/B27-1</f>
        <v>#REF!</v>
      </c>
      <c r="C239" s="106">
        <f>C27/C$211</f>
        <v>0.000682206851470404</v>
      </c>
      <c r="D239" s="106">
        <f>D27/D$211</f>
        <v>0.000525974423503308</v>
      </c>
      <c r="E239" s="106">
        <f>E27/E$211</f>
        <v>0.00119400034403413</v>
      </c>
      <c r="F239" s="106">
        <f>F27/F$211</f>
        <v>0.00123987355723622</v>
      </c>
      <c r="G239" s="106">
        <f>G27/G$211</f>
        <v>0.00107297746918014</v>
      </c>
      <c r="H239" s="106">
        <f>H27/H$211</f>
        <v>0.000995300687650154</v>
      </c>
      <c r="I239" s="137">
        <f>I27/I$211</f>
        <v>0.000474278634722421</v>
      </c>
      <c r="J239" s="137">
        <f>J27/J$211</f>
        <v>0.000393878343771699</v>
      </c>
      <c r="K239" s="137">
        <f>K27/K$211</f>
        <v>0.000490980609580811</v>
      </c>
      <c r="L239" s="137">
        <f>L27/L$211</f>
        <v>0.000262591792726182</v>
      </c>
      <c r="M239" s="137">
        <f>M27/M$211</f>
        <v>9.76329508263408e-5</v>
      </c>
      <c r="N239" s="137">
        <f>N27/N$211</f>
        <v>8.57163627608922e-5</v>
      </c>
      <c r="O239" s="137">
        <f>O27/O$211</f>
        <v>0.00215637568425544</v>
      </c>
      <c r="P239" s="137">
        <f>P27/P$211</f>
        <v>0.000372568356633446</v>
      </c>
      <c r="Q239" s="137">
        <f>Q27/Q$211</f>
        <v>0.000617339518922408</v>
      </c>
      <c r="R239" s="137">
        <f>R27/R$211</f>
        <v>0.00038367408987143</v>
      </c>
      <c r="S239" s="137">
        <f>S27/S$211</f>
        <v>0.00632314928799377</v>
      </c>
      <c r="T239" s="137">
        <f>T27/T$211</f>
        <v>0.00347816657969173</v>
      </c>
      <c r="U239" s="137">
        <f>U27/U$211</f>
        <v>0.00106415655140124</v>
      </c>
      <c r="V239" s="137">
        <f>V27/V$211</f>
        <v>0.000464294588172417</v>
      </c>
      <c r="W239" s="107"/>
      <c r="X239" s="106">
        <f>X27/X$211</f>
        <v>0</v>
      </c>
      <c r="Y239" s="106">
        <f>Y27/Y$211</f>
        <v>0.000895309471056448</v>
      </c>
      <c r="Z239" s="106">
        <f>Z27/Z$211</f>
        <v>0.0020266431766356</v>
      </c>
      <c r="AA239" s="107"/>
      <c r="AB239" s="106"/>
      <c r="AC239" s="107">
        <f>AC27/AC$211</f>
        <v>0.000495055633757495</v>
      </c>
      <c r="AD239" s="106">
        <f>AD27/AD$211</f>
        <v>0.000372381179171006</v>
      </c>
    </row>
    <row r="240" spans="1:30">
      <c r="A240" s="141" t="s">
        <v>81</v>
      </c>
      <c r="B240" s="146" t="e">
        <f>#REF!/B28-1</f>
        <v>#REF!</v>
      </c>
      <c r="C240" s="106">
        <f>C28/C$211</f>
        <v>0.000232103405980518</v>
      </c>
      <c r="D240" s="106">
        <f>D28/D$211</f>
        <v>0.000234704110962876</v>
      </c>
      <c r="E240" s="106">
        <f>E28/E$211</f>
        <v>0.000237764326919318</v>
      </c>
      <c r="F240" s="106">
        <f>F28/F$211</f>
        <v>0.000307161198206089</v>
      </c>
      <c r="G240" s="106">
        <f>G28/G$211</f>
        <v>0</v>
      </c>
      <c r="H240" s="106">
        <f>H28/H$211</f>
        <v>0</v>
      </c>
      <c r="I240" s="137">
        <f>I28/I$211</f>
        <v>0.000191253743150817</v>
      </c>
      <c r="J240" s="137">
        <f>J28/J$211</f>
        <v>0.000119917508530713</v>
      </c>
      <c r="K240" s="137">
        <f>K28/K$211</f>
        <v>7.97749085462103e-5</v>
      </c>
      <c r="L240" s="137">
        <f>L28/L$211</f>
        <v>5.97195392322038e-5</v>
      </c>
      <c r="M240" s="137">
        <f>M28/M$211</f>
        <v>0.000267554321225469</v>
      </c>
      <c r="N240" s="137">
        <f>N28/N$211</f>
        <v>0.000262109545820224</v>
      </c>
      <c r="O240" s="137">
        <f>O28/O$211</f>
        <v>0</v>
      </c>
      <c r="P240" s="137">
        <f>P28/P$211</f>
        <v>0</v>
      </c>
      <c r="Q240" s="137">
        <f>Q28/Q$211</f>
        <v>0.000102388632110433</v>
      </c>
      <c r="R240" s="137">
        <f>R28/R$211</f>
        <v>0.000117581432786971</v>
      </c>
      <c r="S240" s="137">
        <f>S28/S$211</f>
        <v>6.13431288816115e-5</v>
      </c>
      <c r="T240" s="137">
        <f>T28/T$211</f>
        <v>0.000383589062685841</v>
      </c>
      <c r="U240" s="137">
        <f>U28/U$211</f>
        <v>0.000116843103430731</v>
      </c>
      <c r="V240" s="137">
        <f>V28/V$211</f>
        <v>6.92168634978047e-5</v>
      </c>
      <c r="W240" s="107"/>
      <c r="X240" s="106">
        <f>X28/X$211</f>
        <v>0</v>
      </c>
      <c r="Y240" s="106">
        <f>Y28/Y$211</f>
        <v>0.000135895867866185</v>
      </c>
      <c r="Z240" s="106">
        <f>Z28/Z$211</f>
        <v>1.58563422779988e-5</v>
      </c>
      <c r="AA240" s="107"/>
      <c r="AB240" s="106"/>
      <c r="AC240" s="107">
        <f>AC28/AC$211</f>
        <v>0.000415226814331379</v>
      </c>
      <c r="AD240" s="106">
        <f>AD28/AD$211</f>
        <v>0.000451080542826432</v>
      </c>
    </row>
    <row r="241" spans="1:30">
      <c r="A241" s="141" t="s">
        <v>83</v>
      </c>
      <c r="B241" s="146" t="e">
        <f>#REF!/B29-1</f>
        <v>#REF!</v>
      </c>
      <c r="C241" s="106">
        <f>C29/C$211</f>
        <v>0.0123565341104762</v>
      </c>
      <c r="D241" s="106">
        <f>D29/D$211</f>
        <v>0.0118592471730014</v>
      </c>
      <c r="E241" s="106">
        <f>E29/E$211</f>
        <v>0.0134388345037893</v>
      </c>
      <c r="F241" s="106">
        <f>F29/F$211</f>
        <v>0.0147576387846748</v>
      </c>
      <c r="G241" s="106">
        <f>G29/G$211</f>
        <v>0.0154282423296768</v>
      </c>
      <c r="H241" s="106">
        <f>H29/H$211</f>
        <v>0.0140329572448575</v>
      </c>
      <c r="I241" s="137">
        <f>I29/I$211</f>
        <v>0.0397397136649068</v>
      </c>
      <c r="J241" s="137">
        <f>J29/J$211</f>
        <v>0.0333519740250559</v>
      </c>
      <c r="K241" s="137">
        <f>K29/K$211</f>
        <v>0.0102642589048501</v>
      </c>
      <c r="L241" s="137">
        <f>L29/L$211</f>
        <v>0.00914431020408832</v>
      </c>
      <c r="M241" s="137">
        <f>M29/M$211</f>
        <v>0.00885453369586596</v>
      </c>
      <c r="N241" s="137">
        <f>N29/N$211</f>
        <v>0.0081945932382007</v>
      </c>
      <c r="O241" s="137">
        <f>O29/O$211</f>
        <v>0.0112032163373779</v>
      </c>
      <c r="P241" s="137">
        <f>P29/P$211</f>
        <v>0.011537988679265</v>
      </c>
      <c r="Q241" s="137">
        <f>Q29/Q$211</f>
        <v>0.0103597871414346</v>
      </c>
      <c r="R241" s="137">
        <f>R29/R$211</f>
        <v>0.012122074326598</v>
      </c>
      <c r="S241" s="137">
        <f>S29/S$211</f>
        <v>0.0135242105861661</v>
      </c>
      <c r="T241" s="137">
        <f>T29/T$211</f>
        <v>0.0120462599076822</v>
      </c>
      <c r="U241" s="137">
        <f>U29/U$211</f>
        <v>0.00966731213371091</v>
      </c>
      <c r="V241" s="137">
        <f>V29/V$211</f>
        <v>0.013208549364004</v>
      </c>
      <c r="W241" s="107"/>
      <c r="X241" s="106">
        <f>X29/X$211</f>
        <v>0</v>
      </c>
      <c r="Y241" s="106">
        <f>Y29/Y$211</f>
        <v>0.00426938056672004</v>
      </c>
      <c r="Z241" s="106">
        <f>Z29/Z$211</f>
        <v>0.00640639614308788</v>
      </c>
      <c r="AA241" s="107"/>
      <c r="AB241" s="106"/>
      <c r="AC241" s="107">
        <f>AC29/AC$211</f>
        <v>0.0101886112384855</v>
      </c>
      <c r="AD241" s="106">
        <f>AD29/AD$211</f>
        <v>0.00895064944021437</v>
      </c>
    </row>
    <row r="242" spans="1:30">
      <c r="A242" s="141" t="s">
        <v>85</v>
      </c>
      <c r="B242" s="146" t="e">
        <f>#REF!/B30-1</f>
        <v>#REF!</v>
      </c>
      <c r="C242" s="106">
        <f>C30/C$211</f>
        <v>0.000782813685592381</v>
      </c>
      <c r="D242" s="106">
        <f>D30/D$211</f>
        <v>0.000739361984756854</v>
      </c>
      <c r="E242" s="106">
        <f>E30/E$211</f>
        <v>0.000850225212410668</v>
      </c>
      <c r="F242" s="106">
        <f>F30/F$211</f>
        <v>0.000366551474664601</v>
      </c>
      <c r="G242" s="106">
        <f>G30/G$211</f>
        <v>0.00141570824167619</v>
      </c>
      <c r="H242" s="106">
        <f>H30/H$211</f>
        <v>0.00126227597014323</v>
      </c>
      <c r="I242" s="137">
        <f>I30/I$211</f>
        <v>0.000481358090769785</v>
      </c>
      <c r="J242" s="137">
        <f>J30/J$211</f>
        <v>0.000572144814844013</v>
      </c>
      <c r="K242" s="137">
        <f>K30/K$211</f>
        <v>0.000311267621102009</v>
      </c>
      <c r="L242" s="137">
        <f>L30/L$211</f>
        <v>0.000236736675462759</v>
      </c>
      <c r="M242" s="137">
        <f>M30/M$211</f>
        <v>0.00185441205627445</v>
      </c>
      <c r="N242" s="137">
        <f>N30/N$211</f>
        <v>0.00204997370140123</v>
      </c>
      <c r="O242" s="137">
        <f>O30/O$211</f>
        <v>0.00129945035606388</v>
      </c>
      <c r="P242" s="137">
        <f>P30/P$211</f>
        <v>0.00141067130637852</v>
      </c>
      <c r="Q242" s="137">
        <f>Q30/Q$211</f>
        <v>0.000531034073289926</v>
      </c>
      <c r="R242" s="137">
        <f>R30/R$211</f>
        <v>0.000225605538076716</v>
      </c>
      <c r="S242" s="137">
        <f>S30/S$211</f>
        <v>0.000766789952227441</v>
      </c>
      <c r="T242" s="137">
        <f>T30/T$211</f>
        <v>0.000858835582257352</v>
      </c>
      <c r="U242" s="137">
        <f>U30/U$211</f>
        <v>0</v>
      </c>
      <c r="V242" s="137">
        <f>V30/V$211</f>
        <v>0</v>
      </c>
      <c r="W242" s="107"/>
      <c r="X242" s="106">
        <f>X30/X$211</f>
        <v>0</v>
      </c>
      <c r="Y242" s="106">
        <f>Y30/Y$211</f>
        <v>0</v>
      </c>
      <c r="Z242" s="106">
        <f>Z30/Z$211</f>
        <v>0</v>
      </c>
      <c r="AA242" s="107"/>
      <c r="AB242" s="106"/>
      <c r="AC242" s="107">
        <f>AC30/AC$211</f>
        <v>0.000255513093496081</v>
      </c>
      <c r="AD242" s="106">
        <f>AD30/AD$211</f>
        <v>0.000279244320131224</v>
      </c>
    </row>
    <row r="243" spans="1:30">
      <c r="A243" s="141" t="s">
        <v>87</v>
      </c>
      <c r="B243" s="146" t="e">
        <f>#REF!/B31-1</f>
        <v>#REF!</v>
      </c>
      <c r="C243" s="106">
        <f>C31/C$211</f>
        <v>0.000606361051803981</v>
      </c>
      <c r="D243" s="106">
        <f>D31/D$211</f>
        <v>0.000535539830731251</v>
      </c>
      <c r="E243" s="106">
        <f>E31/E$211</f>
        <v>0.000566993424871035</v>
      </c>
      <c r="F243" s="106">
        <f>F31/F$211</f>
        <v>0.000109860962317631</v>
      </c>
      <c r="G243" s="106">
        <f>G31/G$211</f>
        <v>0.000593929876703268</v>
      </c>
      <c r="H243" s="106">
        <f>H31/H$211</f>
        <v>0.000581212275478056</v>
      </c>
      <c r="I243" s="137">
        <f>I31/I$211</f>
        <v>0.000140267835526664</v>
      </c>
      <c r="J243" s="137">
        <f>J31/J$211</f>
        <v>0.00024562929884112</v>
      </c>
      <c r="K243" s="137">
        <f>K31/K$211</f>
        <v>0.00056624223728515</v>
      </c>
      <c r="L243" s="137">
        <f>L31/L$211</f>
        <v>0.000550320321470106</v>
      </c>
      <c r="M243" s="137">
        <f>M31/M$211</f>
        <v>0.000517641575694431</v>
      </c>
      <c r="N243" s="137">
        <f>N31/N$211</f>
        <v>0.000684649881212495</v>
      </c>
      <c r="O243" s="137">
        <f>O31/O$211</f>
        <v>0.00129157195717602</v>
      </c>
      <c r="P243" s="137">
        <f>P31/P$211</f>
        <v>0.00243606433409049</v>
      </c>
      <c r="Q243" s="137">
        <f>Q31/Q$211</f>
        <v>0.000450092159214346</v>
      </c>
      <c r="R243" s="137">
        <f>R31/R$211</f>
        <v>0.000582207840197977</v>
      </c>
      <c r="S243" s="137">
        <f>S31/S$211</f>
        <v>0.000872137777735962</v>
      </c>
      <c r="T243" s="137">
        <f>T31/T$211</f>
        <v>0.000606950481733836</v>
      </c>
      <c r="U243" s="137">
        <f>U31/U$211</f>
        <v>0.000870189886437699</v>
      </c>
      <c r="V243" s="137">
        <f>V31/V$211</f>
        <v>0.00069240612571382</v>
      </c>
      <c r="W243" s="107"/>
      <c r="X243" s="106">
        <f>X31/X$211</f>
        <v>0</v>
      </c>
      <c r="Y243" s="106">
        <f>Y31/Y$211</f>
        <v>0.00018385769737792</v>
      </c>
      <c r="Z243" s="106">
        <f>Z31/Z$211</f>
        <v>0.00234875117927965</v>
      </c>
      <c r="AA243" s="107"/>
      <c r="AB243" s="106"/>
      <c r="AC243" s="107">
        <f>AC31/AC$211</f>
        <v>0.000567851964533341</v>
      </c>
      <c r="AD243" s="106">
        <f>AD31/AD$211</f>
        <v>0.000335045342976721</v>
      </c>
    </row>
    <row r="244" spans="1:30">
      <c r="A244" s="141" t="s">
        <v>89</v>
      </c>
      <c r="B244" s="146" t="e">
        <f>#REF!/B32-1</f>
        <v>#REF!</v>
      </c>
      <c r="C244" s="106">
        <f>C32/C$211</f>
        <v>0.000599377545105117</v>
      </c>
      <c r="D244" s="106">
        <f>D32/D$211</f>
        <v>0.000497189647081305</v>
      </c>
      <c r="E244" s="106">
        <f>E32/E$211</f>
        <v>0.000204876273142983</v>
      </c>
      <c r="F244" s="106">
        <f>F32/F$211</f>
        <v>0.000184237384042908</v>
      </c>
      <c r="G244" s="106">
        <f>G32/G$211</f>
        <v>0.000976347465501042</v>
      </c>
      <c r="H244" s="106">
        <f>H32/H$211</f>
        <v>0.000773727156604742</v>
      </c>
      <c r="I244" s="137">
        <f>I32/I$211</f>
        <v>0.00111930249335764</v>
      </c>
      <c r="J244" s="137">
        <f>J32/J$211</f>
        <v>0.00122075008467745</v>
      </c>
      <c r="K244" s="137">
        <f>K32/K$211</f>
        <v>0.000200149223038901</v>
      </c>
      <c r="L244" s="137">
        <f>L32/L$211</f>
        <v>0.000280299843720233</v>
      </c>
      <c r="M244" s="137">
        <f>M32/M$211</f>
        <v>0.00085590319296259</v>
      </c>
      <c r="N244" s="137">
        <f>N32/N$211</f>
        <v>0.000771756530343719</v>
      </c>
      <c r="O244" s="137">
        <f>O32/O$211</f>
        <v>0.00300983945144292</v>
      </c>
      <c r="P244" s="137">
        <f>P32/P$211</f>
        <v>0.00162554174710894</v>
      </c>
      <c r="Q244" s="137">
        <f>Q32/Q$211</f>
        <v>0.000645135058150999</v>
      </c>
      <c r="R244" s="137">
        <f>R32/R$211</f>
        <v>0.00040868535288596</v>
      </c>
      <c r="S244" s="137">
        <f>S32/S$211</f>
        <v>0.00158613426233483</v>
      </c>
      <c r="T244" s="137">
        <f>T32/T$211</f>
        <v>0.00135025691234517</v>
      </c>
      <c r="U244" s="137">
        <f>U32/U$211</f>
        <v>0</v>
      </c>
      <c r="V244" s="137">
        <f>V32/V$211</f>
        <v>0</v>
      </c>
      <c r="W244" s="107"/>
      <c r="X244" s="106">
        <f>X32/X$211</f>
        <v>0</v>
      </c>
      <c r="Y244" s="106">
        <f>Y32/Y$211</f>
        <v>0.00209286014641346</v>
      </c>
      <c r="Z244" s="106">
        <f>Z32/Z$211</f>
        <v>0.000218257246891282</v>
      </c>
      <c r="AA244" s="107"/>
      <c r="AB244" s="106"/>
      <c r="AC244" s="107">
        <f>AC32/AC$211</f>
        <v>0.000366172627273659</v>
      </c>
      <c r="AD244" s="106">
        <f>AD32/AD$211</f>
        <v>0.000349038175068419</v>
      </c>
    </row>
    <row r="245" spans="1:30">
      <c r="A245" s="141" t="s">
        <v>91</v>
      </c>
      <c r="B245" s="146" t="e">
        <f>#REF!/B33-1</f>
        <v>#REF!</v>
      </c>
      <c r="C245" s="106">
        <f>C33/C$211</f>
        <v>0.000330600145656981</v>
      </c>
      <c r="D245" s="106">
        <f>D33/D$211</f>
        <v>0.000343390487521483</v>
      </c>
      <c r="E245" s="106">
        <f>E33/E$211</f>
        <v>0.00260029913071535</v>
      </c>
      <c r="F245" s="106">
        <f>F33/F$211</f>
        <v>0.00287572983728822</v>
      </c>
      <c r="G245" s="106">
        <f>G33/G$211</f>
        <v>0</v>
      </c>
      <c r="H245" s="106">
        <f>H33/H$211</f>
        <v>0</v>
      </c>
      <c r="I245" s="137">
        <f>I33/I$211</f>
        <v>0</v>
      </c>
      <c r="J245" s="137">
        <f>J33/J$211</f>
        <v>0</v>
      </c>
      <c r="K245" s="137">
        <f>K33/K$211</f>
        <v>0</v>
      </c>
      <c r="L245" s="137">
        <f>L33/L$211</f>
        <v>0</v>
      </c>
      <c r="M245" s="137">
        <f>M33/M$211</f>
        <v>0</v>
      </c>
      <c r="N245" s="137">
        <f>N33/N$211</f>
        <v>0</v>
      </c>
      <c r="O245" s="137">
        <f>O33/O$211</f>
        <v>0</v>
      </c>
      <c r="P245" s="137">
        <f>P33/P$211</f>
        <v>0</v>
      </c>
      <c r="Q245" s="137">
        <f>Q33/Q$211</f>
        <v>0</v>
      </c>
      <c r="R245" s="137">
        <f>R33/R$211</f>
        <v>0</v>
      </c>
      <c r="S245" s="137">
        <f>S33/S$211</f>
        <v>0</v>
      </c>
      <c r="T245" s="137">
        <f>T33/T$211</f>
        <v>0</v>
      </c>
      <c r="U245" s="137">
        <f>U33/U$211</f>
        <v>0</v>
      </c>
      <c r="V245" s="137">
        <f>V33/V$211</f>
        <v>0</v>
      </c>
      <c r="W245" s="107"/>
      <c r="X245" s="106">
        <f>X33/X$211</f>
        <v>0</v>
      </c>
      <c r="Y245" s="106">
        <f>Y33/Y$211</f>
        <v>0</v>
      </c>
      <c r="Z245" s="106">
        <f>Z33/Z$211</f>
        <v>0</v>
      </c>
      <c r="AA245" s="107"/>
      <c r="AB245" s="106"/>
      <c r="AC245" s="107">
        <f>AC33/AC$211</f>
        <v>4.75239552364405e-5</v>
      </c>
      <c r="AD245" s="106">
        <f>AD33/AD$211</f>
        <v>5.22956858129943e-5</v>
      </c>
    </row>
    <row r="246" spans="1:30">
      <c r="A246" s="141" t="s">
        <v>93</v>
      </c>
      <c r="B246" s="146" t="e">
        <f>#REF!/B34-1</f>
        <v>#REF!</v>
      </c>
      <c r="C246" s="106">
        <f>C34/C$211</f>
        <v>0.00310763539154119</v>
      </c>
      <c r="D246" s="106">
        <f>D34/D$211</f>
        <v>0.00310290840684314</v>
      </c>
      <c r="E246" s="106">
        <f>E34/E$211</f>
        <v>0.00106096683719896</v>
      </c>
      <c r="F246" s="106">
        <f>F34/F$211</f>
        <v>0.00536072828666885</v>
      </c>
      <c r="G246" s="106">
        <f>G34/G$211</f>
        <v>0.0046989171613713</v>
      </c>
      <c r="H246" s="106">
        <f>H34/H$211</f>
        <v>0.0061490951991988</v>
      </c>
      <c r="I246" s="137">
        <f>I34/I$211</f>
        <v>0.00268256954819143</v>
      </c>
      <c r="J246" s="137">
        <f>J34/J$211</f>
        <v>0.000125341189056717</v>
      </c>
      <c r="K246" s="137">
        <f>K34/K$211</f>
        <v>0.00138580835623661</v>
      </c>
      <c r="L246" s="137">
        <f>L34/L$211</f>
        <v>0.00190570968737673</v>
      </c>
      <c r="M246" s="137">
        <f>M34/M$211</f>
        <v>0</v>
      </c>
      <c r="N246" s="137">
        <f>N34/N$211</f>
        <v>0</v>
      </c>
      <c r="O246" s="137">
        <f>O34/O$211</f>
        <v>0.000942377910884953</v>
      </c>
      <c r="P246" s="137">
        <f>P34/P$211</f>
        <v>0.00248080602173962</v>
      </c>
      <c r="Q246" s="137">
        <f>Q34/Q$211</f>
        <v>0.00401393663299351</v>
      </c>
      <c r="R246" s="137">
        <f>R34/R$211</f>
        <v>0.00413731446440688</v>
      </c>
      <c r="S246" s="137">
        <f>S34/S$211</f>
        <v>0</v>
      </c>
      <c r="T246" s="137">
        <f>T34/T$211</f>
        <v>0</v>
      </c>
      <c r="U246" s="137">
        <f>U34/U$211</f>
        <v>0</v>
      </c>
      <c r="V246" s="137">
        <f>V34/V$211</f>
        <v>0.0073238638943256</v>
      </c>
      <c r="W246" s="107"/>
      <c r="X246" s="106">
        <f>X34/X$211</f>
        <v>0.0166172353069673</v>
      </c>
      <c r="Y246" s="106">
        <f>Y34/Y$211</f>
        <v>0.0113002511635543</v>
      </c>
      <c r="Z246" s="106">
        <f>Z34/Z$211</f>
        <v>0.00687228432308168</v>
      </c>
      <c r="AA246" s="107"/>
      <c r="AB246" s="106"/>
      <c r="AC246" s="107">
        <f>AC34/AC$211</f>
        <v>0.0074204174949703</v>
      </c>
      <c r="AD246" s="106">
        <f>AD34/AD$211</f>
        <v>0.00316012128175771</v>
      </c>
    </row>
    <row r="247" spans="1:30">
      <c r="A247" s="141" t="s">
        <v>95</v>
      </c>
      <c r="B247" s="146" t="e">
        <f>#REF!/B35-1</f>
        <v>#REF!</v>
      </c>
      <c r="C247" s="106">
        <f>C35/C$211</f>
        <v>0.00252680474599305</v>
      </c>
      <c r="D247" s="106">
        <f>D35/D$211</f>
        <v>0.00184343991805748</v>
      </c>
      <c r="E247" s="106">
        <f>E35/E$211</f>
        <v>0.00221065679362513</v>
      </c>
      <c r="F247" s="106">
        <f>F35/F$211</f>
        <v>0.000621587612507739</v>
      </c>
      <c r="G247" s="106">
        <f>G35/G$211</f>
        <v>0.00174456558221335</v>
      </c>
      <c r="H247" s="106">
        <f>H35/H$211</f>
        <v>0.0022276752462958</v>
      </c>
      <c r="I247" s="137">
        <f>I35/I$211</f>
        <v>0.00221750274608735</v>
      </c>
      <c r="J247" s="137">
        <f>J35/J$211</f>
        <v>0.0010742005239666</v>
      </c>
      <c r="K247" s="137">
        <f>K35/K$211</f>
        <v>0.00226664808004121</v>
      </c>
      <c r="L247" s="137">
        <f>L35/L$211</f>
        <v>0.00197483576621139</v>
      </c>
      <c r="M247" s="137">
        <f>M35/M$211</f>
        <v>0.00153093873922631</v>
      </c>
      <c r="N247" s="137">
        <f>N35/N$211</f>
        <v>0.00147566868853337</v>
      </c>
      <c r="O247" s="137">
        <f>O35/O$211</f>
        <v>6.46856679689945e-5</v>
      </c>
      <c r="P247" s="137">
        <f>P35/P$211</f>
        <v>0.00042727391680695</v>
      </c>
      <c r="Q247" s="137">
        <f>Q35/Q$211</f>
        <v>0.00135423245257589</v>
      </c>
      <c r="R247" s="137">
        <f>R35/R$211</f>
        <v>0.00144534849967221</v>
      </c>
      <c r="S247" s="137">
        <f>S35/S$211</f>
        <v>0.00839665550269199</v>
      </c>
      <c r="T247" s="137">
        <f>T35/T$211</f>
        <v>0.00563573153995092</v>
      </c>
      <c r="U247" s="137">
        <f>U35/U$211</f>
        <v>0.00787210707713825</v>
      </c>
      <c r="V247" s="137">
        <f>V35/V$211</f>
        <v>0.00548236160074799</v>
      </c>
      <c r="W247" s="107"/>
      <c r="X247" s="106">
        <f>X35/X$211</f>
        <v>0.0265875764911477</v>
      </c>
      <c r="Y247" s="106">
        <f>Y35/Y$211</f>
        <v>0.00168136904406184</v>
      </c>
      <c r="Z247" s="106">
        <f>Z35/Z$211</f>
        <v>0.00400833616448756</v>
      </c>
      <c r="AA247" s="107"/>
      <c r="AB247" s="106"/>
      <c r="AC247" s="107">
        <f>AC35/AC$211</f>
        <v>0.00245151284773875</v>
      </c>
      <c r="AD247" s="106">
        <f>AD35/AD$211</f>
        <v>0.00134909342745956</v>
      </c>
    </row>
    <row r="248" spans="1:30">
      <c r="A248" s="141" t="s">
        <v>97</v>
      </c>
      <c r="B248" s="146" t="e">
        <f>#REF!/B36-1</f>
        <v>#REF!</v>
      </c>
      <c r="C248" s="106">
        <f>C36/C$211</f>
        <v>4.35941444320323e-5</v>
      </c>
      <c r="D248" s="106">
        <f>D36/D$211</f>
        <v>4.09684028370213e-5</v>
      </c>
      <c r="E248" s="106">
        <f>E36/E$211</f>
        <v>6.28742983576849e-5</v>
      </c>
      <c r="F248" s="106">
        <f>F36/F$211</f>
        <v>1.23347271415351e-5</v>
      </c>
      <c r="G248" s="106">
        <f>G36/G$211</f>
        <v>0</v>
      </c>
      <c r="H248" s="106">
        <f>H36/H$211</f>
        <v>0</v>
      </c>
      <c r="I248" s="137">
        <f>I36/I$211</f>
        <v>0</v>
      </c>
      <c r="J248" s="137">
        <f>J36/J$211</f>
        <v>0</v>
      </c>
      <c r="K248" s="137">
        <f>K36/K$211</f>
        <v>0</v>
      </c>
      <c r="L248" s="137">
        <f>L36/L$211</f>
        <v>0</v>
      </c>
      <c r="M248" s="137">
        <f>M36/M$211</f>
        <v>7.97464412820617e-6</v>
      </c>
      <c r="N248" s="137">
        <f>N36/N$211</f>
        <v>2.20033398347095e-6</v>
      </c>
      <c r="O248" s="137">
        <f>O36/O$211</f>
        <v>0</v>
      </c>
      <c r="P248" s="137">
        <f>P36/P$211</f>
        <v>0.00139046780515375</v>
      </c>
      <c r="Q248" s="137">
        <f>Q36/Q$211</f>
        <v>0</v>
      </c>
      <c r="R248" s="137">
        <f>R36/R$211</f>
        <v>0</v>
      </c>
      <c r="S248" s="137">
        <f>S36/S$211</f>
        <v>0</v>
      </c>
      <c r="T248" s="137">
        <f>T36/T$211</f>
        <v>0</v>
      </c>
      <c r="U248" s="137">
        <f>U36/U$211</f>
        <v>0</v>
      </c>
      <c r="V248" s="137">
        <f>V36/V$211</f>
        <v>0</v>
      </c>
      <c r="W248" s="107"/>
      <c r="X248" s="106">
        <f>X36/X$211</f>
        <v>0</v>
      </c>
      <c r="Y248" s="106">
        <f>Y36/Y$211</f>
        <v>0</v>
      </c>
      <c r="Z248" s="106">
        <f>Z36/Z$211</f>
        <v>0</v>
      </c>
      <c r="AA248" s="107"/>
      <c r="AB248" s="106"/>
      <c r="AC248" s="107">
        <f>AC36/AC$211</f>
        <v>0.000129279816767784</v>
      </c>
      <c r="AD248" s="106">
        <f>AD36/AD$211</f>
        <v>0.000100711002908649</v>
      </c>
    </row>
    <row r="249" spans="1:30">
      <c r="A249" s="141" t="s">
        <v>99</v>
      </c>
      <c r="B249" s="146" t="e">
        <f>#REF!/B37-1</f>
        <v>#REF!</v>
      </c>
      <c r="C249" s="106">
        <f>C37/C$211</f>
        <v>4.64817284830387e-5</v>
      </c>
      <c r="D249" s="106">
        <f>D37/D$211</f>
        <v>3.38729321537306e-5</v>
      </c>
      <c r="E249" s="106">
        <f>E37/E$211</f>
        <v>0</v>
      </c>
      <c r="F249" s="106">
        <f>F37/F$211</f>
        <v>0</v>
      </c>
      <c r="G249" s="106">
        <f>G37/G$211</f>
        <v>0</v>
      </c>
      <c r="H249" s="106">
        <f>H37/H$211</f>
        <v>0</v>
      </c>
      <c r="I249" s="137">
        <f>I37/I$211</f>
        <v>0.000158680328241217</v>
      </c>
      <c r="J249" s="137">
        <f>J37/J$211</f>
        <v>0.000146143430694554</v>
      </c>
      <c r="K249" s="137">
        <f>K37/K$211</f>
        <v>3.70574414126293e-5</v>
      </c>
      <c r="L249" s="137">
        <f>L37/L$211</f>
        <v>4.57568094920525e-5</v>
      </c>
      <c r="M249" s="137">
        <f>M37/M$211</f>
        <v>6.1343334263464e-7</v>
      </c>
      <c r="N249" s="137">
        <f>N37/N$211</f>
        <v>0</v>
      </c>
      <c r="O249" s="137">
        <f>O37/O$211</f>
        <v>0</v>
      </c>
      <c r="P249" s="137">
        <f>P37/P$211</f>
        <v>0</v>
      </c>
      <c r="Q249" s="137">
        <f>Q37/Q$211</f>
        <v>0</v>
      </c>
      <c r="R249" s="137">
        <f>R37/R$211</f>
        <v>0</v>
      </c>
      <c r="S249" s="137">
        <f>S37/S$211</f>
        <v>0.000199363460479707</v>
      </c>
      <c r="T249" s="137">
        <f>T37/T$211</f>
        <v>0.000702684601843809</v>
      </c>
      <c r="U249" s="137">
        <f>U37/U$211</f>
        <v>0.000327087847600776</v>
      </c>
      <c r="V249" s="137">
        <f>V37/V$211</f>
        <v>0.000130057927429412</v>
      </c>
      <c r="W249" s="107"/>
      <c r="X249" s="106">
        <f>X37/X$211</f>
        <v>0</v>
      </c>
      <c r="Y249" s="106">
        <f>Y37/Y$211</f>
        <v>0</v>
      </c>
      <c r="Z249" s="106">
        <f>Z37/Z$211</f>
        <v>0</v>
      </c>
      <c r="AA249" s="107"/>
      <c r="AB249" s="106"/>
      <c r="AC249" s="107">
        <f>AC37/AC$211</f>
        <v>1.63882330501398e-5</v>
      </c>
      <c r="AD249" s="106">
        <f>AD37/AD$211</f>
        <v>1.46530886437127e-5</v>
      </c>
    </row>
    <row r="250" spans="1:30">
      <c r="A250" s="141" t="s">
        <v>101</v>
      </c>
      <c r="B250" s="146" t="e">
        <f>#REF!/B38-1</f>
        <v>#REF!</v>
      </c>
      <c r="C250" s="106">
        <f>C38/C$211</f>
        <v>0</v>
      </c>
      <c r="D250" s="106">
        <f>D38/D$211</f>
        <v>0</v>
      </c>
      <c r="E250" s="106">
        <f>E38/E$211</f>
        <v>0</v>
      </c>
      <c r="F250" s="106">
        <f>F38/F$211</f>
        <v>0</v>
      </c>
      <c r="G250" s="106">
        <f>G38/G$211</f>
        <v>0</v>
      </c>
      <c r="H250" s="106">
        <f>H38/H$211</f>
        <v>0</v>
      </c>
      <c r="I250" s="137">
        <f>I38/I$211</f>
        <v>0</v>
      </c>
      <c r="J250" s="137">
        <f>J38/J$211</f>
        <v>0</v>
      </c>
      <c r="K250" s="137">
        <f>K38/K$211</f>
        <v>0</v>
      </c>
      <c r="L250" s="137">
        <f>L38/L$211</f>
        <v>0</v>
      </c>
      <c r="M250" s="137">
        <f>M38/M$211</f>
        <v>0</v>
      </c>
      <c r="N250" s="137">
        <f>N38/N$211</f>
        <v>0</v>
      </c>
      <c r="O250" s="137">
        <f>O38/O$211</f>
        <v>0</v>
      </c>
      <c r="P250" s="137">
        <f>P38/P$211</f>
        <v>0</v>
      </c>
      <c r="Q250" s="137">
        <f>Q38/Q$211</f>
        <v>0</v>
      </c>
      <c r="R250" s="137">
        <f>R38/R$211</f>
        <v>0</v>
      </c>
      <c r="S250" s="137">
        <f>S38/S$211</f>
        <v>0</v>
      </c>
      <c r="T250" s="137">
        <f>T38/T$211</f>
        <v>0</v>
      </c>
      <c r="U250" s="137">
        <f>U38/U$211</f>
        <v>0</v>
      </c>
      <c r="V250" s="137">
        <f>V38/V$211</f>
        <v>0</v>
      </c>
      <c r="W250" s="107"/>
      <c r="X250" s="106">
        <f>X38/X$211</f>
        <v>0</v>
      </c>
      <c r="Y250" s="106">
        <f>Y38/Y$211</f>
        <v>0</v>
      </c>
      <c r="Z250" s="106">
        <f>Z38/Z$211</f>
        <v>0</v>
      </c>
      <c r="AA250" s="107"/>
      <c r="AB250" s="106"/>
      <c r="AC250" s="107">
        <f>AC38/AC$211</f>
        <v>0</v>
      </c>
      <c r="AD250" s="106">
        <f>AD38/AD$211</f>
        <v>0</v>
      </c>
    </row>
    <row r="251" spans="1:30">
      <c r="A251" s="141" t="s">
        <v>103</v>
      </c>
      <c r="B251" s="146" t="e">
        <f>#REF!/B39-1</f>
        <v>#REF!</v>
      </c>
      <c r="C251" s="106">
        <f>C39/C$211</f>
        <v>0.00163822147445491</v>
      </c>
      <c r="D251" s="106">
        <f>D39/D$211</f>
        <v>0.00210028010650653</v>
      </c>
      <c r="E251" s="106">
        <f>E39/E$211</f>
        <v>0</v>
      </c>
      <c r="F251" s="106">
        <f>F39/F$211</f>
        <v>0</v>
      </c>
      <c r="G251" s="106">
        <f>G39/G$211</f>
        <v>0.00822164482360047</v>
      </c>
      <c r="H251" s="106">
        <f>H39/H$211</f>
        <v>0.01031186129017</v>
      </c>
      <c r="I251" s="137">
        <f>I39/I$211</f>
        <v>0.00457918695486162</v>
      </c>
      <c r="J251" s="137">
        <f>J39/J$211</f>
        <v>0.000955231712669048</v>
      </c>
      <c r="K251" s="137">
        <f>K39/K$211</f>
        <v>0.00252527443726484</v>
      </c>
      <c r="L251" s="137">
        <f>L39/L$211</f>
        <v>0.00127316223054736</v>
      </c>
      <c r="M251" s="137">
        <f>M39/M$211</f>
        <v>0.00043001748671417</v>
      </c>
      <c r="N251" s="137">
        <f>N39/N$211</f>
        <v>0.00195169250096479</v>
      </c>
      <c r="O251" s="137">
        <f>O39/O$211</f>
        <v>0.001245208457407</v>
      </c>
      <c r="P251" s="137">
        <f>P39/P$211</f>
        <v>0.00135733469810903</v>
      </c>
      <c r="Q251" s="137">
        <f>Q39/Q$211</f>
        <v>0.00358966943373408</v>
      </c>
      <c r="R251" s="137">
        <f>R39/R$211</f>
        <v>0.00503791721721313</v>
      </c>
      <c r="S251" s="137">
        <f>S39/S$211</f>
        <v>0</v>
      </c>
      <c r="T251" s="137">
        <f>T39/T$211</f>
        <v>0</v>
      </c>
      <c r="U251" s="137">
        <f>U39/U$211</f>
        <v>0</v>
      </c>
      <c r="V251" s="137">
        <f>V39/V$211</f>
        <v>0</v>
      </c>
      <c r="W251" s="107"/>
      <c r="X251" s="106">
        <f>X39/X$211</f>
        <v>0</v>
      </c>
      <c r="Y251" s="106">
        <f>Y39/Y$211</f>
        <v>0.000967252566927252</v>
      </c>
      <c r="Z251" s="106">
        <f>Z39/Z$211</f>
        <v>0.00133751928188442</v>
      </c>
      <c r="AA251" s="107"/>
      <c r="AB251" s="106"/>
      <c r="AC251" s="107">
        <f>AC39/AC$211</f>
        <v>0.00109596836592207</v>
      </c>
      <c r="AD251" s="106">
        <f>AD39/AD$211</f>
        <v>0.00129810470302468</v>
      </c>
    </row>
    <row r="252" spans="1:30">
      <c r="A252" s="141" t="s">
        <v>105</v>
      </c>
      <c r="B252" s="146" t="e">
        <f>#REF!/B40-1</f>
        <v>#REF!</v>
      </c>
      <c r="C252" s="106">
        <f>C40/C$211</f>
        <v>0.00078529674672825</v>
      </c>
      <c r="D252" s="106">
        <f>D40/D$211</f>
        <v>0.000538946853004373</v>
      </c>
      <c r="E252" s="106">
        <f>E40/E$211</f>
        <v>0.000436172235779842</v>
      </c>
      <c r="F252" s="106">
        <f>F40/F$211</f>
        <v>0.000529838964648866</v>
      </c>
      <c r="G252" s="106">
        <f>G40/G$211</f>
        <v>6.41408770898129e-5</v>
      </c>
      <c r="H252" s="106">
        <f>H40/H$211</f>
        <v>3.40410168093206e-5</v>
      </c>
      <c r="I252" s="137">
        <f>I40/I$211</f>
        <v>4.27885484948488e-5</v>
      </c>
      <c r="J252" s="137">
        <f>J40/J$211</f>
        <v>7.27679537152754e-5</v>
      </c>
      <c r="K252" s="137">
        <f>K40/K$211</f>
        <v>0.000301438065572367</v>
      </c>
      <c r="L252" s="137">
        <f>L40/L$211</f>
        <v>0.000298969390085672</v>
      </c>
      <c r="M252" s="137">
        <f>M40/M$211</f>
        <v>0.000668984930127272</v>
      </c>
      <c r="N252" s="137">
        <f>N40/N$211</f>
        <v>0.000607138167033898</v>
      </c>
      <c r="O252" s="137">
        <f>O40/O$211</f>
        <v>0.000263839135747846</v>
      </c>
      <c r="P252" s="137">
        <f>P40/P$211</f>
        <v>0.000501709015866089</v>
      </c>
      <c r="Q252" s="137">
        <f>Q40/Q$211</f>
        <v>0</v>
      </c>
      <c r="R252" s="137">
        <f>R40/R$211</f>
        <v>0</v>
      </c>
      <c r="S252" s="137">
        <f>S40/S$211</f>
        <v>0.00240506500315284</v>
      </c>
      <c r="T252" s="137">
        <f>T40/T$211</f>
        <v>0.00169185933728416</v>
      </c>
      <c r="U252" s="137">
        <f>U40/U$211</f>
        <v>0.00605323041009401</v>
      </c>
      <c r="V252" s="137">
        <f>V40/V$211</f>
        <v>0.00305797216370468</v>
      </c>
      <c r="W252" s="107"/>
      <c r="X252" s="106">
        <f>X40/X$211</f>
        <v>0</v>
      </c>
      <c r="Y252" s="106">
        <f>Y40/Y$211</f>
        <v>0</v>
      </c>
      <c r="Z252" s="106">
        <f>Z40/Z$211</f>
        <v>0.000606990687398011</v>
      </c>
      <c r="AA252" s="107"/>
      <c r="AB252" s="106"/>
      <c r="AC252" s="107">
        <f>AC40/AC$211</f>
        <v>8.23360613685304e-5</v>
      </c>
      <c r="AD252" s="106">
        <f>AD40/AD$211</f>
        <v>0.000193288833305849</v>
      </c>
    </row>
    <row r="253" spans="1:30">
      <c r="A253" s="141" t="s">
        <v>107</v>
      </c>
      <c r="B253" s="146" t="e">
        <f>#REF!/B41-1</f>
        <v>#REF!</v>
      </c>
      <c r="C253" s="106">
        <f>C41/C$211</f>
        <v>7.83560561945395e-5</v>
      </c>
      <c r="D253" s="106">
        <f>D41/D$211</f>
        <v>6.02414083044682e-5</v>
      </c>
      <c r="E253" s="106">
        <f>E41/E$211</f>
        <v>0</v>
      </c>
      <c r="F253" s="106">
        <f>F41/F$211</f>
        <v>0</v>
      </c>
      <c r="G253" s="106">
        <f>G41/G$211</f>
        <v>0.000136313283437962</v>
      </c>
      <c r="H253" s="106">
        <f>H41/H$211</f>
        <v>8.78375380406936e-6</v>
      </c>
      <c r="I253" s="137">
        <f>I41/I$211</f>
        <v>3.13519487805488e-5</v>
      </c>
      <c r="J253" s="137">
        <f>J41/J$211</f>
        <v>2.03376659154929e-5</v>
      </c>
      <c r="K253" s="137">
        <f>K41/K$211</f>
        <v>0</v>
      </c>
      <c r="L253" s="137">
        <f>L41/L$211</f>
        <v>0</v>
      </c>
      <c r="M253" s="137">
        <f>M41/M$211</f>
        <v>0.000164272278319244</v>
      </c>
      <c r="N253" s="137">
        <f>N41/N$211</f>
        <v>9.63517009090837e-5</v>
      </c>
      <c r="O253" s="137">
        <f>O41/O$211</f>
        <v>0.000847528438853946</v>
      </c>
      <c r="P253" s="137">
        <f>P41/P$211</f>
        <v>0.00106081042700709</v>
      </c>
      <c r="Q253" s="137">
        <f>Q41/Q$211</f>
        <v>9.67065482649296e-5</v>
      </c>
      <c r="R253" s="137">
        <f>R41/R$211</f>
        <v>0.0001047652612043</v>
      </c>
      <c r="S253" s="137">
        <f>S41/S$211</f>
        <v>0</v>
      </c>
      <c r="T253" s="137">
        <f>T41/T$211</f>
        <v>0</v>
      </c>
      <c r="U253" s="137">
        <f>U41/U$211</f>
        <v>2.62357545668875e-5</v>
      </c>
      <c r="V253" s="137">
        <f>V41/V$211</f>
        <v>0.000123151339013046</v>
      </c>
      <c r="W253" s="107"/>
      <c r="X253" s="106">
        <f>X41/X$211</f>
        <v>0</v>
      </c>
      <c r="Y253" s="106">
        <f>Y41/Y$211</f>
        <v>0</v>
      </c>
      <c r="Z253" s="106">
        <f>Z41/Z$211</f>
        <v>0</v>
      </c>
      <c r="AA253" s="107"/>
      <c r="AB253" s="106"/>
      <c r="AC253" s="107">
        <f>AC41/AC$211</f>
        <v>2.24007807254049e-5</v>
      </c>
      <c r="AD253" s="106">
        <f>AD41/AD$211</f>
        <v>3.1304652401345e-5</v>
      </c>
    </row>
    <row r="254" spans="1:30">
      <c r="A254" s="141" t="s">
        <v>109</v>
      </c>
      <c r="B254" s="146" t="e">
        <f>#REF!/B42-1</f>
        <v>#REF!</v>
      </c>
      <c r="C254" s="106">
        <f>C42/C$211</f>
        <v>0.000425227919140036</v>
      </c>
      <c r="D254" s="106">
        <f>D42/D$211</f>
        <v>0.000411737869397131</v>
      </c>
      <c r="E254" s="106">
        <f>E42/E$211</f>
        <v>0.000209051394104666</v>
      </c>
      <c r="F254" s="106">
        <f>F42/F$211</f>
        <v>0.000175791961573416</v>
      </c>
      <c r="G254" s="106">
        <f>G42/G$211</f>
        <v>0.000543059622260887</v>
      </c>
      <c r="H254" s="106">
        <f>H42/H$211</f>
        <v>0.000575209446594164</v>
      </c>
      <c r="I254" s="137">
        <f>I42/I$211</f>
        <v>0.000473431249482602</v>
      </c>
      <c r="J254" s="137">
        <f>J42/J$211</f>
        <v>0.000644403631211138</v>
      </c>
      <c r="K254" s="137">
        <f>K42/K$211</f>
        <v>0.000361645151251542</v>
      </c>
      <c r="L254" s="137">
        <f>L42/L$211</f>
        <v>0.000268186925314059</v>
      </c>
      <c r="M254" s="137">
        <f>M42/M$211</f>
        <v>0.000395941842616502</v>
      </c>
      <c r="N254" s="137">
        <f>N42/N$211</f>
        <v>0.000371490564755623</v>
      </c>
      <c r="O254" s="137">
        <f>O42/O$211</f>
        <v>0.000556905288593963</v>
      </c>
      <c r="P254" s="137">
        <f>P42/P$211</f>
        <v>0.00101243423515082</v>
      </c>
      <c r="Q254" s="137">
        <f>Q42/Q$211</f>
        <v>0.000621569596987314</v>
      </c>
      <c r="R254" s="137">
        <f>R42/R$211</f>
        <v>0.000441617214529688</v>
      </c>
      <c r="S254" s="137">
        <f>S42/S$211</f>
        <v>0.000288703360666762</v>
      </c>
      <c r="T254" s="137">
        <f>T42/T$211</f>
        <v>0.000270886242111398</v>
      </c>
      <c r="U254" s="137">
        <f>U42/U$211</f>
        <v>0.000893928068990322</v>
      </c>
      <c r="V254" s="137">
        <f>V42/V$211</f>
        <v>0.000867013844304318</v>
      </c>
      <c r="W254" s="107"/>
      <c r="X254" s="106">
        <f>X42/X$211</f>
        <v>0</v>
      </c>
      <c r="Y254" s="106">
        <f>Y42/Y$211</f>
        <v>0.00267990616095907</v>
      </c>
      <c r="Z254" s="106">
        <f>Z42/Z$211</f>
        <v>0.00194947933863497</v>
      </c>
      <c r="AA254" s="107"/>
      <c r="AB254" s="106"/>
      <c r="AC254" s="107">
        <f>AC42/AC$211</f>
        <v>0.000207657704273346</v>
      </c>
      <c r="AD254" s="106">
        <f>AD42/AD$211</f>
        <v>0.000187975067677417</v>
      </c>
    </row>
    <row r="255" spans="1:30">
      <c r="A255" s="141" t="s">
        <v>111</v>
      </c>
      <c r="B255" s="146" t="e">
        <f>#REF!/B43-1</f>
        <v>#REF!</v>
      </c>
      <c r="C255" s="106">
        <f>C43/C$211</f>
        <v>0.0012166150547392</v>
      </c>
      <c r="D255" s="106">
        <f>D43/D$211</f>
        <v>0.00205508897771636</v>
      </c>
      <c r="E255" s="106">
        <f>E43/E$211</f>
        <v>0</v>
      </c>
      <c r="F255" s="106">
        <f>F43/F$211</f>
        <v>0.0013277406666391</v>
      </c>
      <c r="G255" s="106">
        <f>G43/G$211</f>
        <v>0.00290200877878854</v>
      </c>
      <c r="H255" s="106">
        <f>H43/H$211</f>
        <v>0.00380086643885229</v>
      </c>
      <c r="I255" s="137">
        <f>I43/I$211</f>
        <v>0.00208389607473531</v>
      </c>
      <c r="J255" s="137">
        <f>J43/J$211</f>
        <v>0.00169519862985195</v>
      </c>
      <c r="K255" s="137">
        <f>K43/K$211</f>
        <v>0.000226040604651497</v>
      </c>
      <c r="L255" s="137">
        <f>L43/L$211</f>
        <v>0.00181624318432295</v>
      </c>
      <c r="M255" s="137">
        <f>M43/M$211</f>
        <v>0.00185441196284442</v>
      </c>
      <c r="N255" s="137">
        <f>N43/N$211</f>
        <v>0.0015211612067558</v>
      </c>
      <c r="O255" s="137">
        <f>O43/O$211</f>
        <v>0</v>
      </c>
      <c r="P255" s="137">
        <f>P43/P$211</f>
        <v>0.000744296798920363</v>
      </c>
      <c r="Q255" s="137">
        <f>Q43/Q$211</f>
        <v>0.00111462927419895</v>
      </c>
      <c r="R255" s="137">
        <f>R43/R$211</f>
        <v>0.00189399488014404</v>
      </c>
      <c r="S255" s="137">
        <f>S43/S$211</f>
        <v>0.00213167493195705</v>
      </c>
      <c r="T255" s="137">
        <f>T43/T$211</f>
        <v>0.00282635603298819</v>
      </c>
      <c r="U255" s="137">
        <f>U43/U$211</f>
        <v>0.00231461814296825</v>
      </c>
      <c r="V255" s="137">
        <f>V43/V$211</f>
        <v>0.00334084408438494</v>
      </c>
      <c r="W255" s="107"/>
      <c r="X255" s="106">
        <f>X43/X$211</f>
        <v>0</v>
      </c>
      <c r="Y255" s="106">
        <f>Y43/Y$211</f>
        <v>0.0102336598599127</v>
      </c>
      <c r="Z255" s="106">
        <f>Z43/Z$211</f>
        <v>0.00266944035939137</v>
      </c>
      <c r="AA255" s="107"/>
      <c r="AB255" s="106"/>
      <c r="AC255" s="107">
        <f>AC43/AC$211</f>
        <v>0.000281675715328608</v>
      </c>
      <c r="AD255" s="106">
        <f>AD43/AD$211</f>
        <v>0.00221599861494177</v>
      </c>
    </row>
    <row r="256" spans="1:30">
      <c r="A256" s="141" t="s">
        <v>113</v>
      </c>
      <c r="B256" s="146" t="e">
        <f>#REF!/B44-1</f>
        <v>#REF!</v>
      </c>
      <c r="C256" s="106">
        <f>C44/C$211</f>
        <v>0.003327091372998</v>
      </c>
      <c r="D256" s="106">
        <f>D44/D$211</f>
        <v>0.00379266677032895</v>
      </c>
      <c r="E256" s="106">
        <f>E44/E$211</f>
        <v>0.00483813912503575</v>
      </c>
      <c r="F256" s="106">
        <f>F44/F$211</f>
        <v>0.0108437431437007</v>
      </c>
      <c r="G256" s="106">
        <f>G44/G$211</f>
        <v>0.0108485948001647</v>
      </c>
      <c r="H256" s="106">
        <f>H44/H$211</f>
        <v>0.0078598757129008</v>
      </c>
      <c r="I256" s="137">
        <f>I44/I$211</f>
        <v>0.00333511479012624</v>
      </c>
      <c r="J256" s="137">
        <f>J44/J$211</f>
        <v>0.00396965188171935</v>
      </c>
      <c r="K256" s="137">
        <f>K44/K$211</f>
        <v>0.00279022755640067</v>
      </c>
      <c r="L256" s="137">
        <f>L44/L$211</f>
        <v>0.00168690769185224</v>
      </c>
      <c r="M256" s="137">
        <f>M44/M$211</f>
        <v>0.00169001192276116</v>
      </c>
      <c r="N256" s="137">
        <f>N44/N$211</f>
        <v>0.00247683792978956</v>
      </c>
      <c r="O256" s="137">
        <f>O44/O$211</f>
        <v>0.00370303788063184</v>
      </c>
      <c r="P256" s="137">
        <f>P44/P$211</f>
        <v>0.00601422990713091</v>
      </c>
      <c r="Q256" s="137">
        <f>Q44/Q$211</f>
        <v>0.00404351754667681</v>
      </c>
      <c r="R256" s="137">
        <f>R44/R$211</f>
        <v>0.00220421345523748</v>
      </c>
      <c r="S256" s="137">
        <f>S44/S$211</f>
        <v>0.0041019979910814</v>
      </c>
      <c r="T256" s="137">
        <f>T44/T$211</f>
        <v>0.0115444746558087</v>
      </c>
      <c r="U256" s="137">
        <f>U44/U$211</f>
        <v>0.00359795886915467</v>
      </c>
      <c r="V256" s="137">
        <f>V44/V$211</f>
        <v>0.00474437202452998</v>
      </c>
      <c r="W256" s="107"/>
      <c r="X256" s="106">
        <f>X44/X$211</f>
        <v>0.0265875764911477</v>
      </c>
      <c r="Y256" s="106">
        <f>Y44/Y$211</f>
        <v>0.00263796084285024</v>
      </c>
      <c r="Z256" s="106">
        <f>Z44/Z$211</f>
        <v>0.00272810985940212</v>
      </c>
      <c r="AA256" s="107"/>
      <c r="AB256" s="106"/>
      <c r="AC256" s="107">
        <f>AC44/AC$211</f>
        <v>0.00206920232219318</v>
      </c>
      <c r="AD256" s="106">
        <f>AD44/AD$211</f>
        <v>0.00100864233222095</v>
      </c>
    </row>
    <row r="257" spans="1:30">
      <c r="A257" s="141" t="s">
        <v>115</v>
      </c>
      <c r="B257" s="146" t="e">
        <f>#REF!/B45-1</f>
        <v>#REF!</v>
      </c>
      <c r="C257" s="106">
        <f>C45/C$211</f>
        <v>0.00430714727753115</v>
      </c>
      <c r="D257" s="106">
        <f>D45/D$211</f>
        <v>0.00304066314695804</v>
      </c>
      <c r="E257" s="106">
        <f>E45/E$211</f>
        <v>0.00399244829880403</v>
      </c>
      <c r="F257" s="106">
        <f>F45/F$211</f>
        <v>0.00300347889323762</v>
      </c>
      <c r="G257" s="106">
        <f>G45/G$211</f>
        <v>0.00489389448945557</v>
      </c>
      <c r="H257" s="106">
        <f>H45/H$211</f>
        <v>0.00273463151801281</v>
      </c>
      <c r="I257" s="137">
        <f>I45/I$211</f>
        <v>0.00443590834025646</v>
      </c>
      <c r="J257" s="137">
        <f>J45/J$211</f>
        <v>0.00321115028250678</v>
      </c>
      <c r="K257" s="137">
        <f>K45/K$211</f>
        <v>0.00460156785716563</v>
      </c>
      <c r="L257" s="137">
        <f>L45/L$211</f>
        <v>0.00298242324591949</v>
      </c>
      <c r="M257" s="137">
        <f>M45/M$211</f>
        <v>0.00506425749741278</v>
      </c>
      <c r="N257" s="137">
        <f>N45/N$211</f>
        <v>0.00403197027307544</v>
      </c>
      <c r="O257" s="137">
        <f>O45/O$211</f>
        <v>0.00106864152530169</v>
      </c>
      <c r="P257" s="137">
        <f>P45/P$211</f>
        <v>0.00161112406758264</v>
      </c>
      <c r="Q257" s="137">
        <f>Q45/Q$211</f>
        <v>0.0041366903869961</v>
      </c>
      <c r="R257" s="137">
        <f>R45/R$211</f>
        <v>0.00275904262102253</v>
      </c>
      <c r="S257" s="137">
        <f>S45/S$211</f>
        <v>0.00662689703729933</v>
      </c>
      <c r="T257" s="137">
        <f>T45/T$211</f>
        <v>0.00879002650865815</v>
      </c>
      <c r="U257" s="137">
        <f>U45/U$211</f>
        <v>0.00561679590404407</v>
      </c>
      <c r="V257" s="137">
        <f>V45/V$211</f>
        <v>0.00428511942042848</v>
      </c>
      <c r="W257" s="107"/>
      <c r="X257" s="106">
        <f>X45/X$211</f>
        <v>0.0482611700567589</v>
      </c>
      <c r="Y257" s="106">
        <f>Y45/Y$211</f>
        <v>0.00198646597122528</v>
      </c>
      <c r="Z257" s="106">
        <f>Z45/Z$211</f>
        <v>0.00262935066501901</v>
      </c>
      <c r="AA257" s="107"/>
      <c r="AB257" s="106"/>
      <c r="AC257" s="107">
        <f>AC45/AC$211</f>
        <v>0.00363395294433009</v>
      </c>
      <c r="AD257" s="106">
        <f>AD45/AD$211</f>
        <v>0.00153243258016725</v>
      </c>
    </row>
    <row r="258" spans="1:30">
      <c r="A258" s="141" t="s">
        <v>117</v>
      </c>
      <c r="B258" s="146" t="e">
        <f>#REF!/B46-1</f>
        <v>#REF!</v>
      </c>
      <c r="C258" s="106">
        <f>C46/C$211</f>
        <v>0.000243258293393081</v>
      </c>
      <c r="D258" s="106">
        <f>D46/D$211</f>
        <v>0.000167767374710768</v>
      </c>
      <c r="E258" s="106">
        <f>E46/E$211</f>
        <v>0.000138962848548277</v>
      </c>
      <c r="F258" s="106">
        <f>F46/F$211</f>
        <v>0.000109369218965297</v>
      </c>
      <c r="G258" s="106">
        <f>G46/G$211</f>
        <v>0</v>
      </c>
      <c r="H258" s="106">
        <f>H46/H$211</f>
        <v>0</v>
      </c>
      <c r="I258" s="137">
        <f>I46/I$211</f>
        <v>0.000145668572121565</v>
      </c>
      <c r="J258" s="137">
        <f>J46/J$211</f>
        <v>0.000113837067149248</v>
      </c>
      <c r="K258" s="137">
        <f>K46/K$211</f>
        <v>0.000278522840192147</v>
      </c>
      <c r="L258" s="137">
        <f>L46/L$211</f>
        <v>9.9100600824267e-5</v>
      </c>
      <c r="M258" s="137">
        <f>M46/M$211</f>
        <v>0.000278952886096466</v>
      </c>
      <c r="N258" s="137">
        <f>N46/N$211</f>
        <v>0.000217409433302842</v>
      </c>
      <c r="O258" s="137">
        <f>O46/O$211</f>
        <v>0.00207690553352529</v>
      </c>
      <c r="P258" s="137">
        <f>P46/P$211</f>
        <v>0.00134608606587448</v>
      </c>
      <c r="Q258" s="137">
        <f>Q46/Q$211</f>
        <v>0.000193413096529859</v>
      </c>
      <c r="R258" s="137">
        <f>R46/R$211</f>
        <v>0.00027676792885315</v>
      </c>
      <c r="S258" s="137">
        <f>S46/S$211</f>
        <v>0.000386706030306378</v>
      </c>
      <c r="T258" s="137">
        <f>T46/T$211</f>
        <v>0.000339435559603867</v>
      </c>
      <c r="U258" s="137">
        <f>U46/U$211</f>
        <v>0.000526446057785037</v>
      </c>
      <c r="V258" s="137">
        <f>V46/V$211</f>
        <v>0.00021427950438578</v>
      </c>
      <c r="W258" s="107"/>
      <c r="X258" s="106">
        <f>X46/X$211</f>
        <v>0</v>
      </c>
      <c r="Y258" s="106">
        <f>Y46/Y$211</f>
        <v>0.000410350702991754</v>
      </c>
      <c r="Z258" s="106">
        <f>Z46/Z$211</f>
        <v>0.000461697822526201</v>
      </c>
      <c r="AA258" s="107"/>
      <c r="AB258" s="106"/>
      <c r="AC258" s="107">
        <f>AC46/AC$211</f>
        <v>9.51923958383816e-5</v>
      </c>
      <c r="AD258" s="106">
        <f>AD46/AD$211</f>
        <v>9.31974062959172e-5</v>
      </c>
    </row>
    <row r="259" spans="1:30">
      <c r="A259" s="141" t="s">
        <v>119</v>
      </c>
      <c r="B259" s="146" t="e">
        <f>#REF!/B47-1</f>
        <v>#REF!</v>
      </c>
      <c r="C259" s="106">
        <f>C47/C$211</f>
        <v>7.35157012110054e-5</v>
      </c>
      <c r="D259" s="106">
        <f>D47/D$211</f>
        <v>0.000131869654878073</v>
      </c>
      <c r="E259" s="106">
        <f>E47/E$211</f>
        <v>0</v>
      </c>
      <c r="F259" s="106">
        <f>F47/F$211</f>
        <v>0</v>
      </c>
      <c r="G259" s="106">
        <f>G47/G$211</f>
        <v>0</v>
      </c>
      <c r="H259" s="106">
        <f>H47/H$211</f>
        <v>0</v>
      </c>
      <c r="I259" s="137">
        <f>I47/I$211</f>
        <v>0</v>
      </c>
      <c r="J259" s="137">
        <f>J47/J$211</f>
        <v>0</v>
      </c>
      <c r="K259" s="137">
        <f>K47/K$211</f>
        <v>6.60630945639022e-6</v>
      </c>
      <c r="L259" s="137">
        <f>L47/L$211</f>
        <v>1.41865170780624e-5</v>
      </c>
      <c r="M259" s="137">
        <f>M47/M$211</f>
        <v>0.000277595246299626</v>
      </c>
      <c r="N259" s="137">
        <f>N47/N$211</f>
        <v>0.000537768156738046</v>
      </c>
      <c r="O259" s="137">
        <f>O47/O$211</f>
        <v>0.000494375479482277</v>
      </c>
      <c r="P259" s="137">
        <f>P47/P$211</f>
        <v>0.00126430495698738</v>
      </c>
      <c r="Q259" s="137">
        <f>Q47/Q$211</f>
        <v>0</v>
      </c>
      <c r="R259" s="137">
        <f>R47/R$211</f>
        <v>0</v>
      </c>
      <c r="S259" s="137">
        <f>S47/S$211</f>
        <v>0</v>
      </c>
      <c r="T259" s="137">
        <f>T47/T$211</f>
        <v>0</v>
      </c>
      <c r="U259" s="137">
        <f>U47/U$211</f>
        <v>4.77513366696609e-5</v>
      </c>
      <c r="V259" s="137">
        <f>V47/V$211</f>
        <v>5.17260021637537e-6</v>
      </c>
      <c r="W259" s="107"/>
      <c r="X259" s="106">
        <f>X47/X$211</f>
        <v>0</v>
      </c>
      <c r="Y259" s="106">
        <f>Y47/Y$211</f>
        <v>0</v>
      </c>
      <c r="Z259" s="106">
        <f>Z47/Z$211</f>
        <v>0</v>
      </c>
      <c r="AA259" s="107"/>
      <c r="AB259" s="106"/>
      <c r="AC259" s="107">
        <f>AC47/AC$211</f>
        <v>4.42875541393612e-7</v>
      </c>
      <c r="AD259" s="106">
        <f>AD47/AD$211</f>
        <v>8.97049585264903e-7</v>
      </c>
    </row>
    <row r="260" spans="1:30">
      <c r="A260" s="141" t="s">
        <v>121</v>
      </c>
      <c r="B260" s="146" t="e">
        <f>#REF!/B48-1</f>
        <v>#REF!</v>
      </c>
      <c r="C260" s="106">
        <f>C48/C$211</f>
        <v>0.000701191262425522</v>
      </c>
      <c r="D260" s="106">
        <f>D48/D$211</f>
        <v>0.000436123155465045</v>
      </c>
      <c r="E260" s="106">
        <f>E48/E$211</f>
        <v>0.00166529021449967</v>
      </c>
      <c r="F260" s="106">
        <f>F48/F$211</f>
        <v>0.000581030890279782</v>
      </c>
      <c r="G260" s="106">
        <f>G48/G$211</f>
        <v>0</v>
      </c>
      <c r="H260" s="106">
        <f>H48/H$211</f>
        <v>0</v>
      </c>
      <c r="I260" s="137">
        <f>I48/I$211</f>
        <v>0.00064955143059617</v>
      </c>
      <c r="J260" s="137">
        <f>J48/J$211</f>
        <v>0.000360152639174384</v>
      </c>
      <c r="K260" s="137">
        <f>K48/K$211</f>
        <v>0.000583933508402844</v>
      </c>
      <c r="L260" s="137">
        <f>L48/L$211</f>
        <v>0.000394224256573022</v>
      </c>
      <c r="M260" s="137">
        <f>M48/M$211</f>
        <v>0.000403510693934294</v>
      </c>
      <c r="N260" s="137">
        <f>N48/N$211</f>
        <v>0.000447535548868569</v>
      </c>
      <c r="O260" s="137">
        <f>O48/O$211</f>
        <v>0.000293905425825468</v>
      </c>
      <c r="P260" s="137">
        <f>P48/P$211</f>
        <v>0.000124057242584863</v>
      </c>
      <c r="Q260" s="137">
        <f>Q48/Q$211</f>
        <v>0.000552503015903053</v>
      </c>
      <c r="R260" s="137">
        <f>R48/R$211</f>
        <v>0.000181939950061868</v>
      </c>
      <c r="S260" s="137">
        <f>S48/S$211</f>
        <v>0.000460072724664362</v>
      </c>
      <c r="T260" s="137">
        <f>T48/T$211</f>
        <v>0.000390381154860133</v>
      </c>
      <c r="U260" s="137">
        <f>U48/U$211</f>
        <v>0.00167058662712272</v>
      </c>
      <c r="V260" s="137">
        <f>V48/V$211</f>
        <v>0.00129515241530301</v>
      </c>
      <c r="W260" s="107"/>
      <c r="X260" s="106">
        <f>X48/X$211</f>
        <v>0</v>
      </c>
      <c r="Y260" s="106">
        <f>Y48/Y$211</f>
        <v>0.00139092522617181</v>
      </c>
      <c r="Z260" s="106">
        <f>Z48/Z$211</f>
        <v>0.000943908604722412</v>
      </c>
      <c r="AA260" s="107"/>
      <c r="AB260" s="106"/>
      <c r="AC260" s="107">
        <f>AC48/AC$211</f>
        <v>0.000422235438748627</v>
      </c>
      <c r="AD260" s="106">
        <f>AD48/AD$211</f>
        <v>0.000313461479677937</v>
      </c>
    </row>
    <row r="261" spans="1:30">
      <c r="A261" s="141" t="s">
        <v>123</v>
      </c>
      <c r="B261" s="146" t="e">
        <f>#REF!/B49-1</f>
        <v>#REF!</v>
      </c>
      <c r="C261" s="106">
        <f>C49/C$211</f>
        <v>3.42749695894357e-6</v>
      </c>
      <c r="D261" s="106">
        <f>D49/D$211</f>
        <v>3.07410048135511e-6</v>
      </c>
      <c r="E261" s="106">
        <f>E49/E$211</f>
        <v>1.96643375497853e-6</v>
      </c>
      <c r="F261" s="106">
        <f>F49/F$211</f>
        <v>0</v>
      </c>
      <c r="G261" s="106">
        <f>G49/G$211</f>
        <v>0</v>
      </c>
      <c r="H261" s="106">
        <f>H49/H$211</f>
        <v>0</v>
      </c>
      <c r="I261" s="137">
        <f>I49/I$211</f>
        <v>0</v>
      </c>
      <c r="J261" s="137">
        <f>J49/J$211</f>
        <v>0</v>
      </c>
      <c r="K261" s="137">
        <f>K49/K$211</f>
        <v>0</v>
      </c>
      <c r="L261" s="137">
        <f>L49/L$211</f>
        <v>0</v>
      </c>
      <c r="M261" s="137">
        <f>M49/M$211</f>
        <v>0</v>
      </c>
      <c r="N261" s="137">
        <f>N49/N$211</f>
        <v>0</v>
      </c>
      <c r="O261" s="137">
        <f>O49/O$211</f>
        <v>0</v>
      </c>
      <c r="P261" s="137">
        <f>P49/P$211</f>
        <v>0</v>
      </c>
      <c r="Q261" s="137">
        <f>Q49/Q$211</f>
        <v>0</v>
      </c>
      <c r="R261" s="137">
        <f>R49/R$211</f>
        <v>0</v>
      </c>
      <c r="S261" s="137">
        <f>S49/S$211</f>
        <v>0</v>
      </c>
      <c r="T261" s="137">
        <f>T49/T$211</f>
        <v>0</v>
      </c>
      <c r="U261" s="137">
        <f>U49/U$211</f>
        <v>0</v>
      </c>
      <c r="V261" s="137">
        <f>V49/V$211</f>
        <v>0</v>
      </c>
      <c r="W261" s="107"/>
      <c r="X261" s="106">
        <f>X49/X$211</f>
        <v>0</v>
      </c>
      <c r="Y261" s="106">
        <f>Y49/Y$211</f>
        <v>0</v>
      </c>
      <c r="Z261" s="106">
        <f>Z49/Z$211</f>
        <v>0</v>
      </c>
      <c r="AA261" s="107"/>
      <c r="AB261" s="106"/>
      <c r="AC261" s="107">
        <f>AC49/AC$211</f>
        <v>1.20331037803633e-5</v>
      </c>
      <c r="AD261" s="106">
        <f>AD49/AD$211</f>
        <v>1.26433786886024e-5</v>
      </c>
    </row>
    <row r="262" spans="1:30">
      <c r="A262" s="141" t="s">
        <v>125</v>
      </c>
      <c r="B262" s="146" t="e">
        <f>#REF!/B50-1</f>
        <v>#REF!</v>
      </c>
      <c r="C262" s="106">
        <f>C50/C$211</f>
        <v>9.47809444804434e-5</v>
      </c>
      <c r="D262" s="106">
        <f>D50/D$211</f>
        <v>9.96922624230746e-5</v>
      </c>
      <c r="E262" s="106">
        <f>E50/E$211</f>
        <v>4.68733696370573e-5</v>
      </c>
      <c r="F262" s="106">
        <f>F50/F$211</f>
        <v>0.000124681742478254</v>
      </c>
      <c r="G262" s="106">
        <f>G50/G$211</f>
        <v>0.000177205921477663</v>
      </c>
      <c r="H262" s="106">
        <f>H50/H$211</f>
        <v>0.000160187929364227</v>
      </c>
      <c r="I262" s="137">
        <f>I50/I$211</f>
        <v>0.000139539639197946</v>
      </c>
      <c r="J262" s="137">
        <f>J50/J$211</f>
        <v>0.000153914043741104</v>
      </c>
      <c r="K262" s="137">
        <f>K50/K$211</f>
        <v>0.000113020725226531</v>
      </c>
      <c r="L262" s="137">
        <f>L50/L$211</f>
        <v>9.94685102084932e-5</v>
      </c>
      <c r="M262" s="137">
        <f>M50/M$211</f>
        <v>0</v>
      </c>
      <c r="N262" s="137">
        <f>N50/N$211</f>
        <v>0</v>
      </c>
      <c r="O262" s="137">
        <f>O50/O$211</f>
        <v>4.68335561610557e-5</v>
      </c>
      <c r="P262" s="137">
        <f>P50/P$211</f>
        <v>0.000572362000811689</v>
      </c>
      <c r="Q262" s="137">
        <f>Q50/Q$211</f>
        <v>0.000506364791405276</v>
      </c>
      <c r="R262" s="137">
        <f>R50/R$211</f>
        <v>0.000436655880148483</v>
      </c>
      <c r="S262" s="137">
        <f>S50/S$211</f>
        <v>0</v>
      </c>
      <c r="T262" s="137">
        <f>T50/T$211</f>
        <v>0</v>
      </c>
      <c r="U262" s="137">
        <f>U50/U$211</f>
        <v>0</v>
      </c>
      <c r="V262" s="137">
        <f>V50/V$211</f>
        <v>0</v>
      </c>
      <c r="W262" s="107"/>
      <c r="X262" s="106">
        <f>X50/X$211</f>
        <v>0</v>
      </c>
      <c r="Y262" s="106">
        <f>Y50/Y$211</f>
        <v>0.000695462145831094</v>
      </c>
      <c r="Z262" s="106">
        <f>Z50/Z$211</f>
        <v>0.000212659556214388</v>
      </c>
      <c r="AA262" s="107"/>
      <c r="AB262" s="106"/>
      <c r="AC262" s="107">
        <f>AC50/AC$211</f>
        <v>5.44053035300834e-5</v>
      </c>
      <c r="AD262" s="106">
        <f>AD50/AD$211</f>
        <v>2.58950302561859e-5</v>
      </c>
    </row>
    <row r="263" spans="1:30">
      <c r="A263" s="141" t="s">
        <v>127</v>
      </c>
      <c r="B263" s="146" t="e">
        <f>#REF!/B51-1</f>
        <v>#REF!</v>
      </c>
      <c r="C263" s="106">
        <f>C51/C$211</f>
        <v>0</v>
      </c>
      <c r="D263" s="106">
        <f>D51/D$211</f>
        <v>2.4323947343474e-6</v>
      </c>
      <c r="E263" s="106">
        <f>E51/E$211</f>
        <v>0</v>
      </c>
      <c r="F263" s="106">
        <f>F51/F$211</f>
        <v>0</v>
      </c>
      <c r="G263" s="106">
        <f>G51/G$211</f>
        <v>0</v>
      </c>
      <c r="H263" s="106">
        <f>H51/H$211</f>
        <v>0</v>
      </c>
      <c r="I263" s="137">
        <f>I51/I$211</f>
        <v>0</v>
      </c>
      <c r="J263" s="137">
        <f>J51/J$211</f>
        <v>0</v>
      </c>
      <c r="K263" s="137">
        <f>K51/K$211</f>
        <v>0</v>
      </c>
      <c r="L263" s="137">
        <f>L51/L$211</f>
        <v>0</v>
      </c>
      <c r="M263" s="137">
        <f>M51/M$211</f>
        <v>0</v>
      </c>
      <c r="N263" s="137">
        <f>N51/N$211</f>
        <v>0</v>
      </c>
      <c r="O263" s="137">
        <f>O51/O$211</f>
        <v>0</v>
      </c>
      <c r="P263" s="137">
        <f>P51/P$211</f>
        <v>0</v>
      </c>
      <c r="Q263" s="137">
        <f>Q51/Q$211</f>
        <v>0</v>
      </c>
      <c r="R263" s="137">
        <f>R51/R$211</f>
        <v>0</v>
      </c>
      <c r="S263" s="137">
        <f>S51/S$211</f>
        <v>0</v>
      </c>
      <c r="T263" s="137">
        <f>T51/T$211</f>
        <v>0</v>
      </c>
      <c r="U263" s="137">
        <f>U51/U$211</f>
        <v>0</v>
      </c>
      <c r="V263" s="137">
        <f>V51/V$211</f>
        <v>0</v>
      </c>
      <c r="W263" s="107"/>
      <c r="X263" s="106">
        <f>X51/X$211</f>
        <v>0</v>
      </c>
      <c r="Y263" s="106">
        <f>Y51/Y$211</f>
        <v>0</v>
      </c>
      <c r="Z263" s="106">
        <f>Z51/Z$211</f>
        <v>0</v>
      </c>
      <c r="AA263" s="107"/>
      <c r="AB263" s="106"/>
      <c r="AC263" s="107">
        <f>AC51/AC$211</f>
        <v>0</v>
      </c>
      <c r="AD263" s="106">
        <f>AD51/AD$211</f>
        <v>1.00041257379329e-5</v>
      </c>
    </row>
    <row r="264" spans="1:30">
      <c r="A264" s="141" t="s">
        <v>129</v>
      </c>
      <c r="B264" s="146" t="e">
        <f>#REF!/B52-1</f>
        <v>#REF!</v>
      </c>
      <c r="C264" s="106">
        <f>C52/C$211</f>
        <v>0</v>
      </c>
      <c r="D264" s="106">
        <f>D52/D$211</f>
        <v>0</v>
      </c>
      <c r="E264" s="106">
        <f>E52/E$211</f>
        <v>0</v>
      </c>
      <c r="F264" s="106">
        <f>F52/F$211</f>
        <v>0</v>
      </c>
      <c r="G264" s="106">
        <f>G52/G$211</f>
        <v>0</v>
      </c>
      <c r="H264" s="106">
        <f>H52/H$211</f>
        <v>0</v>
      </c>
      <c r="I264" s="137">
        <f>I52/I$211</f>
        <v>0</v>
      </c>
      <c r="J264" s="137">
        <f>J52/J$211</f>
        <v>0</v>
      </c>
      <c r="K264" s="137">
        <f>K52/K$211</f>
        <v>0</v>
      </c>
      <c r="L264" s="137">
        <f>L52/L$211</f>
        <v>0</v>
      </c>
      <c r="M264" s="137">
        <f>M52/M$211</f>
        <v>0</v>
      </c>
      <c r="N264" s="137">
        <f>N52/N$211</f>
        <v>0</v>
      </c>
      <c r="O264" s="137">
        <f>O52/O$211</f>
        <v>0</v>
      </c>
      <c r="P264" s="137">
        <f>P52/P$211</f>
        <v>0</v>
      </c>
      <c r="Q264" s="137">
        <f>Q52/Q$211</f>
        <v>0</v>
      </c>
      <c r="R264" s="137">
        <f>R52/R$211</f>
        <v>0</v>
      </c>
      <c r="S264" s="137">
        <f>S52/S$211</f>
        <v>0</v>
      </c>
      <c r="T264" s="137">
        <f>T52/T$211</f>
        <v>0</v>
      </c>
      <c r="U264" s="137">
        <f>U52/U$211</f>
        <v>0</v>
      </c>
      <c r="V264" s="137">
        <f>V52/V$211</f>
        <v>0</v>
      </c>
      <c r="W264" s="107"/>
      <c r="X264" s="106">
        <f>X52/X$211</f>
        <v>0</v>
      </c>
      <c r="Y264" s="106">
        <f>Y52/Y$211</f>
        <v>0</v>
      </c>
      <c r="Z264" s="106">
        <f>Z52/Z$211</f>
        <v>0</v>
      </c>
      <c r="AA264" s="107"/>
      <c r="AB264" s="106"/>
      <c r="AC264" s="107">
        <f>AC52/AC$211</f>
        <v>0</v>
      </c>
      <c r="AD264" s="106">
        <f>AD52/AD$211</f>
        <v>0</v>
      </c>
    </row>
    <row r="265" spans="1:30">
      <c r="A265" s="141" t="s">
        <v>131</v>
      </c>
      <c r="B265" s="146" t="e">
        <f>#REF!/B53-1</f>
        <v>#REF!</v>
      </c>
      <c r="C265" s="106">
        <f>C53/C$211</f>
        <v>2.88925437532865e-5</v>
      </c>
      <c r="D265" s="106">
        <f>D53/D$211</f>
        <v>3.49949084578559e-5</v>
      </c>
      <c r="E265" s="106">
        <f>E53/E$211</f>
        <v>0</v>
      </c>
      <c r="F265" s="106">
        <f>F53/F$211</f>
        <v>0</v>
      </c>
      <c r="G265" s="106">
        <f>G53/G$211</f>
        <v>0</v>
      </c>
      <c r="H265" s="106">
        <f>H53/H$211</f>
        <v>0</v>
      </c>
      <c r="I265" s="137">
        <f>I53/I$211</f>
        <v>9.05281332696841e-6</v>
      </c>
      <c r="J265" s="137">
        <f>J53/J$211</f>
        <v>4.57917665645357e-6</v>
      </c>
      <c r="K265" s="137">
        <f>K53/K$211</f>
        <v>0</v>
      </c>
      <c r="L265" s="137">
        <f>L53/L$211</f>
        <v>5.96825938391043e-6</v>
      </c>
      <c r="M265" s="137">
        <f>M53/M$211</f>
        <v>7.11583763002139e-5</v>
      </c>
      <c r="N265" s="137">
        <f>N53/N$211</f>
        <v>9.09469313963388e-5</v>
      </c>
      <c r="O265" s="137">
        <f>O53/O$211</f>
        <v>8.84637459268434e-5</v>
      </c>
      <c r="P265" s="137">
        <f>P53/P$211</f>
        <v>9.31210577146122e-5</v>
      </c>
      <c r="Q265" s="137">
        <f>Q53/Q$211</f>
        <v>7.19409598744241e-5</v>
      </c>
      <c r="R265" s="137">
        <f>R53/R$211</f>
        <v>7.27759800247472e-5</v>
      </c>
      <c r="S265" s="137">
        <f>S53/S$211</f>
        <v>0</v>
      </c>
      <c r="T265" s="137">
        <f>T53/T$211</f>
        <v>0</v>
      </c>
      <c r="U265" s="137">
        <f>U53/U$211</f>
        <v>1.73155980141457e-5</v>
      </c>
      <c r="V265" s="137">
        <f>V53/V$211</f>
        <v>1.62563905739992e-5</v>
      </c>
      <c r="W265" s="107"/>
      <c r="X265" s="106">
        <f>X53/X$211</f>
        <v>0</v>
      </c>
      <c r="Y265" s="106">
        <f>Y53/Y$211</f>
        <v>0</v>
      </c>
      <c r="Z265" s="106">
        <f>Z53/Z$211</f>
        <v>0</v>
      </c>
      <c r="AA265" s="107"/>
      <c r="AB265" s="106"/>
      <c r="AC265" s="107">
        <f>AC53/AC$211</f>
        <v>1.82096937394791e-5</v>
      </c>
      <c r="AD265" s="106">
        <f>AD53/AD$211</f>
        <v>2.32428583009923e-5</v>
      </c>
    </row>
    <row r="266" spans="1:30">
      <c r="A266" s="141" t="s">
        <v>304</v>
      </c>
      <c r="B266" s="146" t="e">
        <f>#REF!/B54-1</f>
        <v>#REF!</v>
      </c>
      <c r="C266" s="106">
        <f>C54/C$211</f>
        <v>0.000420217534191522</v>
      </c>
      <c r="D266" s="106">
        <f>D54/D$211</f>
        <v>0.000270131426661698</v>
      </c>
      <c r="E266" s="106">
        <f>E54/E$211</f>
        <v>0.000386753554926898</v>
      </c>
      <c r="F266" s="106">
        <f>F54/F$211</f>
        <v>0.000206554749416622</v>
      </c>
      <c r="G266" s="106">
        <f>G54/G$211</f>
        <v>0.000388494422148468</v>
      </c>
      <c r="H266" s="106">
        <f>H54/H$211</f>
        <v>0.000302764496577326</v>
      </c>
      <c r="I266" s="137">
        <f>I54/I$211</f>
        <v>0.0002021721624864</v>
      </c>
      <c r="J266" s="137">
        <f>J54/J$211</f>
        <v>0.000157706601366738</v>
      </c>
      <c r="K266" s="137">
        <f>K54/K$211</f>
        <v>0.000376595125873427</v>
      </c>
      <c r="L266" s="137">
        <f>L54/L$211</f>
        <v>0.000279551938119299</v>
      </c>
      <c r="M266" s="137">
        <f>M54/M$211</f>
        <v>0.000347478632449379</v>
      </c>
      <c r="N266" s="137">
        <f>N54/N$211</f>
        <v>0.000340472405936226</v>
      </c>
      <c r="O266" s="137">
        <f>O54/O$211</f>
        <v>0.000271558678692886</v>
      </c>
      <c r="P266" s="137">
        <f>P54/P$211</f>
        <v>0.000219309841622169</v>
      </c>
      <c r="Q266" s="137">
        <f>Q54/Q$211</f>
        <v>0.00147966797235694</v>
      </c>
      <c r="R266" s="137">
        <f>R54/R$211</f>
        <v>0.000744901612409927</v>
      </c>
      <c r="S266" s="137">
        <f>S54/S$211</f>
        <v>0.000314689613314304</v>
      </c>
      <c r="T266" s="137">
        <f>T54/T$211</f>
        <v>0.000240319250370102</v>
      </c>
      <c r="U266" s="137">
        <f>U54/U$211</f>
        <v>0.000412625885703165</v>
      </c>
      <c r="V266" s="137">
        <f>V54/V$211</f>
        <v>0.000213811126516974</v>
      </c>
      <c r="W266" s="107"/>
      <c r="X266" s="106">
        <f>X54/X$211</f>
        <v>0</v>
      </c>
      <c r="Y266" s="106">
        <f>Y54/Y$211</f>
        <v>0.000339739959374197</v>
      </c>
      <c r="Z266" s="106">
        <f>Z54/Z$211</f>
        <v>0.000206132459376138</v>
      </c>
      <c r="AA266" s="107"/>
      <c r="AB266" s="106"/>
      <c r="AC266" s="107">
        <f>AC54/AC$211</f>
        <v>0.000306694654235064</v>
      </c>
      <c r="AD266" s="106">
        <f>AD54/AD$211</f>
        <v>0.000106276740693514</v>
      </c>
    </row>
    <row r="267" spans="1:30">
      <c r="A267" s="141" t="s">
        <v>135</v>
      </c>
      <c r="B267" s="146" t="e">
        <f>#REF!/B55-1</f>
        <v>#REF!</v>
      </c>
      <c r="C267" s="106">
        <f>C55/C$211</f>
        <v>3.45153231516127e-7</v>
      </c>
      <c r="D267" s="106">
        <f>D55/D$211</f>
        <v>0</v>
      </c>
      <c r="E267" s="106">
        <f>E55/E$211</f>
        <v>0</v>
      </c>
      <c r="F267" s="106">
        <f>F55/F$211</f>
        <v>0</v>
      </c>
      <c r="G267" s="106">
        <f>G55/G$211</f>
        <v>0</v>
      </c>
      <c r="H267" s="106">
        <f>H55/H$211</f>
        <v>0</v>
      </c>
      <c r="I267" s="137">
        <f>I55/I$211</f>
        <v>0</v>
      </c>
      <c r="J267" s="137">
        <f>J55/J$211</f>
        <v>0</v>
      </c>
      <c r="K267" s="137">
        <f>K55/K$211</f>
        <v>0</v>
      </c>
      <c r="L267" s="137">
        <f>L55/L$211</f>
        <v>0</v>
      </c>
      <c r="M267" s="137">
        <f>M55/M$211</f>
        <v>0</v>
      </c>
      <c r="N267" s="137">
        <f>N55/N$211</f>
        <v>0</v>
      </c>
      <c r="O267" s="137">
        <f>O55/O$211</f>
        <v>1.56088992440301e-5</v>
      </c>
      <c r="P267" s="137">
        <f>P55/P$211</f>
        <v>0</v>
      </c>
      <c r="Q267" s="137">
        <f>Q55/Q$211</f>
        <v>0</v>
      </c>
      <c r="R267" s="137">
        <f>R55/R$211</f>
        <v>0</v>
      </c>
      <c r="S267" s="137">
        <f>S55/S$211</f>
        <v>0</v>
      </c>
      <c r="T267" s="137">
        <f>T55/T$211</f>
        <v>0</v>
      </c>
      <c r="U267" s="137">
        <f>U55/U$211</f>
        <v>0</v>
      </c>
      <c r="V267" s="137">
        <f>V55/V$211</f>
        <v>0</v>
      </c>
      <c r="W267" s="107"/>
      <c r="X267" s="106">
        <f>X55/X$211</f>
        <v>0</v>
      </c>
      <c r="Y267" s="106">
        <f>Y55/Y$211</f>
        <v>0</v>
      </c>
      <c r="Z267" s="106">
        <f>Z55/Z$211</f>
        <v>0</v>
      </c>
      <c r="AA267" s="107"/>
      <c r="AB267" s="106"/>
      <c r="AC267" s="107">
        <f>AC55/AC$211</f>
        <v>0</v>
      </c>
      <c r="AD267" s="106">
        <f>AD55/AD$211</f>
        <v>0</v>
      </c>
    </row>
    <row r="268" spans="1:30">
      <c r="A268" s="141" t="s">
        <v>137</v>
      </c>
      <c r="B268" s="146" t="e">
        <f>#REF!/B56-1</f>
        <v>#REF!</v>
      </c>
      <c r="C268" s="106">
        <f>C56/C$211</f>
        <v>1.78498322802022e-5</v>
      </c>
      <c r="D268" s="106">
        <f>D56/D$211</f>
        <v>1.65867364037759e-5</v>
      </c>
      <c r="E268" s="106">
        <f>E56/E$211</f>
        <v>0</v>
      </c>
      <c r="F268" s="106">
        <f>F56/F$211</f>
        <v>0</v>
      </c>
      <c r="G268" s="106">
        <f>G56/G$211</f>
        <v>0</v>
      </c>
      <c r="H268" s="106">
        <f>H56/H$211</f>
        <v>0</v>
      </c>
      <c r="I268" s="137">
        <f>I56/I$211</f>
        <v>0</v>
      </c>
      <c r="J268" s="137">
        <f>J56/J$211</f>
        <v>0</v>
      </c>
      <c r="K268" s="137">
        <f>K56/K$211</f>
        <v>1.66743072244493e-5</v>
      </c>
      <c r="L268" s="137">
        <f>L56/L$211</f>
        <v>5.96832234207471e-6</v>
      </c>
      <c r="M268" s="137">
        <f>M56/M$211</f>
        <v>0</v>
      </c>
      <c r="N268" s="137">
        <f>N56/N$211</f>
        <v>0</v>
      </c>
      <c r="O268" s="137">
        <f>O56/O$211</f>
        <v>0</v>
      </c>
      <c r="P268" s="137">
        <f>P56/P$211</f>
        <v>0</v>
      </c>
      <c r="Q268" s="137">
        <f>Q56/Q$211</f>
        <v>9.03873598422251e-5</v>
      </c>
      <c r="R268" s="137">
        <f>R56/R$211</f>
        <v>0.000129177364543926</v>
      </c>
      <c r="S268" s="137">
        <f>S56/S$211</f>
        <v>0</v>
      </c>
      <c r="T268" s="137">
        <f>T56/T$211</f>
        <v>0</v>
      </c>
      <c r="U268" s="137">
        <f>U56/U$211</f>
        <v>5.00248686189762e-5</v>
      </c>
      <c r="V268" s="137">
        <f>V56/V$211</f>
        <v>5.41879685799972e-6</v>
      </c>
      <c r="W268" s="107"/>
      <c r="X268" s="106">
        <f>X56/X$211</f>
        <v>0</v>
      </c>
      <c r="Y268" s="106">
        <f>Y56/Y$211</f>
        <v>0</v>
      </c>
      <c r="Z268" s="106">
        <f>Z56/Z$211</f>
        <v>0</v>
      </c>
      <c r="AA268" s="107"/>
      <c r="AB268" s="106"/>
      <c r="AC268" s="107">
        <f>AC56/AC$211</f>
        <v>2.20045399682678e-5</v>
      </c>
      <c r="AD268" s="106">
        <f>AD56/AD$211</f>
        <v>1.61686346039111e-5</v>
      </c>
    </row>
    <row r="269" spans="1:30">
      <c r="A269" s="141" t="s">
        <v>139</v>
      </c>
      <c r="B269" s="146" t="e">
        <f>#REF!/B57-1</f>
        <v>#REF!</v>
      </c>
      <c r="C269" s="106">
        <f>C57/C$211</f>
        <v>4.3744052526593e-6</v>
      </c>
      <c r="D269" s="106">
        <f>D57/D$211</f>
        <v>5.21754236308946e-6</v>
      </c>
      <c r="E269" s="106">
        <f>E57/E$211</f>
        <v>0</v>
      </c>
      <c r="F269" s="106">
        <f>F57/F$211</f>
        <v>0</v>
      </c>
      <c r="G269" s="106">
        <f>G57/G$211</f>
        <v>0</v>
      </c>
      <c r="H269" s="106">
        <f>H57/H$211</f>
        <v>0</v>
      </c>
      <c r="I269" s="137">
        <f>I57/I$211</f>
        <v>0</v>
      </c>
      <c r="J269" s="137">
        <f>J57/J$211</f>
        <v>0</v>
      </c>
      <c r="K269" s="137">
        <f>K57/K$211</f>
        <v>0</v>
      </c>
      <c r="L269" s="137">
        <f>L57/L$211</f>
        <v>0</v>
      </c>
      <c r="M269" s="137">
        <f>M57/M$211</f>
        <v>0</v>
      </c>
      <c r="N269" s="137">
        <f>N57/N$211</f>
        <v>0</v>
      </c>
      <c r="O269" s="137">
        <f>O57/O$211</f>
        <v>0.000197824167954009</v>
      </c>
      <c r="P269" s="137">
        <f>P57/P$211</f>
        <v>0.000465824309440618</v>
      </c>
      <c r="Q269" s="137">
        <f>Q57/Q$211</f>
        <v>0</v>
      </c>
      <c r="R269" s="137">
        <f>R57/R$211</f>
        <v>3.63879900123736e-6</v>
      </c>
      <c r="S269" s="137">
        <f>S57/S$211</f>
        <v>0</v>
      </c>
      <c r="T269" s="137">
        <f>T57/T$211</f>
        <v>0</v>
      </c>
      <c r="U269" s="137">
        <f>U57/U$211</f>
        <v>0</v>
      </c>
      <c r="V269" s="137">
        <f>V57/V$211</f>
        <v>0</v>
      </c>
      <c r="W269" s="107"/>
      <c r="X269" s="106">
        <f>X57/X$211</f>
        <v>0</v>
      </c>
      <c r="Y269" s="106">
        <f>Y57/Y$211</f>
        <v>0</v>
      </c>
      <c r="Z269" s="106">
        <f>Z57/Z$211</f>
        <v>0</v>
      </c>
      <c r="AA269" s="107"/>
      <c r="AB269" s="106"/>
      <c r="AC269" s="107">
        <f>AC57/AC$211</f>
        <v>0</v>
      </c>
      <c r="AD269" s="106">
        <f>AD57/AD$211</f>
        <v>0</v>
      </c>
    </row>
    <row r="270" spans="1:30">
      <c r="A270" s="141" t="s">
        <v>141</v>
      </c>
      <c r="B270" s="146" t="e">
        <f>#REF!/B58-1</f>
        <v>#REF!</v>
      </c>
      <c r="C270" s="106">
        <f>C58/C$211</f>
        <v>2.37021771880878e-5</v>
      </c>
      <c r="D270" s="106">
        <f>D58/D$211</f>
        <v>8.01443424877209e-5</v>
      </c>
      <c r="E270" s="106">
        <f>E58/E$211</f>
        <v>9.02265245570793e-5</v>
      </c>
      <c r="F270" s="106">
        <f>F58/F$211</f>
        <v>0.000182910614530784</v>
      </c>
      <c r="G270" s="106">
        <f>G58/G$211</f>
        <v>0</v>
      </c>
      <c r="H270" s="106">
        <f>H58/H$211</f>
        <v>0</v>
      </c>
      <c r="I270" s="137">
        <f>I58/I$211</f>
        <v>0.000148447452702785</v>
      </c>
      <c r="J270" s="137">
        <f>J58/J$211</f>
        <v>1.55637516675409e-5</v>
      </c>
      <c r="K270" s="137">
        <f>K58/K$211</f>
        <v>0</v>
      </c>
      <c r="L270" s="137">
        <f>L58/L$211</f>
        <v>0</v>
      </c>
      <c r="M270" s="137">
        <f>M58/M$211</f>
        <v>0</v>
      </c>
      <c r="N270" s="137">
        <f>N58/N$211</f>
        <v>0</v>
      </c>
      <c r="O270" s="137">
        <f>O58/O$211</f>
        <v>0</v>
      </c>
      <c r="P270" s="137">
        <f>P58/P$211</f>
        <v>0</v>
      </c>
      <c r="Q270" s="137">
        <f>Q58/Q$211</f>
        <v>0</v>
      </c>
      <c r="R270" s="137">
        <f>R58/R$211</f>
        <v>0</v>
      </c>
      <c r="S270" s="137">
        <f>S58/S$211</f>
        <v>0</v>
      </c>
      <c r="T270" s="137">
        <f>T58/T$211</f>
        <v>0</v>
      </c>
      <c r="U270" s="137">
        <f>U58/U$211</f>
        <v>0</v>
      </c>
      <c r="V270" s="137">
        <f>V58/V$211</f>
        <v>0</v>
      </c>
      <c r="W270" s="107"/>
      <c r="X270" s="106">
        <f>X58/X$211</f>
        <v>0</v>
      </c>
      <c r="Y270" s="106">
        <f>Y58/Y$211</f>
        <v>0</v>
      </c>
      <c r="Z270" s="106">
        <f>Z58/Z$211</f>
        <v>0.00186756932708519</v>
      </c>
      <c r="AA270" s="107"/>
      <c r="AB270" s="106"/>
      <c r="AC270" s="107">
        <f>AC58/AC$211</f>
        <v>1.35915735681566e-5</v>
      </c>
      <c r="AD270" s="106">
        <f>AD58/AD$211</f>
        <v>5.46280301089348e-5</v>
      </c>
    </row>
    <row r="271" spans="1:30">
      <c r="A271" s="141" t="s">
        <v>143</v>
      </c>
      <c r="B271" s="146" t="e">
        <f>#REF!/B59-1</f>
        <v>#REF!</v>
      </c>
      <c r="C271" s="106">
        <f>C59/C$211</f>
        <v>8.53190349275353e-6</v>
      </c>
      <c r="D271" s="106">
        <f>D59/D$211</f>
        <v>1.1513034916849e-5</v>
      </c>
      <c r="E271" s="106">
        <f>E59/E$211</f>
        <v>0</v>
      </c>
      <c r="F271" s="106">
        <f>F59/F$211</f>
        <v>0</v>
      </c>
      <c r="G271" s="106">
        <f>G59/G$211</f>
        <v>0</v>
      </c>
      <c r="H271" s="106">
        <f>H59/H$211</f>
        <v>0</v>
      </c>
      <c r="I271" s="137">
        <f>I59/I$211</f>
        <v>9.2883131361821e-6</v>
      </c>
      <c r="J271" s="137">
        <f>J59/J$211</f>
        <v>0</v>
      </c>
      <c r="K271" s="137">
        <f>K59/K$211</f>
        <v>4.81684318863441e-5</v>
      </c>
      <c r="L271" s="137">
        <f>L59/L$211</f>
        <v>3.58075877319512e-5</v>
      </c>
      <c r="M271" s="137">
        <f>M59/M$211</f>
        <v>0</v>
      </c>
      <c r="N271" s="137">
        <f>N59/N$211</f>
        <v>0</v>
      </c>
      <c r="O271" s="137">
        <f>O59/O$211</f>
        <v>0.000197800714838372</v>
      </c>
      <c r="P271" s="137">
        <f>P59/P$211</f>
        <v>0.000691940192404456</v>
      </c>
      <c r="Q271" s="137">
        <f>Q59/Q$211</f>
        <v>1.8446399967801e-6</v>
      </c>
      <c r="R271" s="137">
        <f>R59/R$211</f>
        <v>1.45551960049494e-5</v>
      </c>
      <c r="S271" s="137">
        <f>S59/S$211</f>
        <v>0</v>
      </c>
      <c r="T271" s="137">
        <f>T59/T$211</f>
        <v>0</v>
      </c>
      <c r="U271" s="137">
        <f>U59/U$211</f>
        <v>0</v>
      </c>
      <c r="V271" s="137">
        <f>V59/V$211</f>
        <v>0</v>
      </c>
      <c r="W271" s="107"/>
      <c r="X271" s="106">
        <f>X59/X$211</f>
        <v>0</v>
      </c>
      <c r="Y271" s="106">
        <f>Y59/Y$211</f>
        <v>0</v>
      </c>
      <c r="Z271" s="106">
        <f>Z59/Z$211</f>
        <v>0</v>
      </c>
      <c r="AA271" s="107"/>
      <c r="AB271" s="106"/>
      <c r="AC271" s="107">
        <f>AC59/AC$211</f>
        <v>0</v>
      </c>
      <c r="AD271" s="106">
        <f>AD59/AD$211</f>
        <v>0</v>
      </c>
    </row>
    <row r="272" spans="1:30">
      <c r="A272" s="141" t="s">
        <v>145</v>
      </c>
      <c r="B272" s="146" t="e">
        <f>#REF!/B60-1</f>
        <v>#REF!</v>
      </c>
      <c r="C272" s="106">
        <f>C60/C$211</f>
        <v>0</v>
      </c>
      <c r="D272" s="106">
        <f>D60/D$211</f>
        <v>0</v>
      </c>
      <c r="E272" s="106">
        <f>E60/E$211</f>
        <v>0</v>
      </c>
      <c r="F272" s="106">
        <f>F60/F$211</f>
        <v>0</v>
      </c>
      <c r="G272" s="106">
        <f>G60/G$211</f>
        <v>0</v>
      </c>
      <c r="H272" s="106">
        <f>H60/H$211</f>
        <v>0</v>
      </c>
      <c r="I272" s="137">
        <f>I60/I$211</f>
        <v>0</v>
      </c>
      <c r="J272" s="137">
        <f>J60/J$211</f>
        <v>0</v>
      </c>
      <c r="K272" s="137">
        <f>K60/K$211</f>
        <v>0</v>
      </c>
      <c r="L272" s="137">
        <f>L60/L$211</f>
        <v>0</v>
      </c>
      <c r="M272" s="137">
        <f>M60/M$211</f>
        <v>0</v>
      </c>
      <c r="N272" s="137">
        <f>N60/N$211</f>
        <v>0</v>
      </c>
      <c r="O272" s="137">
        <f>O60/O$211</f>
        <v>0</v>
      </c>
      <c r="P272" s="137">
        <f>P60/P$211</f>
        <v>0</v>
      </c>
      <c r="Q272" s="137">
        <f>Q60/Q$211</f>
        <v>0</v>
      </c>
      <c r="R272" s="137">
        <f>R60/R$211</f>
        <v>0</v>
      </c>
      <c r="S272" s="137">
        <f>S60/S$211</f>
        <v>0</v>
      </c>
      <c r="T272" s="137">
        <f>T60/T$211</f>
        <v>0</v>
      </c>
      <c r="U272" s="137">
        <f>U60/U$211</f>
        <v>0</v>
      </c>
      <c r="V272" s="137">
        <f>V60/V$211</f>
        <v>0</v>
      </c>
      <c r="W272" s="107"/>
      <c r="X272" s="106">
        <f>X60/X$211</f>
        <v>0</v>
      </c>
      <c r="Y272" s="106">
        <f>Y60/Y$211</f>
        <v>0</v>
      </c>
      <c r="Z272" s="106">
        <f>Z60/Z$211</f>
        <v>0</v>
      </c>
      <c r="AA272" s="107"/>
      <c r="AB272" s="106"/>
      <c r="AC272" s="107">
        <f>AC60/AC$211</f>
        <v>0</v>
      </c>
      <c r="AD272" s="106">
        <f>AD60/AD$211</f>
        <v>0</v>
      </c>
    </row>
    <row r="273" spans="1:30">
      <c r="A273" s="141" t="s">
        <v>147</v>
      </c>
      <c r="B273" s="146" t="e">
        <f>#REF!/B61-1</f>
        <v>#REF!</v>
      </c>
      <c r="C273" s="106">
        <f>C61/C$211</f>
        <v>1.28041471443436e-6</v>
      </c>
      <c r="D273" s="106">
        <f>D61/D$211</f>
        <v>0</v>
      </c>
      <c r="E273" s="106">
        <f>E61/E$211</f>
        <v>0</v>
      </c>
      <c r="F273" s="106">
        <f>F61/F$211</f>
        <v>0</v>
      </c>
      <c r="G273" s="106">
        <f>G61/G$211</f>
        <v>0</v>
      </c>
      <c r="H273" s="106">
        <f>H61/H$211</f>
        <v>0</v>
      </c>
      <c r="I273" s="137">
        <f>I61/I$211</f>
        <v>0</v>
      </c>
      <c r="J273" s="137">
        <f>J61/J$211</f>
        <v>0</v>
      </c>
      <c r="K273" s="137">
        <f>K61/K$211</f>
        <v>0</v>
      </c>
      <c r="L273" s="137">
        <f>L61/L$211</f>
        <v>0</v>
      </c>
      <c r="M273" s="137">
        <f>M61/M$211</f>
        <v>6.13433894201567e-6</v>
      </c>
      <c r="N273" s="137">
        <f>N61/N$211</f>
        <v>0</v>
      </c>
      <c r="O273" s="137">
        <f>O61/O$211</f>
        <v>0</v>
      </c>
      <c r="P273" s="137">
        <f>P61/P$211</f>
        <v>0</v>
      </c>
      <c r="Q273" s="137">
        <f>Q61/Q$211</f>
        <v>0</v>
      </c>
      <c r="R273" s="137">
        <f>R61/R$211</f>
        <v>0</v>
      </c>
      <c r="S273" s="137">
        <f>S61/S$211</f>
        <v>0</v>
      </c>
      <c r="T273" s="137">
        <f>T61/T$211</f>
        <v>0</v>
      </c>
      <c r="U273" s="137">
        <f>U61/U$211</f>
        <v>0</v>
      </c>
      <c r="V273" s="137">
        <f>V61/V$211</f>
        <v>0</v>
      </c>
      <c r="W273" s="107"/>
      <c r="X273" s="106">
        <f>X61/X$211</f>
        <v>0</v>
      </c>
      <c r="Y273" s="106">
        <f>Y61/Y$211</f>
        <v>0</v>
      </c>
      <c r="Z273" s="106">
        <f>Z61/Z$211</f>
        <v>0</v>
      </c>
      <c r="AA273" s="107"/>
      <c r="AB273" s="106"/>
      <c r="AC273" s="107">
        <f>AC61/AC$211</f>
        <v>0</v>
      </c>
      <c r="AD273" s="106">
        <f>AD61/AD$211</f>
        <v>0</v>
      </c>
    </row>
    <row r="274" spans="1:30">
      <c r="A274" s="141" t="s">
        <v>149</v>
      </c>
      <c r="B274" s="146" t="e">
        <f>#REF!/B62-1</f>
        <v>#REF!</v>
      </c>
      <c r="C274" s="106">
        <f>C62/C$211</f>
        <v>0</v>
      </c>
      <c r="D274" s="106">
        <f>D62/D$211</f>
        <v>0</v>
      </c>
      <c r="E274" s="106">
        <f>E62/E$211</f>
        <v>0</v>
      </c>
      <c r="F274" s="106">
        <f>F62/F$211</f>
        <v>0</v>
      </c>
      <c r="G274" s="106">
        <f>G62/G$211</f>
        <v>0</v>
      </c>
      <c r="H274" s="106">
        <f>H62/H$211</f>
        <v>0</v>
      </c>
      <c r="I274" s="137">
        <f>I62/I$211</f>
        <v>0</v>
      </c>
      <c r="J274" s="137">
        <f>J62/J$211</f>
        <v>0</v>
      </c>
      <c r="K274" s="137">
        <f>K62/K$211</f>
        <v>0</v>
      </c>
      <c r="L274" s="137">
        <f>L62/L$211</f>
        <v>0</v>
      </c>
      <c r="M274" s="137">
        <f>M62/M$211</f>
        <v>0</v>
      </c>
      <c r="N274" s="137">
        <f>N62/N$211</f>
        <v>0</v>
      </c>
      <c r="O274" s="137">
        <f>O62/O$211</f>
        <v>0</v>
      </c>
      <c r="P274" s="137">
        <f>P62/P$211</f>
        <v>0</v>
      </c>
      <c r="Q274" s="137">
        <f>Q62/Q$211</f>
        <v>0</v>
      </c>
      <c r="R274" s="137">
        <f>R62/R$211</f>
        <v>0</v>
      </c>
      <c r="S274" s="137">
        <f>S62/S$211</f>
        <v>0</v>
      </c>
      <c r="T274" s="137">
        <f>T62/T$211</f>
        <v>0</v>
      </c>
      <c r="U274" s="137">
        <f>U62/U$211</f>
        <v>0</v>
      </c>
      <c r="V274" s="137">
        <f>V62/V$211</f>
        <v>0</v>
      </c>
      <c r="W274" s="107"/>
      <c r="X274" s="106">
        <f>X62/X$211</f>
        <v>0</v>
      </c>
      <c r="Y274" s="106">
        <f>Y62/Y$211</f>
        <v>0</v>
      </c>
      <c r="Z274" s="106">
        <f>Z62/Z$211</f>
        <v>0</v>
      </c>
      <c r="AA274" s="107"/>
      <c r="AB274" s="106"/>
      <c r="AC274" s="107">
        <f>AC62/AC$211</f>
        <v>0</v>
      </c>
      <c r="AD274" s="106">
        <f>AD62/AD$211</f>
        <v>0</v>
      </c>
    </row>
    <row r="275" spans="1:30">
      <c r="A275" s="141" t="s">
        <v>151</v>
      </c>
      <c r="B275" s="146" t="e">
        <f>#REF!/B63-1</f>
        <v>#REF!</v>
      </c>
      <c r="C275" s="106">
        <f>C63/C$211</f>
        <v>4.41295778795392e-6</v>
      </c>
      <c r="D275" s="106">
        <f>D63/D$211</f>
        <v>1.02732881716398e-5</v>
      </c>
      <c r="E275" s="106">
        <f>E63/E$211</f>
        <v>0</v>
      </c>
      <c r="F275" s="106">
        <f>F63/F$211</f>
        <v>0</v>
      </c>
      <c r="G275" s="106">
        <f>G63/G$211</f>
        <v>0</v>
      </c>
      <c r="H275" s="106">
        <f>H63/H$211</f>
        <v>0</v>
      </c>
      <c r="I275" s="137">
        <f>I63/I$211</f>
        <v>0</v>
      </c>
      <c r="J275" s="137">
        <f>J63/J$211</f>
        <v>0</v>
      </c>
      <c r="K275" s="137">
        <f>K63/K$211</f>
        <v>0</v>
      </c>
      <c r="L275" s="137">
        <f>L63/L$211</f>
        <v>0</v>
      </c>
      <c r="M275" s="137">
        <f>M63/M$211</f>
        <v>0</v>
      </c>
      <c r="N275" s="137">
        <f>N63/N$211</f>
        <v>0</v>
      </c>
      <c r="O275" s="137">
        <f>O63/O$211</f>
        <v>2.08030624471638e-5</v>
      </c>
      <c r="P275" s="137">
        <f>P63/P$211</f>
        <v>0.000159711887408607</v>
      </c>
      <c r="Q275" s="137">
        <f>Q63/Q$211</f>
        <v>0</v>
      </c>
      <c r="R275" s="137">
        <f>R63/R$211</f>
        <v>0</v>
      </c>
      <c r="S275" s="137">
        <f>S63/S$211</f>
        <v>0</v>
      </c>
      <c r="T275" s="137">
        <f>T63/T$211</f>
        <v>1.56152819286924e-5</v>
      </c>
      <c r="U275" s="137">
        <f>U63/U$211</f>
        <v>0</v>
      </c>
      <c r="V275" s="137">
        <f>V63/V$211</f>
        <v>0</v>
      </c>
      <c r="W275" s="107"/>
      <c r="X275" s="106">
        <f>X63/X$211</f>
        <v>0</v>
      </c>
      <c r="Y275" s="106">
        <f>Y63/Y$211</f>
        <v>0</v>
      </c>
      <c r="Z275" s="106">
        <f>Z63/Z$211</f>
        <v>0</v>
      </c>
      <c r="AA275" s="107"/>
      <c r="AB275" s="106"/>
      <c r="AC275" s="107">
        <f>AC63/AC$211</f>
        <v>1.49250600646834e-5</v>
      </c>
      <c r="AD275" s="106">
        <f>AD63/AD$211</f>
        <v>3.46280800834697e-5</v>
      </c>
    </row>
    <row r="276" spans="1:30">
      <c r="A276" s="141" t="s">
        <v>153</v>
      </c>
      <c r="B276" s="146" t="e">
        <f>#REF!/B64-1</f>
        <v>#REF!</v>
      </c>
      <c r="C276" s="106">
        <f>C64/C$211</f>
        <v>4.8997617970698e-6</v>
      </c>
      <c r="D276" s="106">
        <f>D64/D$211</f>
        <v>3.64432559834712e-6</v>
      </c>
      <c r="E276" s="106">
        <f>E64/E$211</f>
        <v>2.27329097053573e-5</v>
      </c>
      <c r="F276" s="106">
        <f>F64/F$211</f>
        <v>1.90400688438577e-5</v>
      </c>
      <c r="G276" s="106">
        <f>G64/G$211</f>
        <v>0</v>
      </c>
      <c r="H276" s="106">
        <f>H64/H$211</f>
        <v>0</v>
      </c>
      <c r="I276" s="137">
        <f>I64/I$211</f>
        <v>0</v>
      </c>
      <c r="J276" s="137">
        <f>J64/J$211</f>
        <v>0</v>
      </c>
      <c r="K276" s="137">
        <f>K64/K$211</f>
        <v>5.55732139007445e-6</v>
      </c>
      <c r="L276" s="137">
        <f>L64/L$211</f>
        <v>1.39259873422593e-5</v>
      </c>
      <c r="M276" s="137">
        <f>M64/M$211</f>
        <v>0</v>
      </c>
      <c r="N276" s="137">
        <f>N64/N$211</f>
        <v>0</v>
      </c>
      <c r="O276" s="137">
        <f>O64/O$211</f>
        <v>0</v>
      </c>
      <c r="P276" s="137">
        <f>P64/P$211</f>
        <v>0</v>
      </c>
      <c r="Q276" s="137">
        <f>Q64/Q$211</f>
        <v>0</v>
      </c>
      <c r="R276" s="137">
        <f>R64/R$211</f>
        <v>0</v>
      </c>
      <c r="S276" s="137">
        <f>S64/S$211</f>
        <v>1.5335566467636e-5</v>
      </c>
      <c r="T276" s="137">
        <f>T64/T$211</f>
        <v>0</v>
      </c>
      <c r="U276" s="137">
        <f>U64/U$211</f>
        <v>1.73160993974624e-5</v>
      </c>
      <c r="V276" s="137">
        <f>V64/V$211</f>
        <v>2.70951275728521e-6</v>
      </c>
      <c r="W276" s="107"/>
      <c r="X276" s="106">
        <f>X64/X$211</f>
        <v>0</v>
      </c>
      <c r="Y276" s="106">
        <f>Y64/Y$211</f>
        <v>0</v>
      </c>
      <c r="Z276" s="106">
        <f>Z64/Z$211</f>
        <v>0</v>
      </c>
      <c r="AA276" s="107"/>
      <c r="AB276" s="106"/>
      <c r="AC276" s="107">
        <f>AC64/AC$211</f>
        <v>3.94650323957623e-7</v>
      </c>
      <c r="AD276" s="106">
        <f>AD64/AD$211</f>
        <v>4.64061658740048e-7</v>
      </c>
    </row>
    <row r="277" spans="1:30">
      <c r="A277" s="141" t="s">
        <v>155</v>
      </c>
      <c r="B277" s="146" t="e">
        <f>#REF!/B65-1</f>
        <v>#REF!</v>
      </c>
      <c r="C277" s="106">
        <f>C65/C$211</f>
        <v>8.57877869898724e-6</v>
      </c>
      <c r="D277" s="106">
        <f>D65/D$211</f>
        <v>1.37046776667902e-5</v>
      </c>
      <c r="E277" s="106">
        <f>E65/E$211</f>
        <v>0</v>
      </c>
      <c r="F277" s="106">
        <f>F65/F$211</f>
        <v>0</v>
      </c>
      <c r="G277" s="106">
        <f>G65/G$211</f>
        <v>0</v>
      </c>
      <c r="H277" s="106">
        <f>H65/H$211</f>
        <v>0</v>
      </c>
      <c r="I277" s="137">
        <f>I65/I$211</f>
        <v>0</v>
      </c>
      <c r="J277" s="137">
        <f>J65/J$211</f>
        <v>0</v>
      </c>
      <c r="K277" s="137">
        <f>K65/K$211</f>
        <v>0</v>
      </c>
      <c r="L277" s="137">
        <f>L65/L$211</f>
        <v>0</v>
      </c>
      <c r="M277" s="137">
        <f>M65/M$211</f>
        <v>4.11000714494131e-5</v>
      </c>
      <c r="N277" s="137">
        <f>N65/N$211</f>
        <v>6.30760964570961e-5</v>
      </c>
      <c r="O277" s="137">
        <f>O65/O$211</f>
        <v>0</v>
      </c>
      <c r="P277" s="137">
        <f>P65/P$211</f>
        <v>0</v>
      </c>
      <c r="Q277" s="137">
        <f>Q65/Q$211</f>
        <v>0</v>
      </c>
      <c r="R277" s="137">
        <f>R65/R$211</f>
        <v>0</v>
      </c>
      <c r="S277" s="137">
        <f>S65/S$211</f>
        <v>0</v>
      </c>
      <c r="T277" s="137">
        <f>T65/T$211</f>
        <v>0</v>
      </c>
      <c r="U277" s="137">
        <f>U65/U$211</f>
        <v>0</v>
      </c>
      <c r="V277" s="137">
        <f>V65/V$211</f>
        <v>0</v>
      </c>
      <c r="W277" s="107"/>
      <c r="X277" s="106">
        <f>X65/X$211</f>
        <v>0</v>
      </c>
      <c r="Y277" s="106">
        <f>Y65/Y$211</f>
        <v>0</v>
      </c>
      <c r="Z277" s="106">
        <f>Z65/Z$211</f>
        <v>0</v>
      </c>
      <c r="AA277" s="107"/>
      <c r="AB277" s="106"/>
      <c r="AC277" s="107">
        <f>AC65/AC$211</f>
        <v>0</v>
      </c>
      <c r="AD277" s="106">
        <f>AD65/AD$211</f>
        <v>0</v>
      </c>
    </row>
    <row r="278" spans="1:30">
      <c r="A278" s="141" t="s">
        <v>157</v>
      </c>
      <c r="B278" s="146" t="e">
        <f>#REF!/B66-1</f>
        <v>#REF!</v>
      </c>
      <c r="C278" s="106">
        <f>C66/C$211</f>
        <v>1.21027557327245e-7</v>
      </c>
      <c r="D278" s="106">
        <f>D66/D$211</f>
        <v>3.06511661855142e-6</v>
      </c>
      <c r="E278" s="106">
        <f>E66/E$211</f>
        <v>0</v>
      </c>
      <c r="F278" s="106">
        <f>F66/F$211</f>
        <v>0</v>
      </c>
      <c r="G278" s="106">
        <f>G66/G$211</f>
        <v>0</v>
      </c>
      <c r="H278" s="106">
        <f>H66/H$211</f>
        <v>0</v>
      </c>
      <c r="I278" s="137">
        <f>I66/I$211</f>
        <v>0</v>
      </c>
      <c r="J278" s="137">
        <f>J66/J$211</f>
        <v>0</v>
      </c>
      <c r="K278" s="137">
        <f>K66/K$211</f>
        <v>0</v>
      </c>
      <c r="L278" s="137">
        <f>L66/L$211</f>
        <v>0</v>
      </c>
      <c r="M278" s="137">
        <f>M66/M$211</f>
        <v>0</v>
      </c>
      <c r="N278" s="137">
        <f>N66/N$211</f>
        <v>0</v>
      </c>
      <c r="O278" s="137">
        <f>O66/O$211</f>
        <v>0</v>
      </c>
      <c r="P278" s="137">
        <f>P66/P$211</f>
        <v>0</v>
      </c>
      <c r="Q278" s="137">
        <f>Q66/Q$211</f>
        <v>0</v>
      </c>
      <c r="R278" s="137">
        <f>R66/R$211</f>
        <v>0</v>
      </c>
      <c r="S278" s="137">
        <f>S66/S$211</f>
        <v>0</v>
      </c>
      <c r="T278" s="137">
        <f>T66/T$211</f>
        <v>0</v>
      </c>
      <c r="U278" s="137">
        <f>U66/U$211</f>
        <v>0</v>
      </c>
      <c r="V278" s="137">
        <f>V66/V$211</f>
        <v>0</v>
      </c>
      <c r="W278" s="107"/>
      <c r="X278" s="106">
        <f>X66/X$211</f>
        <v>0</v>
      </c>
      <c r="Y278" s="106">
        <f>Y66/Y$211</f>
        <v>0</v>
      </c>
      <c r="Z278" s="106">
        <f>Z66/Z$211</f>
        <v>0</v>
      </c>
      <c r="AA278" s="107"/>
      <c r="AB278" s="106"/>
      <c r="AC278" s="107">
        <f>AC66/AC$211</f>
        <v>4.56961108042697e-7</v>
      </c>
      <c r="AD278" s="106">
        <f>AD66/AD$211</f>
        <v>1.26064292199034e-5</v>
      </c>
    </row>
    <row r="279" spans="1:30">
      <c r="A279" s="141" t="s">
        <v>159</v>
      </c>
      <c r="B279" s="146" t="e">
        <f>#REF!/B67-1</f>
        <v>#REF!</v>
      </c>
      <c r="C279" s="106">
        <f>C67/C$211</f>
        <v>9.2154767610072e-7</v>
      </c>
      <c r="D279" s="106">
        <f>D67/D$211</f>
        <v>3.10516374491298e-7</v>
      </c>
      <c r="E279" s="106">
        <f>E67/E$211</f>
        <v>3.33992027594649e-6</v>
      </c>
      <c r="F279" s="106">
        <f>F67/F$211</f>
        <v>0</v>
      </c>
      <c r="G279" s="106">
        <f>G67/G$211</f>
        <v>0</v>
      </c>
      <c r="H279" s="106">
        <f>H67/H$211</f>
        <v>0</v>
      </c>
      <c r="I279" s="137">
        <f>I67/I$211</f>
        <v>0</v>
      </c>
      <c r="J279" s="137">
        <f>J67/J$211</f>
        <v>0</v>
      </c>
      <c r="K279" s="137">
        <f>K67/K$211</f>
        <v>0</v>
      </c>
      <c r="L279" s="137">
        <f>L67/L$211</f>
        <v>0</v>
      </c>
      <c r="M279" s="137">
        <f>M67/M$211</f>
        <v>0</v>
      </c>
      <c r="N279" s="137">
        <f>N67/N$211</f>
        <v>0</v>
      </c>
      <c r="O279" s="137">
        <f>O67/O$211</f>
        <v>0</v>
      </c>
      <c r="P279" s="137">
        <f>P67/P$211</f>
        <v>0</v>
      </c>
      <c r="Q279" s="137">
        <f>Q67/Q$211</f>
        <v>0</v>
      </c>
      <c r="R279" s="137">
        <f>R67/R$211</f>
        <v>0</v>
      </c>
      <c r="S279" s="137">
        <f>S67/S$211</f>
        <v>5.33375049508393e-5</v>
      </c>
      <c r="T279" s="137">
        <f>T67/T$211</f>
        <v>2.7154771467347e-5</v>
      </c>
      <c r="U279" s="137">
        <f>U67/U$211</f>
        <v>0</v>
      </c>
      <c r="V279" s="137">
        <f>V67/V$211</f>
        <v>0</v>
      </c>
      <c r="W279" s="107"/>
      <c r="X279" s="106">
        <f>X67/X$211</f>
        <v>0</v>
      </c>
      <c r="Y279" s="106">
        <f>Y67/Y$211</f>
        <v>0</v>
      </c>
      <c r="Z279" s="106">
        <f>Z67/Z$211</f>
        <v>0</v>
      </c>
      <c r="AA279" s="107"/>
      <c r="AB279" s="106"/>
      <c r="AC279" s="107">
        <f>AC67/AC$211</f>
        <v>0</v>
      </c>
      <c r="AD279" s="106">
        <f>AD67/AD$211</f>
        <v>0</v>
      </c>
    </row>
    <row r="280" spans="1:30">
      <c r="A280" s="141" t="s">
        <v>161</v>
      </c>
      <c r="B280" s="146" t="e">
        <f>#REF!/B68-1</f>
        <v>#REF!</v>
      </c>
      <c r="C280" s="106">
        <f>C68/C$211</f>
        <v>7.07616739118477e-6</v>
      </c>
      <c r="D280" s="106">
        <f>D68/D$211</f>
        <v>5.56565814369352e-6</v>
      </c>
      <c r="E280" s="106">
        <f>E68/E$211</f>
        <v>0</v>
      </c>
      <c r="F280" s="106">
        <f>F68/F$211</f>
        <v>0</v>
      </c>
      <c r="G280" s="106">
        <f>G68/G$211</f>
        <v>0</v>
      </c>
      <c r="H280" s="106">
        <f>H68/H$211</f>
        <v>0</v>
      </c>
      <c r="I280" s="137">
        <f>I68/I$211</f>
        <v>0</v>
      </c>
      <c r="J280" s="137">
        <f>J68/J$211</f>
        <v>0</v>
      </c>
      <c r="K280" s="137">
        <f>K68/K$211</f>
        <v>0</v>
      </c>
      <c r="L280" s="137">
        <f>L68/L$211</f>
        <v>0</v>
      </c>
      <c r="M280" s="137">
        <f>M68/M$211</f>
        <v>0</v>
      </c>
      <c r="N280" s="137">
        <f>N68/N$211</f>
        <v>0</v>
      </c>
      <c r="O280" s="137">
        <f>O68/O$211</f>
        <v>0.000192562985390842</v>
      </c>
      <c r="P280" s="137">
        <f>P68/P$211</f>
        <v>0.000372694596306314</v>
      </c>
      <c r="Q280" s="137">
        <f>Q68/Q$211</f>
        <v>0</v>
      </c>
      <c r="R280" s="137">
        <f>R68/R$211</f>
        <v>0</v>
      </c>
      <c r="S280" s="137">
        <f>S68/S$211</f>
        <v>0.000199365105277159</v>
      </c>
      <c r="T280" s="137">
        <f>T68/T$211</f>
        <v>6.24610895925122e-5</v>
      </c>
      <c r="U280" s="137">
        <f>U68/U$211</f>
        <v>0</v>
      </c>
      <c r="V280" s="137">
        <f>V68/V$211</f>
        <v>0</v>
      </c>
      <c r="W280" s="107"/>
      <c r="X280" s="106">
        <f>X68/X$211</f>
        <v>0</v>
      </c>
      <c r="Y280" s="106">
        <f>Y68/Y$211</f>
        <v>0</v>
      </c>
      <c r="Z280" s="106">
        <f>Z68/Z$211</f>
        <v>0</v>
      </c>
      <c r="AA280" s="107"/>
      <c r="AB280" s="106"/>
      <c r="AC280" s="107">
        <f>AC68/AC$211</f>
        <v>3.39927935538924e-6</v>
      </c>
      <c r="AD280" s="106">
        <f>AD68/AD$211</f>
        <v>3.87458711382946e-6</v>
      </c>
    </row>
    <row r="281" spans="1:30">
      <c r="A281" s="141" t="s">
        <v>163</v>
      </c>
      <c r="B281" s="146" t="e">
        <f>#REF!/B69-1</f>
        <v>#REF!</v>
      </c>
      <c r="C281" s="106">
        <f>C69/C$211</f>
        <v>7.30713836294328e-6</v>
      </c>
      <c r="D281" s="106">
        <f>D69/D$211</f>
        <v>3.64255661413871e-6</v>
      </c>
      <c r="E281" s="106">
        <f>E69/E$211</f>
        <v>9.89606007687849e-7</v>
      </c>
      <c r="F281" s="106">
        <f>F69/F$211</f>
        <v>2.53865657534568e-6</v>
      </c>
      <c r="G281" s="106">
        <f>G69/G$211</f>
        <v>0</v>
      </c>
      <c r="H281" s="106">
        <f>H69/H$211</f>
        <v>0</v>
      </c>
      <c r="I281" s="137">
        <f>I69/I$211</f>
        <v>0</v>
      </c>
      <c r="J281" s="137">
        <f>J69/J$211</f>
        <v>0</v>
      </c>
      <c r="K281" s="137">
        <f>K69/K$211</f>
        <v>0</v>
      </c>
      <c r="L281" s="137">
        <f>L69/L$211</f>
        <v>0</v>
      </c>
      <c r="M281" s="137">
        <f>M69/M$211</f>
        <v>7.3612096297812e-6</v>
      </c>
      <c r="N281" s="137">
        <f>N69/N$211</f>
        <v>0</v>
      </c>
      <c r="O281" s="137">
        <f>O69/O$211</f>
        <v>0.000228970336189678</v>
      </c>
      <c r="P281" s="137">
        <f>P69/P$211</f>
        <v>0.000319430671871674</v>
      </c>
      <c r="Q281" s="137">
        <f>Q69/Q$211</f>
        <v>0</v>
      </c>
      <c r="R281" s="137">
        <f>R69/R$211</f>
        <v>0</v>
      </c>
      <c r="S281" s="137">
        <f>S69/S$211</f>
        <v>0</v>
      </c>
      <c r="T281" s="137">
        <f>T69/T$211</f>
        <v>0</v>
      </c>
      <c r="U281" s="137">
        <f>U69/U$211</f>
        <v>0</v>
      </c>
      <c r="V281" s="137">
        <f>V69/V$211</f>
        <v>0</v>
      </c>
      <c r="W281" s="107"/>
      <c r="X281" s="106">
        <f>X69/X$211</f>
        <v>0</v>
      </c>
      <c r="Y281" s="106">
        <f>Y69/Y$211</f>
        <v>0</v>
      </c>
      <c r="Z281" s="106">
        <f>Z69/Z$211</f>
        <v>0</v>
      </c>
      <c r="AA281" s="107"/>
      <c r="AB281" s="106"/>
      <c r="AC281" s="107">
        <f>AC69/AC$211</f>
        <v>2.21437770696806e-6</v>
      </c>
      <c r="AD281" s="106">
        <f>AD69/AD$211</f>
        <v>0</v>
      </c>
    </row>
    <row r="282" spans="1:30">
      <c r="A282" s="141" t="s">
        <v>165</v>
      </c>
      <c r="B282" s="146" t="e">
        <f>#REF!/B70-1</f>
        <v>#REF!</v>
      </c>
      <c r="C282" s="106">
        <f>C70/C$211</f>
        <v>0.000112211655457422</v>
      </c>
      <c r="D282" s="106">
        <f>D70/D$211</f>
        <v>0.00013302985871031</v>
      </c>
      <c r="E282" s="106">
        <f>E70/E$211</f>
        <v>0</v>
      </c>
      <c r="F282" s="106">
        <f>F70/F$211</f>
        <v>0</v>
      </c>
      <c r="G282" s="106">
        <f>G70/G$211</f>
        <v>0.00117229221691803</v>
      </c>
      <c r="H282" s="106">
        <f>H70/H$211</f>
        <v>0.00119930580363692</v>
      </c>
      <c r="I282" s="137">
        <f>I70/I$211</f>
        <v>0</v>
      </c>
      <c r="J282" s="137">
        <f>J70/J$211</f>
        <v>0</v>
      </c>
      <c r="K282" s="137">
        <f>K70/K$211</f>
        <v>2.7793331792791e-5</v>
      </c>
      <c r="L282" s="137">
        <f>L70/L$211</f>
        <v>1.1894251948349e-5</v>
      </c>
      <c r="M282" s="137">
        <f>M70/M$211</f>
        <v>0</v>
      </c>
      <c r="N282" s="137">
        <f>N70/N$211</f>
        <v>0</v>
      </c>
      <c r="O282" s="137">
        <f>O70/O$211</f>
        <v>0.000561523096657397</v>
      </c>
      <c r="P282" s="137">
        <f>P70/P$211</f>
        <v>0.000468446661847438</v>
      </c>
      <c r="Q282" s="137">
        <f>Q70/Q$211</f>
        <v>0.000240269915725177</v>
      </c>
      <c r="R282" s="137">
        <f>R70/R$211</f>
        <v>0.000156468357053206</v>
      </c>
      <c r="S282" s="137">
        <f>S70/S$211</f>
        <v>0</v>
      </c>
      <c r="T282" s="137">
        <f>T70/T$211</f>
        <v>0</v>
      </c>
      <c r="U282" s="137">
        <f>U70/U$211</f>
        <v>0</v>
      </c>
      <c r="V282" s="137">
        <f>V70/V$211</f>
        <v>0</v>
      </c>
      <c r="W282" s="107"/>
      <c r="X282" s="106">
        <f>X70/X$211</f>
        <v>0</v>
      </c>
      <c r="Y282" s="106">
        <f>Y70/Y$211</f>
        <v>4.39667253397282e-5</v>
      </c>
      <c r="Z282" s="106">
        <f>Z70/Z$211</f>
        <v>0.00075551071637372</v>
      </c>
      <c r="AA282" s="107"/>
      <c r="AB282" s="106"/>
      <c r="AC282" s="107">
        <f>AC70/AC$211</f>
        <v>3.43405694741248e-5</v>
      </c>
      <c r="AD282" s="106">
        <f>AD70/AD$211</f>
        <v>5.77525449368503e-5</v>
      </c>
    </row>
    <row r="283" spans="1:30">
      <c r="A283" s="141" t="s">
        <v>167</v>
      </c>
      <c r="B283" s="146" t="e">
        <f>#REF!/B71-1</f>
        <v>#REF!</v>
      </c>
      <c r="C283" s="106">
        <f>C71/C$211</f>
        <v>1.18100779020369e-6</v>
      </c>
      <c r="D283" s="106">
        <f>D71/D$211</f>
        <v>8.92809925694885e-7</v>
      </c>
      <c r="E283" s="106">
        <f>E71/E$211</f>
        <v>0</v>
      </c>
      <c r="F283" s="106">
        <f>F71/F$211</f>
        <v>0</v>
      </c>
      <c r="G283" s="106">
        <f>G71/G$211</f>
        <v>0</v>
      </c>
      <c r="H283" s="106">
        <f>H71/H$211</f>
        <v>0</v>
      </c>
      <c r="I283" s="137">
        <f>I71/I$211</f>
        <v>0</v>
      </c>
      <c r="J283" s="137">
        <f>J71/J$211</f>
        <v>0</v>
      </c>
      <c r="K283" s="137">
        <f>K71/K$211</f>
        <v>0</v>
      </c>
      <c r="L283" s="137">
        <f>L71/L$211</f>
        <v>0</v>
      </c>
      <c r="M283" s="137">
        <f>M71/M$211</f>
        <v>0</v>
      </c>
      <c r="N283" s="137">
        <f>N71/N$211</f>
        <v>0</v>
      </c>
      <c r="O283" s="137">
        <f>O71/O$211</f>
        <v>0</v>
      </c>
      <c r="P283" s="137">
        <f>P71/P$211</f>
        <v>0</v>
      </c>
      <c r="Q283" s="137">
        <f>Q71/Q$211</f>
        <v>0</v>
      </c>
      <c r="R283" s="137">
        <f>R71/R$211</f>
        <v>0</v>
      </c>
      <c r="S283" s="137">
        <f>S71/S$211</f>
        <v>0.000107350395786734</v>
      </c>
      <c r="T283" s="137">
        <f>T71/T$211</f>
        <v>7.80765572692949e-5</v>
      </c>
      <c r="U283" s="137">
        <f>U71/U$211</f>
        <v>1.7490219909285e-6</v>
      </c>
      <c r="V283" s="137">
        <f>V71/V$211</f>
        <v>0</v>
      </c>
      <c r="W283" s="107"/>
      <c r="X283" s="106">
        <f>X71/X$211</f>
        <v>0</v>
      </c>
      <c r="Y283" s="106">
        <f>Y71/Y$211</f>
        <v>0</v>
      </c>
      <c r="Z283" s="106">
        <f>Z71/Z$211</f>
        <v>0</v>
      </c>
      <c r="AA283" s="107"/>
      <c r="AB283" s="106"/>
      <c r="AC283" s="107">
        <f>AC71/AC$211</f>
        <v>0</v>
      </c>
      <c r="AD283" s="106">
        <f>AD71/AD$211</f>
        <v>0</v>
      </c>
    </row>
    <row r="284" spans="1:30">
      <c r="A284" s="141" t="s">
        <v>169</v>
      </c>
      <c r="B284" s="146" t="e">
        <f>#REF!/B72-1</f>
        <v>#REF!</v>
      </c>
      <c r="C284" s="106">
        <f>C72/C$211</f>
        <v>0</v>
      </c>
      <c r="D284" s="106">
        <f>D72/D$211</f>
        <v>0</v>
      </c>
      <c r="E284" s="106">
        <f>E72/E$211</f>
        <v>0</v>
      </c>
      <c r="F284" s="106">
        <f>F72/F$211</f>
        <v>0</v>
      </c>
      <c r="G284" s="106">
        <f>G72/G$211</f>
        <v>0</v>
      </c>
      <c r="H284" s="106">
        <f>H72/H$211</f>
        <v>0</v>
      </c>
      <c r="I284" s="137">
        <f>I72/I$211</f>
        <v>0</v>
      </c>
      <c r="J284" s="137">
        <f>J72/J$211</f>
        <v>0</v>
      </c>
      <c r="K284" s="137">
        <f>K72/K$211</f>
        <v>0</v>
      </c>
      <c r="L284" s="137">
        <f>L72/L$211</f>
        <v>0</v>
      </c>
      <c r="M284" s="137">
        <f>M72/M$211</f>
        <v>0</v>
      </c>
      <c r="N284" s="137">
        <f>N72/N$211</f>
        <v>0</v>
      </c>
      <c r="O284" s="137">
        <f>O72/O$211</f>
        <v>0</v>
      </c>
      <c r="P284" s="137">
        <f>P72/P$211</f>
        <v>0</v>
      </c>
      <c r="Q284" s="137">
        <f>Q72/Q$211</f>
        <v>0</v>
      </c>
      <c r="R284" s="137">
        <f>R72/R$211</f>
        <v>0</v>
      </c>
      <c r="S284" s="137">
        <f>S72/S$211</f>
        <v>0</v>
      </c>
      <c r="T284" s="137">
        <f>T72/T$211</f>
        <v>0</v>
      </c>
      <c r="U284" s="137">
        <f>U72/U$211</f>
        <v>0</v>
      </c>
      <c r="V284" s="137">
        <f>V72/V$211</f>
        <v>0</v>
      </c>
      <c r="W284" s="107"/>
      <c r="X284" s="106">
        <f>X72/X$211</f>
        <v>0</v>
      </c>
      <c r="Y284" s="106">
        <f>Y72/Y$211</f>
        <v>0</v>
      </c>
      <c r="Z284" s="106">
        <f>Z72/Z$211</f>
        <v>0</v>
      </c>
      <c r="AA284" s="107"/>
      <c r="AB284" s="106"/>
      <c r="AC284" s="107">
        <f>AC72/AC$211</f>
        <v>0</v>
      </c>
      <c r="AD284" s="106">
        <f>AD72/AD$211</f>
        <v>0</v>
      </c>
    </row>
    <row r="285" spans="1:30">
      <c r="A285" s="141" t="s">
        <v>171</v>
      </c>
      <c r="B285" s="146" t="e">
        <f>#REF!/B73-1</f>
        <v>#REF!</v>
      </c>
      <c r="C285" s="106">
        <f>C73/C$211</f>
        <v>2.30475033131741e-6</v>
      </c>
      <c r="D285" s="106">
        <f>D73/D$211</f>
        <v>1.45957934216734e-7</v>
      </c>
      <c r="E285" s="106">
        <f>E73/E$211</f>
        <v>0</v>
      </c>
      <c r="F285" s="106">
        <f>F73/F$211</f>
        <v>0</v>
      </c>
      <c r="G285" s="106">
        <f>G73/G$211</f>
        <v>0</v>
      </c>
      <c r="H285" s="106">
        <f>H73/H$211</f>
        <v>0</v>
      </c>
      <c r="I285" s="137">
        <f>I73/I$211</f>
        <v>0</v>
      </c>
      <c r="J285" s="137">
        <f>J73/J$211</f>
        <v>0</v>
      </c>
      <c r="K285" s="137">
        <f>K73/K$211</f>
        <v>0</v>
      </c>
      <c r="L285" s="137">
        <f>L73/L$211</f>
        <v>0</v>
      </c>
      <c r="M285" s="137">
        <f>M73/M$211</f>
        <v>1.10418285182466e-5</v>
      </c>
      <c r="N285" s="137">
        <f>N73/N$211</f>
        <v>0</v>
      </c>
      <c r="O285" s="137">
        <f>O73/O$211</f>
        <v>0</v>
      </c>
      <c r="P285" s="137">
        <f>P73/P$211</f>
        <v>0</v>
      </c>
      <c r="Q285" s="137">
        <f>Q73/Q$211</f>
        <v>0</v>
      </c>
      <c r="R285" s="137">
        <f>R73/R$211</f>
        <v>0</v>
      </c>
      <c r="S285" s="137">
        <f>S73/S$211</f>
        <v>0</v>
      </c>
      <c r="T285" s="137">
        <f>T73/T$211</f>
        <v>0</v>
      </c>
      <c r="U285" s="137">
        <f>U73/U$211</f>
        <v>0</v>
      </c>
      <c r="V285" s="137">
        <f>V73/V$211</f>
        <v>0</v>
      </c>
      <c r="W285" s="107"/>
      <c r="X285" s="106">
        <f>X73/X$211</f>
        <v>0</v>
      </c>
      <c r="Y285" s="106">
        <f>Y73/Y$211</f>
        <v>0</v>
      </c>
      <c r="Z285" s="106">
        <f>Z73/Z$211</f>
        <v>0</v>
      </c>
      <c r="AA285" s="107"/>
      <c r="AB285" s="106"/>
      <c r="AC285" s="107">
        <f>AC73/AC$211</f>
        <v>0</v>
      </c>
      <c r="AD285" s="106">
        <f>AD73/AD$211</f>
        <v>6.00306153328735e-7</v>
      </c>
    </row>
    <row r="286" spans="1:30">
      <c r="A286" s="141" t="s">
        <v>173</v>
      </c>
      <c r="B286" s="146" t="e">
        <f>#REF!/B74-1</f>
        <v>#REF!</v>
      </c>
      <c r="C286" s="106">
        <f>C74/C$211</f>
        <v>2.7635246724451e-6</v>
      </c>
      <c r="D286" s="106">
        <f>D74/D$211</f>
        <v>4.90121424183147e-7</v>
      </c>
      <c r="E286" s="106">
        <f>E74/E$211</f>
        <v>3.49454621464772e-6</v>
      </c>
      <c r="F286" s="106">
        <f>F74/F$211</f>
        <v>0</v>
      </c>
      <c r="G286" s="106">
        <f>G74/G$211</f>
        <v>0</v>
      </c>
      <c r="H286" s="106">
        <f>H74/H$211</f>
        <v>0</v>
      </c>
      <c r="I286" s="137">
        <f>I74/I$211</f>
        <v>0</v>
      </c>
      <c r="J286" s="137">
        <f>J74/J$211</f>
        <v>0</v>
      </c>
      <c r="K286" s="137">
        <f>K74/K$211</f>
        <v>0</v>
      </c>
      <c r="L286" s="137">
        <f>L74/L$211</f>
        <v>0</v>
      </c>
      <c r="M286" s="137">
        <f>M74/M$211</f>
        <v>0</v>
      </c>
      <c r="N286" s="137">
        <f>N74/N$211</f>
        <v>0</v>
      </c>
      <c r="O286" s="137">
        <f>O74/O$211</f>
        <v>0</v>
      </c>
      <c r="P286" s="137">
        <f>P74/P$211</f>
        <v>0</v>
      </c>
      <c r="Q286" s="137">
        <f>Q74/Q$211</f>
        <v>0</v>
      </c>
      <c r="R286" s="137">
        <f>R74/R$211</f>
        <v>0</v>
      </c>
      <c r="S286" s="137">
        <f>S74/S$211</f>
        <v>0</v>
      </c>
      <c r="T286" s="137">
        <f>T74/T$211</f>
        <v>0</v>
      </c>
      <c r="U286" s="137">
        <f>U74/U$211</f>
        <v>0</v>
      </c>
      <c r="V286" s="137">
        <f>V74/V$211</f>
        <v>2.70939842899986e-6</v>
      </c>
      <c r="W286" s="107"/>
      <c r="X286" s="106">
        <f>X74/X$211</f>
        <v>0</v>
      </c>
      <c r="Y286" s="106">
        <f>Y74/Y$211</f>
        <v>0</v>
      </c>
      <c r="Z286" s="106">
        <f>Z74/Z$211</f>
        <v>0</v>
      </c>
      <c r="AA286" s="107"/>
      <c r="AB286" s="106"/>
      <c r="AC286" s="107">
        <f>AC74/AC$211</f>
        <v>8.82053590801756e-6</v>
      </c>
      <c r="AD286" s="106">
        <f>AD74/AD$211</f>
        <v>1.18212904203217e-6</v>
      </c>
    </row>
    <row r="287" spans="1:30">
      <c r="A287" s="141" t="s">
        <v>175</v>
      </c>
      <c r="B287" s="146" t="e">
        <f>#REF!/B75-1</f>
        <v>#REF!</v>
      </c>
      <c r="C287" s="106">
        <f>C75/C$211</f>
        <v>3.10136909275651e-6</v>
      </c>
      <c r="D287" s="106">
        <f>D75/D$211</f>
        <v>1.43498517319744e-6</v>
      </c>
      <c r="E287" s="106">
        <f>E75/E$211</f>
        <v>0</v>
      </c>
      <c r="F287" s="106">
        <f>F75/F$211</f>
        <v>0</v>
      </c>
      <c r="G287" s="106">
        <f>G75/G$211</f>
        <v>0</v>
      </c>
      <c r="H287" s="106">
        <f>H75/H$211</f>
        <v>0</v>
      </c>
      <c r="I287" s="137">
        <f>I75/I$211</f>
        <v>0</v>
      </c>
      <c r="J287" s="137">
        <f>J75/J$211</f>
        <v>0</v>
      </c>
      <c r="K287" s="137">
        <f>K75/K$211</f>
        <v>0</v>
      </c>
      <c r="L287" s="137">
        <f>L75/L$211</f>
        <v>0</v>
      </c>
      <c r="M287" s="137">
        <f>M75/M$211</f>
        <v>6.1343334263464e-7</v>
      </c>
      <c r="N287" s="137">
        <f>N75/N$211</f>
        <v>0</v>
      </c>
      <c r="O287" s="137">
        <f>O75/O$211</f>
        <v>0.000119702535584628</v>
      </c>
      <c r="P287" s="137">
        <f>P75/P$211</f>
        <v>0.0001197801899275</v>
      </c>
      <c r="Q287" s="137">
        <f>Q75/Q$211</f>
        <v>0</v>
      </c>
      <c r="R287" s="137">
        <f>R75/R$211</f>
        <v>0</v>
      </c>
      <c r="S287" s="137">
        <f>S75/S$211</f>
        <v>0</v>
      </c>
      <c r="T287" s="137">
        <f>T75/T$211</f>
        <v>1.56152343103482e-5</v>
      </c>
      <c r="U287" s="137">
        <f>U75/U$211</f>
        <v>3.8480941113652e-6</v>
      </c>
      <c r="V287" s="137">
        <f>V75/V$211</f>
        <v>0</v>
      </c>
      <c r="W287" s="107"/>
      <c r="X287" s="106">
        <f>X75/X$211</f>
        <v>0</v>
      </c>
      <c r="Y287" s="106">
        <f>Y75/Y$211</f>
        <v>0</v>
      </c>
      <c r="Z287" s="106">
        <f>Z75/Z$211</f>
        <v>0</v>
      </c>
      <c r="AA287" s="107"/>
      <c r="AB287" s="106"/>
      <c r="AC287" s="107">
        <f>AC75/AC$211</f>
        <v>0</v>
      </c>
      <c r="AD287" s="106">
        <f>AD75/AD$211</f>
        <v>0</v>
      </c>
    </row>
    <row r="288" spans="1:30">
      <c r="A288" s="141" t="s">
        <v>177</v>
      </c>
      <c r="B288" s="146" t="e">
        <f>#REF!/B76-1</f>
        <v>#REF!</v>
      </c>
      <c r="C288" s="106">
        <f>C76/C$211</f>
        <v>0</v>
      </c>
      <c r="D288" s="106">
        <f>D76/D$211</f>
        <v>0</v>
      </c>
      <c r="E288" s="106">
        <f>E76/E$211</f>
        <v>0</v>
      </c>
      <c r="F288" s="106">
        <f>F76/F$211</f>
        <v>0</v>
      </c>
      <c r="G288" s="106">
        <f>G76/G$211</f>
        <v>0</v>
      </c>
      <c r="H288" s="106">
        <f>H76/H$211</f>
        <v>0</v>
      </c>
      <c r="I288" s="137">
        <f>I76/I$211</f>
        <v>0</v>
      </c>
      <c r="J288" s="137">
        <f>J76/J$211</f>
        <v>0</v>
      </c>
      <c r="K288" s="137">
        <f>K76/K$211</f>
        <v>0</v>
      </c>
      <c r="L288" s="137">
        <f>L76/L$211</f>
        <v>0</v>
      </c>
      <c r="M288" s="137">
        <f>M76/M$211</f>
        <v>0</v>
      </c>
      <c r="N288" s="137">
        <f>N76/N$211</f>
        <v>0</v>
      </c>
      <c r="O288" s="137">
        <f>O76/O$211</f>
        <v>0</v>
      </c>
      <c r="P288" s="137">
        <f>P76/P$211</f>
        <v>0</v>
      </c>
      <c r="Q288" s="137">
        <f>Q76/Q$211</f>
        <v>0</v>
      </c>
      <c r="R288" s="137">
        <f>R76/R$211</f>
        <v>0</v>
      </c>
      <c r="S288" s="137">
        <f>S76/S$211</f>
        <v>0</v>
      </c>
      <c r="T288" s="137">
        <f>T76/T$211</f>
        <v>0</v>
      </c>
      <c r="U288" s="137">
        <f>U76/U$211</f>
        <v>0</v>
      </c>
      <c r="V288" s="137">
        <f>V76/V$211</f>
        <v>0</v>
      </c>
      <c r="W288" s="107"/>
      <c r="X288" s="106">
        <f>X76/X$211</f>
        <v>0</v>
      </c>
      <c r="Y288" s="106">
        <f>Y76/Y$211</f>
        <v>0</v>
      </c>
      <c r="Z288" s="106">
        <f>Z76/Z$211</f>
        <v>0</v>
      </c>
      <c r="AA288" s="107"/>
      <c r="AB288" s="106"/>
      <c r="AC288" s="107">
        <f>AC76/AC$211</f>
        <v>0</v>
      </c>
      <c r="AD288" s="106">
        <f>AD76/AD$211</f>
        <v>0</v>
      </c>
    </row>
    <row r="289" spans="1:30">
      <c r="A289" s="141" t="s">
        <v>179</v>
      </c>
      <c r="B289" s="146" t="e">
        <f>#REF!/B77-1</f>
        <v>#REF!</v>
      </c>
      <c r="C289" s="106">
        <f>C77/C$211</f>
        <v>3.17587653038052e-6</v>
      </c>
      <c r="D289" s="106">
        <f>D77/D$211</f>
        <v>4.60023936417557e-6</v>
      </c>
      <c r="E289" s="106">
        <f>E77/E$211</f>
        <v>1.17515713412932e-6</v>
      </c>
      <c r="F289" s="106">
        <f>F77/F$211</f>
        <v>6.02930936644599e-6</v>
      </c>
      <c r="G289" s="106">
        <f>G77/G$211</f>
        <v>0</v>
      </c>
      <c r="H289" s="106">
        <f>H77/H$211</f>
        <v>0</v>
      </c>
      <c r="I289" s="137">
        <f>I77/I$211</f>
        <v>0</v>
      </c>
      <c r="J289" s="137">
        <f>J77/J$211</f>
        <v>0</v>
      </c>
      <c r="K289" s="137">
        <f>K77/K$211</f>
        <v>0</v>
      </c>
      <c r="L289" s="137">
        <f>L77/L$211</f>
        <v>0</v>
      </c>
      <c r="M289" s="137">
        <f>M77/M$211</f>
        <v>7.1029331779517e-6</v>
      </c>
      <c r="N289" s="137">
        <f>N77/N$211</f>
        <v>0</v>
      </c>
      <c r="O289" s="137">
        <f>O77/O$211</f>
        <v>0</v>
      </c>
      <c r="P289" s="137">
        <f>P77/P$211</f>
        <v>0</v>
      </c>
      <c r="Q289" s="137">
        <f>Q77/Q$211</f>
        <v>0</v>
      </c>
      <c r="R289" s="137">
        <f>R77/R$211</f>
        <v>0</v>
      </c>
      <c r="S289" s="137">
        <f>S77/S$211</f>
        <v>3.86766402921565e-5</v>
      </c>
      <c r="T289" s="137">
        <f>T77/T$211</f>
        <v>3.93817866484514e-5</v>
      </c>
      <c r="U289" s="137">
        <f>U77/U$211</f>
        <v>1.04937581662186e-5</v>
      </c>
      <c r="V289" s="137">
        <f>V77/V$211</f>
        <v>1.10833383987639e-5</v>
      </c>
      <c r="W289" s="107"/>
      <c r="X289" s="106">
        <f>X77/X$211</f>
        <v>0</v>
      </c>
      <c r="Y289" s="106">
        <f>Y77/Y$211</f>
        <v>0</v>
      </c>
      <c r="Z289" s="106">
        <f>Z77/Z$211</f>
        <v>0</v>
      </c>
      <c r="AA289" s="107"/>
      <c r="AB289" s="106"/>
      <c r="AC289" s="107">
        <f>AC77/AC$211</f>
        <v>1.08528263160141e-6</v>
      </c>
      <c r="AD289" s="106">
        <f>AD77/AD$211</f>
        <v>1.08062514922286e-5</v>
      </c>
    </row>
    <row r="290" spans="1:30">
      <c r="A290" s="141" t="s">
        <v>181</v>
      </c>
      <c r="B290" s="146" t="e">
        <f>#REF!/B78-1</f>
        <v>#REF!</v>
      </c>
      <c r="C290" s="106">
        <f>C78/C$211</f>
        <v>5.62473953346944e-7</v>
      </c>
      <c r="D290" s="106">
        <f>D78/D$211</f>
        <v>3.82289184691342e-7</v>
      </c>
      <c r="E290" s="106">
        <f>E78/E$211</f>
        <v>0</v>
      </c>
      <c r="F290" s="106">
        <f>F78/F$211</f>
        <v>0</v>
      </c>
      <c r="G290" s="106">
        <f>G78/G$211</f>
        <v>0</v>
      </c>
      <c r="H290" s="106">
        <f>H78/H$211</f>
        <v>0</v>
      </c>
      <c r="I290" s="137">
        <f>I78/I$211</f>
        <v>0</v>
      </c>
      <c r="J290" s="137">
        <f>J78/J$211</f>
        <v>0</v>
      </c>
      <c r="K290" s="137">
        <f>K78/K$211</f>
        <v>0</v>
      </c>
      <c r="L290" s="137">
        <f>L78/L$211</f>
        <v>0</v>
      </c>
      <c r="M290" s="137">
        <f>M78/M$211</f>
        <v>0</v>
      </c>
      <c r="N290" s="137">
        <f>N78/N$211</f>
        <v>0</v>
      </c>
      <c r="O290" s="137">
        <f>O78/O$211</f>
        <v>0</v>
      </c>
      <c r="P290" s="137">
        <f>P78/P$211</f>
        <v>0</v>
      </c>
      <c r="Q290" s="137">
        <f>Q78/Q$211</f>
        <v>0</v>
      </c>
      <c r="R290" s="137">
        <f>R78/R$211</f>
        <v>0</v>
      </c>
      <c r="S290" s="137">
        <f>S78/S$211</f>
        <v>0</v>
      </c>
      <c r="T290" s="137">
        <f>T78/T$211</f>
        <v>0</v>
      </c>
      <c r="U290" s="137">
        <f>U78/U$211</f>
        <v>0</v>
      </c>
      <c r="V290" s="137">
        <f>V78/V$211</f>
        <v>0</v>
      </c>
      <c r="W290" s="107"/>
      <c r="X290" s="106">
        <f>X78/X$211</f>
        <v>0</v>
      </c>
      <c r="Y290" s="106">
        <f>Y78/Y$211</f>
        <v>0</v>
      </c>
      <c r="Z290" s="106">
        <f>Z78/Z$211</f>
        <v>0</v>
      </c>
      <c r="AA290" s="107"/>
      <c r="AB290" s="106"/>
      <c r="AC290" s="107">
        <f>AC78/AC$211</f>
        <v>2.12372063555409e-6</v>
      </c>
      <c r="AD290" s="106">
        <f>AD78/AD$211</f>
        <v>1.57230609732024e-6</v>
      </c>
    </row>
    <row r="291" spans="1:30">
      <c r="A291" s="141" t="s">
        <v>183</v>
      </c>
      <c r="B291" s="146" t="e">
        <f>#REF!/B79-1</f>
        <v>#REF!</v>
      </c>
      <c r="C291" s="106">
        <f>C79/C$211</f>
        <v>6.68028306529278e-6</v>
      </c>
      <c r="D291" s="106">
        <f>D79/D$211</f>
        <v>5.8073700735462e-6</v>
      </c>
      <c r="E291" s="106">
        <f>E79/E$211</f>
        <v>0</v>
      </c>
      <c r="F291" s="106">
        <f>F79/F$211</f>
        <v>0</v>
      </c>
      <c r="G291" s="106">
        <f>G79/G$211</f>
        <v>0</v>
      </c>
      <c r="H291" s="106">
        <f>H79/H$211</f>
        <v>0</v>
      </c>
      <c r="I291" s="137">
        <f>I79/I$211</f>
        <v>5.10598378948649e-6</v>
      </c>
      <c r="J291" s="137">
        <f>J79/J$211</f>
        <v>6.29317174857164e-6</v>
      </c>
      <c r="K291" s="137">
        <f>K79/K$211</f>
        <v>0</v>
      </c>
      <c r="L291" s="137">
        <f>L79/L$211</f>
        <v>0</v>
      </c>
      <c r="M291" s="137">
        <f>M79/M$211</f>
        <v>3.05103071935181e-5</v>
      </c>
      <c r="N291" s="137">
        <f>N79/N$211</f>
        <v>1.6212965096795e-5</v>
      </c>
      <c r="O291" s="137">
        <f>O79/O$211</f>
        <v>0</v>
      </c>
      <c r="P291" s="137">
        <f>P79/P$211</f>
        <v>0</v>
      </c>
      <c r="Q291" s="137">
        <f>Q79/Q$211</f>
        <v>0</v>
      </c>
      <c r="R291" s="137">
        <f>R79/R$211</f>
        <v>0</v>
      </c>
      <c r="S291" s="137">
        <f>S79/S$211</f>
        <v>0</v>
      </c>
      <c r="T291" s="137">
        <f>T79/T$211</f>
        <v>0</v>
      </c>
      <c r="U291" s="137">
        <f>U79/U$211</f>
        <v>0</v>
      </c>
      <c r="V291" s="137">
        <f>V79/V$211</f>
        <v>0</v>
      </c>
      <c r="W291" s="107"/>
      <c r="X291" s="106">
        <f>X79/X$211</f>
        <v>0</v>
      </c>
      <c r="Y291" s="106">
        <f>Y79/Y$211</f>
        <v>0</v>
      </c>
      <c r="Z291" s="106">
        <f>Z79/Z$211</f>
        <v>0</v>
      </c>
      <c r="AA291" s="107"/>
      <c r="AB291" s="106"/>
      <c r="AC291" s="107">
        <f>AC79/AC$211</f>
        <v>0</v>
      </c>
      <c r="AD291" s="106">
        <f>AD79/AD$211</f>
        <v>7.83812088950796e-6</v>
      </c>
    </row>
    <row r="292" spans="1:30">
      <c r="A292" s="141" t="s">
        <v>185</v>
      </c>
      <c r="B292" s="146" t="e">
        <f>#REF!/B80-1</f>
        <v>#REF!</v>
      </c>
      <c r="C292" s="106">
        <f>C80/C$211</f>
        <v>3.68116101004903e-5</v>
      </c>
      <c r="D292" s="106">
        <f>D80/D$211</f>
        <v>9.70830263507963e-6</v>
      </c>
      <c r="E292" s="106">
        <f>E80/E$211</f>
        <v>0</v>
      </c>
      <c r="F292" s="106">
        <f>F80/F$211</f>
        <v>0</v>
      </c>
      <c r="G292" s="106">
        <f>G80/G$211</f>
        <v>0</v>
      </c>
      <c r="H292" s="106">
        <f>H80/H$211</f>
        <v>0</v>
      </c>
      <c r="I292" s="137">
        <f>I80/I$211</f>
        <v>0</v>
      </c>
      <c r="J292" s="137">
        <f>J80/J$211</f>
        <v>0</v>
      </c>
      <c r="K292" s="137">
        <f>K80/K$211</f>
        <v>0</v>
      </c>
      <c r="L292" s="137">
        <f>L80/L$211</f>
        <v>0</v>
      </c>
      <c r="M292" s="137">
        <f>M80/M$211</f>
        <v>0</v>
      </c>
      <c r="N292" s="137">
        <f>N80/N$211</f>
        <v>0</v>
      </c>
      <c r="O292" s="137">
        <f>O80/O$211</f>
        <v>0</v>
      </c>
      <c r="P292" s="137">
        <f>P80/P$211</f>
        <v>0</v>
      </c>
      <c r="Q292" s="137">
        <f>Q80/Q$211</f>
        <v>0</v>
      </c>
      <c r="R292" s="137">
        <f>R80/R$211</f>
        <v>0</v>
      </c>
      <c r="S292" s="137">
        <f>S80/S$211</f>
        <v>0</v>
      </c>
      <c r="T292" s="137">
        <f>T80/T$211</f>
        <v>0</v>
      </c>
      <c r="U292" s="137">
        <f>U80/U$211</f>
        <v>0</v>
      </c>
      <c r="V292" s="137">
        <f>V80/V$211</f>
        <v>0</v>
      </c>
      <c r="W292" s="107"/>
      <c r="X292" s="106">
        <f>X80/X$211</f>
        <v>0</v>
      </c>
      <c r="Y292" s="106">
        <f>Y80/Y$211</f>
        <v>0</v>
      </c>
      <c r="Z292" s="106">
        <f>Z80/Z$211</f>
        <v>0</v>
      </c>
      <c r="AA292" s="107"/>
      <c r="AB292" s="106"/>
      <c r="AC292" s="107">
        <f>AC80/AC$211</f>
        <v>0.000138988793228904</v>
      </c>
      <c r="AD292" s="106">
        <f>AD80/AD$211</f>
        <v>3.99289962651971e-5</v>
      </c>
    </row>
    <row r="293" spans="1:30">
      <c r="A293" s="141" t="s">
        <v>187</v>
      </c>
      <c r="B293" s="146" t="e">
        <f>#REF!/B81-1</f>
        <v>#REF!</v>
      </c>
      <c r="C293" s="106">
        <f>C81/C$211</f>
        <v>5.90083211895907e-7</v>
      </c>
      <c r="D293" s="106">
        <f>D81/D$211</f>
        <v>3.13766063914991e-6</v>
      </c>
      <c r="E293" s="106">
        <f>E81/E$211</f>
        <v>0</v>
      </c>
      <c r="F293" s="106">
        <f>F81/F$211</f>
        <v>2.53873086555065e-6</v>
      </c>
      <c r="G293" s="106">
        <f>G81/G$211</f>
        <v>0</v>
      </c>
      <c r="H293" s="106">
        <f>H81/H$211</f>
        <v>0</v>
      </c>
      <c r="I293" s="137">
        <f>I81/I$211</f>
        <v>0</v>
      </c>
      <c r="J293" s="137">
        <f>J81/J$211</f>
        <v>0</v>
      </c>
      <c r="K293" s="137">
        <f>K81/K$211</f>
        <v>0</v>
      </c>
      <c r="L293" s="137">
        <f>L81/L$211</f>
        <v>0</v>
      </c>
      <c r="M293" s="137">
        <f>M81/M$211</f>
        <v>0</v>
      </c>
      <c r="N293" s="137">
        <f>N81/N$211</f>
        <v>0</v>
      </c>
      <c r="O293" s="137">
        <f>O81/O$211</f>
        <v>0</v>
      </c>
      <c r="P293" s="137">
        <f>P81/P$211</f>
        <v>0</v>
      </c>
      <c r="Q293" s="137">
        <f>Q81/Q$211</f>
        <v>0</v>
      </c>
      <c r="R293" s="137">
        <f>R81/R$211</f>
        <v>0</v>
      </c>
      <c r="S293" s="137">
        <f>S81/S$211</f>
        <v>6.13424543374837e-5</v>
      </c>
      <c r="T293" s="137">
        <f>T81/T$211</f>
        <v>1.35775271374381e-5</v>
      </c>
      <c r="U293" s="137">
        <f>U81/U$211</f>
        <v>0</v>
      </c>
      <c r="V293" s="137">
        <f>V81/V$211</f>
        <v>0</v>
      </c>
      <c r="W293" s="107"/>
      <c r="X293" s="106">
        <f>X81/X$211</f>
        <v>0</v>
      </c>
      <c r="Y293" s="106">
        <f>Y81/Y$211</f>
        <v>0</v>
      </c>
      <c r="Z293" s="106">
        <f>Z81/Z$211</f>
        <v>0</v>
      </c>
      <c r="AA293" s="107"/>
      <c r="AB293" s="106"/>
      <c r="AC293" s="107">
        <f>AC81/AC$211</f>
        <v>0</v>
      </c>
      <c r="AD293" s="106">
        <f>AD81/AD$211</f>
        <v>1.10655824322465e-5</v>
      </c>
    </row>
    <row r="294" spans="1:30">
      <c r="A294" s="141" t="s">
        <v>189</v>
      </c>
      <c r="B294" s="146" t="e">
        <f>#REF!/B82-1</f>
        <v>#REF!</v>
      </c>
      <c r="C294" s="106">
        <f>C82/C$211</f>
        <v>2.7369804737761e-6</v>
      </c>
      <c r="D294" s="106">
        <f>D82/D$211</f>
        <v>7.44191298028502e-7</v>
      </c>
      <c r="E294" s="106">
        <f>E82/E$211</f>
        <v>3.33992027594649e-6</v>
      </c>
      <c r="F294" s="106">
        <f>F82/F$211</f>
        <v>1.07099574272396e-6</v>
      </c>
      <c r="G294" s="106">
        <f>G82/G$211</f>
        <v>0</v>
      </c>
      <c r="H294" s="106">
        <f>H82/H$211</f>
        <v>0</v>
      </c>
      <c r="I294" s="137">
        <f>I82/I$211</f>
        <v>0</v>
      </c>
      <c r="J294" s="137">
        <f>J82/J$211</f>
        <v>0</v>
      </c>
      <c r="K294" s="137">
        <f>K82/K$211</f>
        <v>0</v>
      </c>
      <c r="L294" s="137">
        <f>L82/L$211</f>
        <v>0</v>
      </c>
      <c r="M294" s="137">
        <f>M82/M$211</f>
        <v>0</v>
      </c>
      <c r="N294" s="137">
        <f>N82/N$211</f>
        <v>0</v>
      </c>
      <c r="O294" s="137">
        <f>O82/O$211</f>
        <v>0</v>
      </c>
      <c r="P294" s="137">
        <f>P82/P$211</f>
        <v>0</v>
      </c>
      <c r="Q294" s="137">
        <f>Q82/Q$211</f>
        <v>0</v>
      </c>
      <c r="R294" s="137">
        <f>R82/R$211</f>
        <v>0</v>
      </c>
      <c r="S294" s="137">
        <f>S82/S$211</f>
        <v>4.0003152369055e-5</v>
      </c>
      <c r="T294" s="137">
        <f>T82/T$211</f>
        <v>5.4310115039426e-5</v>
      </c>
      <c r="U294" s="137">
        <f>U82/U$211</f>
        <v>0</v>
      </c>
      <c r="V294" s="137">
        <f>V82/V$211</f>
        <v>0</v>
      </c>
      <c r="W294" s="107"/>
      <c r="X294" s="106">
        <f>X82/X$211</f>
        <v>0</v>
      </c>
      <c r="Y294" s="106">
        <f>Y82/Y$211</f>
        <v>0</v>
      </c>
      <c r="Z294" s="106">
        <f>Z82/Z$211</f>
        <v>0</v>
      </c>
      <c r="AA294" s="107"/>
      <c r="AB294" s="106"/>
      <c r="AC294" s="107">
        <f>AC82/AC$211</f>
        <v>7.33879508167936e-6</v>
      </c>
      <c r="AD294" s="106">
        <f>AD82/AD$211</f>
        <v>0</v>
      </c>
    </row>
    <row r="295" spans="1:30">
      <c r="A295" s="141" t="s">
        <v>191</v>
      </c>
      <c r="B295" s="146" t="e">
        <f>#REF!/B83-1</f>
        <v>#REF!</v>
      </c>
      <c r="C295" s="106">
        <f>C83/C$211</f>
        <v>9.20537812951242e-7</v>
      </c>
      <c r="D295" s="106">
        <f>D83/D$211</f>
        <v>1.00615847763468e-6</v>
      </c>
      <c r="E295" s="106">
        <f>E83/E$211</f>
        <v>0</v>
      </c>
      <c r="F295" s="106">
        <f>F83/F$211</f>
        <v>2.53865657534568e-6</v>
      </c>
      <c r="G295" s="106">
        <f>G83/G$211</f>
        <v>0</v>
      </c>
      <c r="H295" s="106">
        <f>H83/H$211</f>
        <v>0</v>
      </c>
      <c r="I295" s="137">
        <f>I83/I$211</f>
        <v>0</v>
      </c>
      <c r="J295" s="137">
        <f>J83/J$211</f>
        <v>0</v>
      </c>
      <c r="K295" s="137">
        <f>K83/K$211</f>
        <v>0</v>
      </c>
      <c r="L295" s="137">
        <f>L83/L$211</f>
        <v>0</v>
      </c>
      <c r="M295" s="137">
        <f>M83/M$211</f>
        <v>0</v>
      </c>
      <c r="N295" s="137">
        <f>N83/N$211</f>
        <v>0</v>
      </c>
      <c r="O295" s="137">
        <f>O83/O$211</f>
        <v>4.16295739418695e-5</v>
      </c>
      <c r="P295" s="137">
        <f>P83/P$211</f>
        <v>0</v>
      </c>
      <c r="Q295" s="137">
        <f>Q83/Q$211</f>
        <v>0</v>
      </c>
      <c r="R295" s="137">
        <f>R83/R$211</f>
        <v>0</v>
      </c>
      <c r="S295" s="137">
        <f>S83/S$211</f>
        <v>0</v>
      </c>
      <c r="T295" s="137">
        <f>T83/T$211</f>
        <v>6.24607795865019e-5</v>
      </c>
      <c r="U295" s="137">
        <f>U83/U$211</f>
        <v>0</v>
      </c>
      <c r="V295" s="137">
        <f>V83/V$211</f>
        <v>0</v>
      </c>
      <c r="W295" s="107"/>
      <c r="X295" s="106">
        <f>X83/X$211</f>
        <v>0</v>
      </c>
      <c r="Y295" s="106">
        <f>Y83/Y$211</f>
        <v>0</v>
      </c>
      <c r="Z295" s="106">
        <f>Z83/Z$211</f>
        <v>0</v>
      </c>
      <c r="AA295" s="107"/>
      <c r="AB295" s="106"/>
      <c r="AC295" s="107">
        <f>AC83/AC$211</f>
        <v>0</v>
      </c>
      <c r="AD295" s="106">
        <f>AD83/AD$211</f>
        <v>0</v>
      </c>
    </row>
    <row r="296" spans="1:30">
      <c r="A296" s="141" t="s">
        <v>193</v>
      </c>
      <c r="B296" s="146" t="e">
        <f>#REF!/B84-1</f>
        <v>#REF!</v>
      </c>
      <c r="C296" s="106">
        <f>C84/C$211</f>
        <v>1.60571570426528e-6</v>
      </c>
      <c r="D296" s="106">
        <f>D84/D$211</f>
        <v>5.76680224670145e-6</v>
      </c>
      <c r="E296" s="106">
        <f>E84/E$211</f>
        <v>4.94803003843924e-6</v>
      </c>
      <c r="F296" s="106">
        <f>F84/F$211</f>
        <v>0</v>
      </c>
      <c r="G296" s="106">
        <f>G84/G$211</f>
        <v>0</v>
      </c>
      <c r="H296" s="106">
        <f>H84/H$211</f>
        <v>0</v>
      </c>
      <c r="I296" s="137">
        <f>I84/I$211</f>
        <v>0</v>
      </c>
      <c r="J296" s="137">
        <f>J84/J$211</f>
        <v>0</v>
      </c>
      <c r="K296" s="137">
        <f>K84/K$211</f>
        <v>0</v>
      </c>
      <c r="L296" s="137">
        <f>L84/L$211</f>
        <v>0</v>
      </c>
      <c r="M296" s="137">
        <f>M84/M$211</f>
        <v>0</v>
      </c>
      <c r="N296" s="137">
        <f>N84/N$211</f>
        <v>0</v>
      </c>
      <c r="O296" s="137">
        <f>O84/O$211</f>
        <v>0</v>
      </c>
      <c r="P296" s="137">
        <f>P84/P$211</f>
        <v>0</v>
      </c>
      <c r="Q296" s="137">
        <f>Q84/Q$211</f>
        <v>0</v>
      </c>
      <c r="R296" s="137">
        <f>R84/R$211</f>
        <v>0</v>
      </c>
      <c r="S296" s="137">
        <f>S84/S$211</f>
        <v>9.20139364378199e-5</v>
      </c>
      <c r="T296" s="137">
        <f>T84/T$211</f>
        <v>7.80765177606703e-5</v>
      </c>
      <c r="U296" s="137">
        <f>U84/U$211</f>
        <v>0</v>
      </c>
      <c r="V296" s="137">
        <f>V84/V$211</f>
        <v>0</v>
      </c>
      <c r="W296" s="107"/>
      <c r="X296" s="106">
        <f>X84/X$211</f>
        <v>0</v>
      </c>
      <c r="Y296" s="106">
        <f>Y84/Y$211</f>
        <v>0</v>
      </c>
      <c r="Z296" s="106">
        <f>Z84/Z$211</f>
        <v>0</v>
      </c>
      <c r="AA296" s="107"/>
      <c r="AB296" s="106"/>
      <c r="AC296" s="107">
        <f>AC84/AC$211</f>
        <v>4.35904491163296e-7</v>
      </c>
      <c r="AD296" s="106">
        <f>AD84/AD$211</f>
        <v>2.00461034782865e-5</v>
      </c>
    </row>
    <row r="297" spans="1:30">
      <c r="A297" s="141" t="s">
        <v>195</v>
      </c>
      <c r="B297" s="146" t="e">
        <f>#REF!/B85-1</f>
        <v>#REF!</v>
      </c>
      <c r="C297" s="106">
        <f>C85/C$211</f>
        <v>0</v>
      </c>
      <c r="D297" s="106">
        <f>D85/D$211</f>
        <v>0</v>
      </c>
      <c r="E297" s="106">
        <f>E85/E$211</f>
        <v>0</v>
      </c>
      <c r="F297" s="106">
        <f>F85/F$211</f>
        <v>0</v>
      </c>
      <c r="G297" s="106">
        <f>G85/G$211</f>
        <v>0</v>
      </c>
      <c r="H297" s="106">
        <f>H85/H$211</f>
        <v>0</v>
      </c>
      <c r="I297" s="137">
        <f>I85/I$211</f>
        <v>0</v>
      </c>
      <c r="J297" s="137">
        <f>J85/J$211</f>
        <v>0</v>
      </c>
      <c r="K297" s="137">
        <f>K85/K$211</f>
        <v>0</v>
      </c>
      <c r="L297" s="137">
        <f>L85/L$211</f>
        <v>0</v>
      </c>
      <c r="M297" s="137">
        <f>M85/M$211</f>
        <v>0</v>
      </c>
      <c r="N297" s="137">
        <f>N85/N$211</f>
        <v>0</v>
      </c>
      <c r="O297" s="137">
        <f>O85/O$211</f>
        <v>0</v>
      </c>
      <c r="P297" s="137">
        <f>P85/P$211</f>
        <v>0</v>
      </c>
      <c r="Q297" s="137">
        <f>Q85/Q$211</f>
        <v>0</v>
      </c>
      <c r="R297" s="137">
        <f>R85/R$211</f>
        <v>0</v>
      </c>
      <c r="S297" s="137">
        <f>S85/S$211</f>
        <v>0</v>
      </c>
      <c r="T297" s="137">
        <f>T85/T$211</f>
        <v>0</v>
      </c>
      <c r="U297" s="137">
        <f>U85/U$211</f>
        <v>0</v>
      </c>
      <c r="V297" s="137">
        <f>V85/V$211</f>
        <v>0</v>
      </c>
      <c r="W297" s="107"/>
      <c r="X297" s="106">
        <f>X85/X$211</f>
        <v>0</v>
      </c>
      <c r="Y297" s="106">
        <f>Y85/Y$211</f>
        <v>0</v>
      </c>
      <c r="Z297" s="106">
        <f>Z85/Z$211</f>
        <v>0</v>
      </c>
      <c r="AA297" s="107"/>
      <c r="AB297" s="106"/>
      <c r="AC297" s="107">
        <f>AC85/AC$211</f>
        <v>0</v>
      </c>
      <c r="AD297" s="106">
        <f>AD85/AD$211</f>
        <v>0</v>
      </c>
    </row>
    <row r="298" spans="1:30">
      <c r="A298" s="141" t="s">
        <v>305</v>
      </c>
      <c r="B298" s="146" t="e">
        <f>#REF!/B86-1</f>
        <v>#REF!</v>
      </c>
      <c r="C298" s="106">
        <f>C86/C$211</f>
        <v>0.000554823559995669</v>
      </c>
      <c r="D298" s="106">
        <f>D86/D$211</f>
        <v>0.000636761820644036</v>
      </c>
      <c r="E298" s="106">
        <f>E86/E$211</f>
        <v>0.00109889467993034</v>
      </c>
      <c r="F298" s="106">
        <f>F86/F$211</f>
        <v>0.00121546929160206</v>
      </c>
      <c r="G298" s="106">
        <f>G86/G$211</f>
        <v>0.00187527991125873</v>
      </c>
      <c r="H298" s="106">
        <f>H86/H$211</f>
        <v>0.00156556596051501</v>
      </c>
      <c r="I298" s="137">
        <f>I86/I$211</f>
        <v>0.000903775017521992</v>
      </c>
      <c r="J298" s="137">
        <f>J86/J$211</f>
        <v>0.00096187098332365</v>
      </c>
      <c r="K298" s="137">
        <f>K86/K$211</f>
        <v>0.000192686959940341</v>
      </c>
      <c r="L298" s="137">
        <f>L86/L$211</f>
        <v>0.000234739200929855</v>
      </c>
      <c r="M298" s="137">
        <f>M86/M$211</f>
        <v>0</v>
      </c>
      <c r="N298" s="137">
        <f>N86/N$211</f>
        <v>2.86042848277529e-5</v>
      </c>
      <c r="O298" s="137">
        <f>O86/O$211</f>
        <v>0</v>
      </c>
      <c r="P298" s="137">
        <f>P86/P$211</f>
        <v>0</v>
      </c>
      <c r="Q298" s="137">
        <f>Q86/Q$211</f>
        <v>0.000653002558860157</v>
      </c>
      <c r="R298" s="137">
        <f>R86/R$211</f>
        <v>0.00044029467914972</v>
      </c>
      <c r="S298" s="137">
        <f>S86/S$211</f>
        <v>0.000598092002474866</v>
      </c>
      <c r="T298" s="137">
        <f>T86/T$211</f>
        <v>0.00693867302813457</v>
      </c>
      <c r="U298" s="137">
        <f>U86/U$211</f>
        <v>0.00184900494031445</v>
      </c>
      <c r="V298" s="137">
        <f>V86/V$211</f>
        <v>0.00205924201830169</v>
      </c>
      <c r="W298" s="107"/>
      <c r="X298" s="106">
        <f>X86/X$211</f>
        <v>0</v>
      </c>
      <c r="Y298" s="106">
        <f>Y86/Y$211</f>
        <v>0</v>
      </c>
      <c r="Z298" s="106">
        <f>Z86/Z$211</f>
        <v>0.000346971646456956</v>
      </c>
      <c r="AA298" s="107"/>
      <c r="AB298" s="106"/>
      <c r="AC298" s="107">
        <f>AC86/AC$211</f>
        <v>0.000106856879489625</v>
      </c>
      <c r="AD298" s="106">
        <f>AD86/AD$211</f>
        <v>0.000108908466152137</v>
      </c>
    </row>
    <row r="299" spans="1:30">
      <c r="A299" s="141" t="s">
        <v>199</v>
      </c>
      <c r="B299" s="146" t="e">
        <f>#REF!/B87-1</f>
        <v>#REF!</v>
      </c>
      <c r="C299" s="106">
        <f>C87/C$211</f>
        <v>1.48575112693193e-6</v>
      </c>
      <c r="D299" s="106">
        <f>D87/D$211</f>
        <v>2.04949737074767e-6</v>
      </c>
      <c r="E299" s="106">
        <f>E87/E$211</f>
        <v>0</v>
      </c>
      <c r="F299" s="106">
        <f>F87/F$211</f>
        <v>0</v>
      </c>
      <c r="G299" s="106">
        <f>G87/G$211</f>
        <v>0</v>
      </c>
      <c r="H299" s="106">
        <f>H87/H$211</f>
        <v>0</v>
      </c>
      <c r="I299" s="137">
        <f>I87/I$211</f>
        <v>0</v>
      </c>
      <c r="J299" s="137">
        <f>J87/J$211</f>
        <v>9.32464618917502e-6</v>
      </c>
      <c r="K299" s="137">
        <f>K87/K$211</f>
        <v>0</v>
      </c>
      <c r="L299" s="137">
        <f>L87/L$211</f>
        <v>0</v>
      </c>
      <c r="M299" s="137">
        <f>M87/M$211</f>
        <v>3.390036121053e-6</v>
      </c>
      <c r="N299" s="137">
        <f>N87/N$211</f>
        <v>4.05324363803835e-6</v>
      </c>
      <c r="O299" s="137">
        <f>O87/O$211</f>
        <v>2.08170636656268e-5</v>
      </c>
      <c r="P299" s="137">
        <f>P87/P$211</f>
        <v>0</v>
      </c>
      <c r="Q299" s="137">
        <f>Q87/Q$211</f>
        <v>0</v>
      </c>
      <c r="R299" s="137">
        <f>R87/R$211</f>
        <v>0</v>
      </c>
      <c r="S299" s="137">
        <f>S87/S$211</f>
        <v>0</v>
      </c>
      <c r="T299" s="137">
        <f>T87/T$211</f>
        <v>0</v>
      </c>
      <c r="U299" s="137">
        <f>U87/U$211</f>
        <v>0</v>
      </c>
      <c r="V299" s="137">
        <f>V87/V$211</f>
        <v>0</v>
      </c>
      <c r="W299" s="107"/>
      <c r="X299" s="106">
        <f>X87/X$211</f>
        <v>0</v>
      </c>
      <c r="Y299" s="106">
        <f>Y87/Y$211</f>
        <v>0</v>
      </c>
      <c r="Z299" s="106">
        <f>Z87/Z$211</f>
        <v>0</v>
      </c>
      <c r="AA299" s="107"/>
      <c r="AB299" s="106"/>
      <c r="AC299" s="107">
        <f>AC87/AC$211</f>
        <v>1.20003464071561e-6</v>
      </c>
      <c r="AD299" s="106">
        <f>AD87/AD$211</f>
        <v>2.49769316035531e-6</v>
      </c>
    </row>
    <row r="300" spans="1:30">
      <c r="A300" s="141" t="s">
        <v>201</v>
      </c>
      <c r="B300" s="146" t="e">
        <f>#REF!/B88-1</f>
        <v>#REF!</v>
      </c>
      <c r="C300" s="106">
        <f>C88/C$211</f>
        <v>0</v>
      </c>
      <c r="D300" s="106">
        <f>D88/D$211</f>
        <v>0</v>
      </c>
      <c r="E300" s="106">
        <f>E88/E$211</f>
        <v>0</v>
      </c>
      <c r="F300" s="106">
        <f>F88/F$211</f>
        <v>0</v>
      </c>
      <c r="G300" s="106">
        <f>G88/G$211</f>
        <v>0</v>
      </c>
      <c r="H300" s="106">
        <f>H88/H$211</f>
        <v>0</v>
      </c>
      <c r="I300" s="137">
        <f>I88/I$211</f>
        <v>0</v>
      </c>
      <c r="J300" s="137">
        <f>J88/J$211</f>
        <v>0</v>
      </c>
      <c r="K300" s="137">
        <f>K88/K$211</f>
        <v>0</v>
      </c>
      <c r="L300" s="137">
        <f>L88/L$211</f>
        <v>0</v>
      </c>
      <c r="M300" s="137">
        <f>M88/M$211</f>
        <v>0</v>
      </c>
      <c r="N300" s="137">
        <f>N88/N$211</f>
        <v>0</v>
      </c>
      <c r="O300" s="137">
        <f>O88/O$211</f>
        <v>0</v>
      </c>
      <c r="P300" s="137">
        <f>P88/P$211</f>
        <v>0</v>
      </c>
      <c r="Q300" s="137">
        <f>Q88/Q$211</f>
        <v>0</v>
      </c>
      <c r="R300" s="137">
        <f>R88/R$211</f>
        <v>0</v>
      </c>
      <c r="S300" s="137">
        <f>S88/S$211</f>
        <v>0</v>
      </c>
      <c r="T300" s="137">
        <f>T88/T$211</f>
        <v>0</v>
      </c>
      <c r="U300" s="137">
        <f>U88/U$211</f>
        <v>0</v>
      </c>
      <c r="V300" s="137">
        <f>V88/V$211</f>
        <v>0</v>
      </c>
      <c r="W300" s="107"/>
      <c r="X300" s="106">
        <f>X88/X$211</f>
        <v>0</v>
      </c>
      <c r="Y300" s="106">
        <f>Y88/Y$211</f>
        <v>0</v>
      </c>
      <c r="Z300" s="106">
        <f>Z88/Z$211</f>
        <v>0</v>
      </c>
      <c r="AA300" s="107"/>
      <c r="AB300" s="106"/>
      <c r="AC300" s="107">
        <f>AC88/AC$211</f>
        <v>0</v>
      </c>
      <c r="AD300" s="106">
        <f>AD88/AD$211</f>
        <v>0</v>
      </c>
    </row>
    <row r="301" spans="1:30">
      <c r="A301" s="141" t="s">
        <v>203</v>
      </c>
      <c r="B301" s="146" t="e">
        <f>#REF!/B89-1</f>
        <v>#REF!</v>
      </c>
      <c r="C301" s="106">
        <f>C89/C$211</f>
        <v>0</v>
      </c>
      <c r="D301" s="106">
        <f>D89/D$211</f>
        <v>0</v>
      </c>
      <c r="E301" s="106">
        <f>E89/E$211</f>
        <v>0</v>
      </c>
      <c r="F301" s="106">
        <f>F89/F$211</f>
        <v>0</v>
      </c>
      <c r="G301" s="106">
        <f>G89/G$211</f>
        <v>0</v>
      </c>
      <c r="H301" s="106">
        <f>H89/H$211</f>
        <v>0</v>
      </c>
      <c r="I301" s="137">
        <f>I89/I$211</f>
        <v>0</v>
      </c>
      <c r="J301" s="137">
        <f>J89/J$211</f>
        <v>0</v>
      </c>
      <c r="K301" s="137">
        <f>K89/K$211</f>
        <v>0</v>
      </c>
      <c r="L301" s="137">
        <f>L89/L$211</f>
        <v>0</v>
      </c>
      <c r="M301" s="137">
        <f>M89/M$211</f>
        <v>0</v>
      </c>
      <c r="N301" s="137">
        <f>N89/N$211</f>
        <v>0</v>
      </c>
      <c r="O301" s="137">
        <f>O89/O$211</f>
        <v>0</v>
      </c>
      <c r="P301" s="137">
        <f>P89/P$211</f>
        <v>0</v>
      </c>
      <c r="Q301" s="137">
        <f>Q89/Q$211</f>
        <v>0</v>
      </c>
      <c r="R301" s="137">
        <f>R89/R$211</f>
        <v>0</v>
      </c>
      <c r="S301" s="137">
        <f>S89/S$211</f>
        <v>0</v>
      </c>
      <c r="T301" s="137">
        <f>T89/T$211</f>
        <v>0</v>
      </c>
      <c r="U301" s="137">
        <f>U89/U$211</f>
        <v>0</v>
      </c>
      <c r="V301" s="137">
        <f>V89/V$211</f>
        <v>0</v>
      </c>
      <c r="W301" s="107"/>
      <c r="X301" s="106">
        <f>X89/X$211</f>
        <v>0</v>
      </c>
      <c r="Y301" s="106">
        <f>Y89/Y$211</f>
        <v>0</v>
      </c>
      <c r="Z301" s="106">
        <f>Z89/Z$211</f>
        <v>0</v>
      </c>
      <c r="AA301" s="107"/>
      <c r="AB301" s="106"/>
      <c r="AC301" s="107">
        <f>AC89/AC$211</f>
        <v>0</v>
      </c>
      <c r="AD301" s="106">
        <f>AD89/AD$211</f>
        <v>0</v>
      </c>
    </row>
    <row r="302" spans="1:30">
      <c r="A302" s="141" t="s">
        <v>205</v>
      </c>
      <c r="B302" s="146" t="e">
        <f>#REF!/B90-1</f>
        <v>#REF!</v>
      </c>
      <c r="C302" s="106">
        <f>C90/C$211</f>
        <v>0</v>
      </c>
      <c r="D302" s="106">
        <f>D90/D$211</f>
        <v>7.1423734731786e-7</v>
      </c>
      <c r="E302" s="106">
        <f>E90/E$211</f>
        <v>0</v>
      </c>
      <c r="F302" s="106">
        <f>F90/F$211</f>
        <v>0</v>
      </c>
      <c r="G302" s="106">
        <f>G90/G$211</f>
        <v>0</v>
      </c>
      <c r="H302" s="106">
        <f>H90/H$211</f>
        <v>0</v>
      </c>
      <c r="I302" s="137">
        <f>I90/I$211</f>
        <v>0</v>
      </c>
      <c r="J302" s="137">
        <f>J90/J$211</f>
        <v>0</v>
      </c>
      <c r="K302" s="137">
        <f>K90/K$211</f>
        <v>0</v>
      </c>
      <c r="L302" s="137">
        <f>L90/L$211</f>
        <v>0</v>
      </c>
      <c r="M302" s="137">
        <f>M90/M$211</f>
        <v>0</v>
      </c>
      <c r="N302" s="137">
        <f>N90/N$211</f>
        <v>0</v>
      </c>
      <c r="O302" s="137">
        <f>O90/O$211</f>
        <v>0</v>
      </c>
      <c r="P302" s="137">
        <f>P90/P$211</f>
        <v>0</v>
      </c>
      <c r="Q302" s="137">
        <f>Q90/Q$211</f>
        <v>0</v>
      </c>
      <c r="R302" s="137">
        <f>R90/R$211</f>
        <v>0</v>
      </c>
      <c r="S302" s="137">
        <f>S90/S$211</f>
        <v>0</v>
      </c>
      <c r="T302" s="137">
        <f>T90/T$211</f>
        <v>6.24603194328618e-5</v>
      </c>
      <c r="U302" s="137">
        <f>U90/U$211</f>
        <v>0</v>
      </c>
      <c r="V302" s="137">
        <f>V90/V$211</f>
        <v>0</v>
      </c>
      <c r="W302" s="107"/>
      <c r="X302" s="106">
        <f>X90/X$211</f>
        <v>0</v>
      </c>
      <c r="Y302" s="106">
        <f>Y90/Y$211</f>
        <v>0</v>
      </c>
      <c r="Z302" s="106">
        <f>Z90/Z$211</f>
        <v>0</v>
      </c>
      <c r="AA302" s="107"/>
      <c r="AB302" s="106"/>
      <c r="AC302" s="107">
        <f>AC90/AC$211</f>
        <v>0</v>
      </c>
      <c r="AD302" s="106">
        <f>AD90/AD$211</f>
        <v>0</v>
      </c>
    </row>
    <row r="303" spans="1:30">
      <c r="A303" s="141" t="s">
        <v>207</v>
      </c>
      <c r="B303" s="146" t="e">
        <f>#REF!/B91-1</f>
        <v>#REF!</v>
      </c>
      <c r="C303" s="106">
        <f>C91/C$211</f>
        <v>0</v>
      </c>
      <c r="D303" s="106">
        <f>D91/D$211</f>
        <v>0</v>
      </c>
      <c r="E303" s="106">
        <f>E91/E$211</f>
        <v>0</v>
      </c>
      <c r="F303" s="106">
        <f>F91/F$211</f>
        <v>0</v>
      </c>
      <c r="G303" s="106">
        <f>G91/G$211</f>
        <v>0</v>
      </c>
      <c r="H303" s="106">
        <f>H91/H$211</f>
        <v>0</v>
      </c>
      <c r="I303" s="137">
        <f>I91/I$211</f>
        <v>0</v>
      </c>
      <c r="J303" s="137">
        <f>J91/J$211</f>
        <v>0</v>
      </c>
      <c r="K303" s="137">
        <f>K91/K$211</f>
        <v>0</v>
      </c>
      <c r="L303" s="137">
        <f>L91/L$211</f>
        <v>0</v>
      </c>
      <c r="M303" s="137">
        <f>M91/M$211</f>
        <v>0</v>
      </c>
      <c r="N303" s="137">
        <f>N91/N$211</f>
        <v>0</v>
      </c>
      <c r="O303" s="137">
        <f>O91/O$211</f>
        <v>0</v>
      </c>
      <c r="P303" s="137">
        <f>P91/P$211</f>
        <v>0</v>
      </c>
      <c r="Q303" s="137">
        <f>Q91/Q$211</f>
        <v>0</v>
      </c>
      <c r="R303" s="137">
        <f>R91/R$211</f>
        <v>0</v>
      </c>
      <c r="S303" s="137">
        <f>S91/S$211</f>
        <v>0</v>
      </c>
      <c r="T303" s="137">
        <f>T91/T$211</f>
        <v>0</v>
      </c>
      <c r="U303" s="137">
        <f>U91/U$211</f>
        <v>0</v>
      </c>
      <c r="V303" s="137">
        <f>V91/V$211</f>
        <v>0</v>
      </c>
      <c r="W303" s="107"/>
      <c r="X303" s="106">
        <f>X91/X$211</f>
        <v>0</v>
      </c>
      <c r="Y303" s="106">
        <f>Y91/Y$211</f>
        <v>0</v>
      </c>
      <c r="Z303" s="106">
        <f>Z91/Z$211</f>
        <v>0</v>
      </c>
      <c r="AA303" s="107"/>
      <c r="AB303" s="106"/>
      <c r="AC303" s="107">
        <f>AC91/AC$211</f>
        <v>0</v>
      </c>
      <c r="AD303" s="106">
        <f>AD91/AD$211</f>
        <v>0</v>
      </c>
    </row>
    <row r="304" spans="1:30">
      <c r="A304" s="141" t="s">
        <v>209</v>
      </c>
      <c r="B304" s="146" t="e">
        <f>#REF!/B92-1</f>
        <v>#REF!</v>
      </c>
      <c r="C304" s="106">
        <f>C92/C$211</f>
        <v>0</v>
      </c>
      <c r="D304" s="106">
        <f>D92/D$211</f>
        <v>0</v>
      </c>
      <c r="E304" s="106">
        <f>E92/E$211</f>
        <v>0</v>
      </c>
      <c r="F304" s="106">
        <f>F92/F$211</f>
        <v>0</v>
      </c>
      <c r="G304" s="106">
        <f>G92/G$211</f>
        <v>0</v>
      </c>
      <c r="H304" s="106">
        <f>H92/H$211</f>
        <v>0</v>
      </c>
      <c r="I304" s="137">
        <f>I92/I$211</f>
        <v>0</v>
      </c>
      <c r="J304" s="137">
        <f>J92/J$211</f>
        <v>0</v>
      </c>
      <c r="K304" s="137">
        <f>K92/K$211</f>
        <v>0</v>
      </c>
      <c r="L304" s="137">
        <f>L92/L$211</f>
        <v>0</v>
      </c>
      <c r="M304" s="137">
        <f>M92/M$211</f>
        <v>0</v>
      </c>
      <c r="N304" s="137">
        <f>N92/N$211</f>
        <v>0</v>
      </c>
      <c r="O304" s="137">
        <f>O92/O$211</f>
        <v>0</v>
      </c>
      <c r="P304" s="137">
        <f>P92/P$211</f>
        <v>0</v>
      </c>
      <c r="Q304" s="137">
        <f>Q92/Q$211</f>
        <v>0</v>
      </c>
      <c r="R304" s="137">
        <f>R92/R$211</f>
        <v>0</v>
      </c>
      <c r="S304" s="137">
        <f>S92/S$211</f>
        <v>0</v>
      </c>
      <c r="T304" s="137">
        <f>T92/T$211</f>
        <v>0</v>
      </c>
      <c r="U304" s="137">
        <f>U92/U$211</f>
        <v>0</v>
      </c>
      <c r="V304" s="137">
        <f>V92/V$211</f>
        <v>0</v>
      </c>
      <c r="W304" s="107"/>
      <c r="X304" s="106">
        <f>X92/X$211</f>
        <v>0</v>
      </c>
      <c r="Y304" s="106">
        <f>Y92/Y$211</f>
        <v>0</v>
      </c>
      <c r="Z304" s="106">
        <f>Z92/Z$211</f>
        <v>0</v>
      </c>
      <c r="AA304" s="107"/>
      <c r="AB304" s="106"/>
      <c r="AC304" s="107">
        <f>AC92/AC$211</f>
        <v>0</v>
      </c>
      <c r="AD304" s="106">
        <f>AD92/AD$211</f>
        <v>0</v>
      </c>
    </row>
    <row r="305" spans="1:30">
      <c r="A305" s="141" t="s">
        <v>211</v>
      </c>
      <c r="B305" s="146" t="e">
        <f>#REF!/B93-1</f>
        <v>#REF!</v>
      </c>
      <c r="C305" s="106">
        <f>C93/C$211</f>
        <v>5.90820087822751e-6</v>
      </c>
      <c r="D305" s="106">
        <f>D93/D$211</f>
        <v>1.10374082189953e-5</v>
      </c>
      <c r="E305" s="106">
        <f>E93/E$211</f>
        <v>0</v>
      </c>
      <c r="F305" s="106">
        <f>F93/F$211</f>
        <v>0</v>
      </c>
      <c r="G305" s="106">
        <f>G93/G$211</f>
        <v>0</v>
      </c>
      <c r="H305" s="106">
        <f>H93/H$211</f>
        <v>0</v>
      </c>
      <c r="I305" s="137">
        <f>I93/I$211</f>
        <v>0</v>
      </c>
      <c r="J305" s="137">
        <f>J93/J$211</f>
        <v>0</v>
      </c>
      <c r="K305" s="137">
        <f>K93/K$211</f>
        <v>0</v>
      </c>
      <c r="L305" s="137">
        <f>L93/L$211</f>
        <v>0</v>
      </c>
      <c r="M305" s="137">
        <f>M93/M$211</f>
        <v>0</v>
      </c>
      <c r="N305" s="137">
        <f>N93/N$211</f>
        <v>0</v>
      </c>
      <c r="O305" s="137">
        <f>O93/O$211</f>
        <v>0</v>
      </c>
      <c r="P305" s="137">
        <f>P93/P$211</f>
        <v>0</v>
      </c>
      <c r="Q305" s="137">
        <f>Q93/Q$211</f>
        <v>0</v>
      </c>
      <c r="R305" s="137">
        <f>R93/R$211</f>
        <v>0</v>
      </c>
      <c r="S305" s="137">
        <f>S93/S$211</f>
        <v>0</v>
      </c>
      <c r="T305" s="137">
        <f>T93/T$211</f>
        <v>0</v>
      </c>
      <c r="U305" s="137">
        <f>U93/U$211</f>
        <v>0</v>
      </c>
      <c r="V305" s="137">
        <f>V93/V$211</f>
        <v>0</v>
      </c>
      <c r="W305" s="107"/>
      <c r="X305" s="106">
        <f>X93/X$211</f>
        <v>0</v>
      </c>
      <c r="Y305" s="106">
        <f>Y93/Y$211</f>
        <v>0</v>
      </c>
      <c r="Z305" s="106">
        <f>Z93/Z$211</f>
        <v>0</v>
      </c>
      <c r="AA305" s="107"/>
      <c r="AB305" s="106"/>
      <c r="AC305" s="107">
        <f>AC93/AC$211</f>
        <v>2.23074651713715e-5</v>
      </c>
      <c r="AD305" s="106">
        <f>AD93/AD$211</f>
        <v>4.53954360632789e-5</v>
      </c>
    </row>
    <row r="306" spans="1:30">
      <c r="A306" s="141" t="s">
        <v>213</v>
      </c>
      <c r="B306" s="146" t="e">
        <f>#REF!/B94-1</f>
        <v>#REF!</v>
      </c>
      <c r="C306" s="106">
        <f>C94/C$211</f>
        <v>6.23325827873146e-7</v>
      </c>
      <c r="D306" s="106">
        <f>D94/D$211</f>
        <v>0</v>
      </c>
      <c r="E306" s="106">
        <f>E94/E$211</f>
        <v>3.33992027594649e-6</v>
      </c>
      <c r="F306" s="106">
        <f>F94/F$211</f>
        <v>0</v>
      </c>
      <c r="G306" s="106">
        <f>G94/G$211</f>
        <v>0</v>
      </c>
      <c r="H306" s="106">
        <f>H94/H$211</f>
        <v>0</v>
      </c>
      <c r="I306" s="137">
        <f>I94/I$211</f>
        <v>0</v>
      </c>
      <c r="J306" s="137">
        <f>J94/J$211</f>
        <v>0</v>
      </c>
      <c r="K306" s="137">
        <f>K94/K$211</f>
        <v>1.61924732762519e-6</v>
      </c>
      <c r="L306" s="137">
        <f>L94/L$211</f>
        <v>0</v>
      </c>
      <c r="M306" s="137">
        <f>M94/M$211</f>
        <v>0</v>
      </c>
      <c r="N306" s="137">
        <f>N94/N$211</f>
        <v>0</v>
      </c>
      <c r="O306" s="137">
        <f>O94/O$211</f>
        <v>4.46212475016086e-6</v>
      </c>
      <c r="P306" s="137">
        <f>P94/P$211</f>
        <v>0</v>
      </c>
      <c r="Q306" s="137">
        <f>Q94/Q$211</f>
        <v>0</v>
      </c>
      <c r="R306" s="137">
        <f>R94/R$211</f>
        <v>0</v>
      </c>
      <c r="S306" s="137">
        <f>S94/S$211</f>
        <v>0</v>
      </c>
      <c r="T306" s="137">
        <f>T94/T$211</f>
        <v>0</v>
      </c>
      <c r="U306" s="137">
        <f>U94/U$211</f>
        <v>0</v>
      </c>
      <c r="V306" s="137">
        <f>V94/V$211</f>
        <v>0</v>
      </c>
      <c r="W306" s="107"/>
      <c r="X306" s="106">
        <f>X94/X$211</f>
        <v>0</v>
      </c>
      <c r="Y306" s="106">
        <f>Y94/Y$211</f>
        <v>0</v>
      </c>
      <c r="Z306" s="106">
        <f>Z94/Z$211</f>
        <v>0</v>
      </c>
      <c r="AA306" s="107"/>
      <c r="AB306" s="106"/>
      <c r="AC306" s="107">
        <f>AC94/AC$211</f>
        <v>0</v>
      </c>
      <c r="AD306" s="106">
        <f>AD94/AD$211</f>
        <v>0</v>
      </c>
    </row>
    <row r="307" spans="1:30">
      <c r="A307" s="141" t="s">
        <v>215</v>
      </c>
      <c r="B307" s="146" t="e">
        <f>#REF!/B95-1</f>
        <v>#REF!</v>
      </c>
      <c r="C307" s="106">
        <f>C95/C$211</f>
        <v>1.47522434195328e-7</v>
      </c>
      <c r="D307" s="106">
        <f>D95/D$211</f>
        <v>0</v>
      </c>
      <c r="E307" s="106">
        <f>E95/E$211</f>
        <v>0</v>
      </c>
      <c r="F307" s="106">
        <f>F95/F$211</f>
        <v>0</v>
      </c>
      <c r="G307" s="106">
        <f>G95/G$211</f>
        <v>0</v>
      </c>
      <c r="H307" s="106">
        <f>H95/H$211</f>
        <v>0</v>
      </c>
      <c r="I307" s="137">
        <f>I95/I$211</f>
        <v>0</v>
      </c>
      <c r="J307" s="137">
        <f>J95/J$211</f>
        <v>0</v>
      </c>
      <c r="K307" s="137">
        <f>K95/K$211</f>
        <v>0</v>
      </c>
      <c r="L307" s="137">
        <f>L95/L$211</f>
        <v>0</v>
      </c>
      <c r="M307" s="137">
        <f>M95/M$211</f>
        <v>0</v>
      </c>
      <c r="N307" s="137">
        <f>N95/N$211</f>
        <v>0</v>
      </c>
      <c r="O307" s="137">
        <f>O95/O$211</f>
        <v>0</v>
      </c>
      <c r="P307" s="137">
        <f>P95/P$211</f>
        <v>0</v>
      </c>
      <c r="Q307" s="137">
        <f>Q95/Q$211</f>
        <v>0</v>
      </c>
      <c r="R307" s="137">
        <f>R95/R$211</f>
        <v>0</v>
      </c>
      <c r="S307" s="137">
        <f>S95/S$211</f>
        <v>1.53357831589652e-5</v>
      </c>
      <c r="T307" s="137">
        <f>T95/T$211</f>
        <v>0</v>
      </c>
      <c r="U307" s="137">
        <f>U95/U$211</f>
        <v>0</v>
      </c>
      <c r="V307" s="137">
        <f>V95/V$211</f>
        <v>0</v>
      </c>
      <c r="W307" s="107"/>
      <c r="X307" s="106">
        <f>X95/X$211</f>
        <v>0</v>
      </c>
      <c r="Y307" s="106">
        <f>Y95/Y$211</f>
        <v>0</v>
      </c>
      <c r="Z307" s="106">
        <f>Z95/Z$211</f>
        <v>0</v>
      </c>
      <c r="AA307" s="107"/>
      <c r="AB307" s="106"/>
      <c r="AC307" s="107">
        <f>AC95/AC$211</f>
        <v>0</v>
      </c>
      <c r="AD307" s="106">
        <f>AD95/AD$211</f>
        <v>0</v>
      </c>
    </row>
    <row r="308" spans="1:30">
      <c r="A308" s="141" t="s">
        <v>217</v>
      </c>
      <c r="B308" s="146" t="e">
        <f>#REF!/B96-1</f>
        <v>#REF!</v>
      </c>
      <c r="C308" s="106">
        <f>C96/C$211</f>
        <v>4.58531503426067e-7</v>
      </c>
      <c r="D308" s="106">
        <f>D96/D$211</f>
        <v>3.72566201083083e-7</v>
      </c>
      <c r="E308" s="106">
        <f>E96/E$211</f>
        <v>0</v>
      </c>
      <c r="F308" s="106">
        <f>F96/F$211</f>
        <v>0</v>
      </c>
      <c r="G308" s="106">
        <f>G96/G$211</f>
        <v>0</v>
      </c>
      <c r="H308" s="106">
        <f>H96/H$211</f>
        <v>0</v>
      </c>
      <c r="I308" s="137">
        <f>I96/I$211</f>
        <v>0</v>
      </c>
      <c r="J308" s="137">
        <f>J96/J$211</f>
        <v>0</v>
      </c>
      <c r="K308" s="137">
        <f>K96/K$211</f>
        <v>0</v>
      </c>
      <c r="L308" s="137">
        <f>L96/L$211</f>
        <v>0</v>
      </c>
      <c r="M308" s="137">
        <f>M96/M$211</f>
        <v>0</v>
      </c>
      <c r="N308" s="137">
        <f>N96/N$211</f>
        <v>0</v>
      </c>
      <c r="O308" s="137">
        <f>O96/O$211</f>
        <v>0</v>
      </c>
      <c r="P308" s="137">
        <f>P96/P$211</f>
        <v>0</v>
      </c>
      <c r="Q308" s="137">
        <f>Q96/Q$211</f>
        <v>0</v>
      </c>
      <c r="R308" s="137">
        <f>R96/R$211</f>
        <v>0</v>
      </c>
      <c r="S308" s="137">
        <f>S96/S$211</f>
        <v>1.06659763822023e-5</v>
      </c>
      <c r="T308" s="137">
        <f>T96/T$211</f>
        <v>3.25810516867035e-5</v>
      </c>
      <c r="U308" s="137">
        <f>U96/U$211</f>
        <v>4.19631394307921e-6</v>
      </c>
      <c r="V308" s="137">
        <f>V96/V$211</f>
        <v>0</v>
      </c>
      <c r="W308" s="107"/>
      <c r="X308" s="106">
        <f>X96/X$211</f>
        <v>0</v>
      </c>
      <c r="Y308" s="106">
        <f>Y96/Y$211</f>
        <v>0</v>
      </c>
      <c r="Z308" s="106">
        <f>Z96/Z$211</f>
        <v>0</v>
      </c>
      <c r="AA308" s="107"/>
      <c r="AB308" s="106"/>
      <c r="AC308" s="107">
        <f>AC96/AC$211</f>
        <v>0</v>
      </c>
      <c r="AD308" s="106">
        <f>AD96/AD$211</f>
        <v>0</v>
      </c>
    </row>
    <row r="309" spans="1:30">
      <c r="A309" s="141" t="s">
        <v>219</v>
      </c>
      <c r="B309" s="146" t="e">
        <f>#REF!/B97-1</f>
        <v>#REF!</v>
      </c>
      <c r="C309" s="106">
        <f>C97/C$211</f>
        <v>0</v>
      </c>
      <c r="D309" s="106">
        <f>D97/D$211</f>
        <v>0</v>
      </c>
      <c r="E309" s="106">
        <f>E97/E$211</f>
        <v>0</v>
      </c>
      <c r="F309" s="106">
        <f>F97/F$211</f>
        <v>0</v>
      </c>
      <c r="G309" s="106">
        <f>G97/G$211</f>
        <v>0</v>
      </c>
      <c r="H309" s="106">
        <f>H97/H$211</f>
        <v>0</v>
      </c>
      <c r="I309" s="137">
        <f>I97/I$211</f>
        <v>0</v>
      </c>
      <c r="J309" s="137">
        <f>J97/J$211</f>
        <v>0</v>
      </c>
      <c r="K309" s="137">
        <f>K97/K$211</f>
        <v>0</v>
      </c>
      <c r="L309" s="137">
        <f>L97/L$211</f>
        <v>0</v>
      </c>
      <c r="M309" s="137">
        <f>M97/M$211</f>
        <v>0</v>
      </c>
      <c r="N309" s="137">
        <f>N97/N$211</f>
        <v>0</v>
      </c>
      <c r="O309" s="137">
        <f>O97/O$211</f>
        <v>0</v>
      </c>
      <c r="P309" s="137">
        <f>P97/P$211</f>
        <v>0</v>
      </c>
      <c r="Q309" s="137">
        <f>Q97/Q$211</f>
        <v>0</v>
      </c>
      <c r="R309" s="137">
        <f>R97/R$211</f>
        <v>0</v>
      </c>
      <c r="S309" s="137">
        <f>S97/S$211</f>
        <v>0</v>
      </c>
      <c r="T309" s="137">
        <f>T97/T$211</f>
        <v>0</v>
      </c>
      <c r="U309" s="137">
        <f>U97/U$211</f>
        <v>0</v>
      </c>
      <c r="V309" s="137">
        <f>V97/V$211</f>
        <v>0</v>
      </c>
      <c r="W309" s="107"/>
      <c r="X309" s="106">
        <f>X97/X$211</f>
        <v>0</v>
      </c>
      <c r="Y309" s="106">
        <f>Y97/Y$211</f>
        <v>0</v>
      </c>
      <c r="Z309" s="106">
        <f>Z97/Z$211</f>
        <v>0</v>
      </c>
      <c r="AA309" s="107"/>
      <c r="AB309" s="106"/>
      <c r="AC309" s="107">
        <f>AC97/AC$211</f>
        <v>0</v>
      </c>
      <c r="AD309" s="106">
        <f>AD97/AD$211</f>
        <v>0</v>
      </c>
    </row>
    <row r="310" spans="1:30">
      <c r="A310" s="141" t="s">
        <v>221</v>
      </c>
      <c r="B310" s="146" t="e">
        <f>#REF!/B98-1</f>
        <v>#REF!</v>
      </c>
      <c r="C310" s="106">
        <f>C98/C$211</f>
        <v>0</v>
      </c>
      <c r="D310" s="106">
        <f>D98/D$211</f>
        <v>4.96977092347108e-7</v>
      </c>
      <c r="E310" s="106">
        <f>E98/E$211</f>
        <v>0</v>
      </c>
      <c r="F310" s="106">
        <f>F98/F$211</f>
        <v>0</v>
      </c>
      <c r="G310" s="106">
        <f>G98/G$211</f>
        <v>0</v>
      </c>
      <c r="H310" s="106">
        <f>H98/H$211</f>
        <v>0</v>
      </c>
      <c r="I310" s="137">
        <f>I98/I$211</f>
        <v>0</v>
      </c>
      <c r="J310" s="137">
        <f>J98/J$211</f>
        <v>0</v>
      </c>
      <c r="K310" s="137">
        <f>K98/K$211</f>
        <v>0</v>
      </c>
      <c r="L310" s="137">
        <f>L98/L$211</f>
        <v>0</v>
      </c>
      <c r="M310" s="137">
        <f>M98/M$211</f>
        <v>0</v>
      </c>
      <c r="N310" s="137">
        <f>N98/N$211</f>
        <v>0</v>
      </c>
      <c r="O310" s="137">
        <f>O98/O$211</f>
        <v>0</v>
      </c>
      <c r="P310" s="137">
        <f>P98/P$211</f>
        <v>0</v>
      </c>
      <c r="Q310" s="137">
        <f>Q98/Q$211</f>
        <v>0</v>
      </c>
      <c r="R310" s="137">
        <f>R98/R$211</f>
        <v>0</v>
      </c>
      <c r="S310" s="137">
        <f>S98/S$211</f>
        <v>0</v>
      </c>
      <c r="T310" s="137">
        <f>T98/T$211</f>
        <v>0</v>
      </c>
      <c r="U310" s="137">
        <f>U98/U$211</f>
        <v>0</v>
      </c>
      <c r="V310" s="137">
        <f>V98/V$211</f>
        <v>0</v>
      </c>
      <c r="W310" s="107"/>
      <c r="X310" s="106">
        <f>X98/X$211</f>
        <v>0</v>
      </c>
      <c r="Y310" s="106">
        <f>Y98/Y$211</f>
        <v>0</v>
      </c>
      <c r="Z310" s="106">
        <f>Z98/Z$211</f>
        <v>0</v>
      </c>
      <c r="AA310" s="107"/>
      <c r="AB310" s="106"/>
      <c r="AC310" s="107">
        <f>AC98/AC$211</f>
        <v>0</v>
      </c>
      <c r="AD310" s="106">
        <f>AD98/AD$211</f>
        <v>2.04400266556518e-6</v>
      </c>
    </row>
    <row r="311" spans="1:30">
      <c r="A311" s="141" t="s">
        <v>223</v>
      </c>
      <c r="B311" s="146" t="e">
        <f>#REF!/B99-1</f>
        <v>#REF!</v>
      </c>
      <c r="C311" s="106">
        <f>C99/C$211</f>
        <v>0</v>
      </c>
      <c r="D311" s="106">
        <f>D99/D$211</f>
        <v>0</v>
      </c>
      <c r="E311" s="106">
        <f>E99/E$211</f>
        <v>0</v>
      </c>
      <c r="F311" s="106">
        <f>F99/F$211</f>
        <v>0</v>
      </c>
      <c r="G311" s="106">
        <f>G99/G$211</f>
        <v>0</v>
      </c>
      <c r="H311" s="106">
        <f>H99/H$211</f>
        <v>0</v>
      </c>
      <c r="I311" s="137">
        <f>I99/I$211</f>
        <v>0</v>
      </c>
      <c r="J311" s="137">
        <f>J99/J$211</f>
        <v>0</v>
      </c>
      <c r="K311" s="137">
        <f>K99/K$211</f>
        <v>0</v>
      </c>
      <c r="L311" s="137">
        <f>L99/L$211</f>
        <v>0</v>
      </c>
      <c r="M311" s="137">
        <f>M99/M$211</f>
        <v>0</v>
      </c>
      <c r="N311" s="137">
        <f>N99/N$211</f>
        <v>0</v>
      </c>
      <c r="O311" s="137">
        <f>O99/O$211</f>
        <v>0</v>
      </c>
      <c r="P311" s="137">
        <f>P99/P$211</f>
        <v>0</v>
      </c>
      <c r="Q311" s="137">
        <f>Q99/Q$211</f>
        <v>0</v>
      </c>
      <c r="R311" s="137">
        <f>R99/R$211</f>
        <v>0</v>
      </c>
      <c r="S311" s="137">
        <f>S99/S$211</f>
        <v>0</v>
      </c>
      <c r="T311" s="137">
        <f>T99/T$211</f>
        <v>0</v>
      </c>
      <c r="U311" s="137">
        <f>U99/U$211</f>
        <v>0</v>
      </c>
      <c r="V311" s="137">
        <f>V99/V$211</f>
        <v>0</v>
      </c>
      <c r="W311" s="107"/>
      <c r="X311" s="106">
        <f>X99/X$211</f>
        <v>0</v>
      </c>
      <c r="Y311" s="106">
        <f>Y99/Y$211</f>
        <v>0</v>
      </c>
      <c r="Z311" s="106">
        <f>Z99/Z$211</f>
        <v>0</v>
      </c>
      <c r="AA311" s="107"/>
      <c r="AB311" s="106"/>
      <c r="AC311" s="107">
        <f>AC99/AC$211</f>
        <v>0</v>
      </c>
      <c r="AD311" s="106">
        <f>AD99/AD$211</f>
        <v>0</v>
      </c>
    </row>
    <row r="312" spans="1:30">
      <c r="A312" s="141" t="s">
        <v>225</v>
      </c>
      <c r="B312" s="146" t="e">
        <f>#REF!/B100-1</f>
        <v>#REF!</v>
      </c>
      <c r="C312" s="106">
        <f>C100/C$211</f>
        <v>5.76901544505204e-7</v>
      </c>
      <c r="D312" s="106">
        <f>D100/D$211</f>
        <v>2.00081056665483e-6</v>
      </c>
      <c r="E312" s="106">
        <f>E100/E$211</f>
        <v>0</v>
      </c>
      <c r="F312" s="106">
        <f>F100/F$211</f>
        <v>0</v>
      </c>
      <c r="G312" s="106">
        <f>G100/G$211</f>
        <v>0</v>
      </c>
      <c r="H312" s="106">
        <f>H100/H$211</f>
        <v>0</v>
      </c>
      <c r="I312" s="137">
        <f>I100/I$211</f>
        <v>0</v>
      </c>
      <c r="J312" s="137">
        <f>J100/J$211</f>
        <v>0</v>
      </c>
      <c r="K312" s="137">
        <f>K100/K$211</f>
        <v>0</v>
      </c>
      <c r="L312" s="137">
        <f>L100/L$211</f>
        <v>0</v>
      </c>
      <c r="M312" s="137">
        <f>M100/M$211</f>
        <v>0</v>
      </c>
      <c r="N312" s="137">
        <f>N100/N$211</f>
        <v>0</v>
      </c>
      <c r="O312" s="137">
        <f>O100/O$211</f>
        <v>0</v>
      </c>
      <c r="P312" s="137">
        <f>P100/P$211</f>
        <v>0</v>
      </c>
      <c r="Q312" s="137">
        <f>Q100/Q$211</f>
        <v>1.8446399967801e-6</v>
      </c>
      <c r="R312" s="137">
        <f>R100/R$211</f>
        <v>2.00133945068055e-5</v>
      </c>
      <c r="S312" s="137">
        <f>S100/S$211</f>
        <v>4.60075032485815e-5</v>
      </c>
      <c r="T312" s="137">
        <f>T100/T$211</f>
        <v>1.56152452460411e-5</v>
      </c>
      <c r="U312" s="137">
        <f>U100/U$211</f>
        <v>0</v>
      </c>
      <c r="V312" s="137">
        <f>V100/V$211</f>
        <v>0</v>
      </c>
      <c r="W312" s="107"/>
      <c r="X312" s="106">
        <f>X100/X$211</f>
        <v>0</v>
      </c>
      <c r="Y312" s="106">
        <f>Y100/Y$211</f>
        <v>0</v>
      </c>
      <c r="Z312" s="106">
        <f>Z100/Z$211</f>
        <v>0</v>
      </c>
      <c r="AA312" s="107"/>
      <c r="AB312" s="106"/>
      <c r="AC312" s="107">
        <f>AC100/AC$211</f>
        <v>0</v>
      </c>
      <c r="AD312" s="106">
        <f>AD100/AD$211</f>
        <v>0</v>
      </c>
    </row>
    <row r="313" spans="1:30">
      <c r="A313" s="141" t="s">
        <v>227</v>
      </c>
      <c r="B313" s="146" t="e">
        <f>#REF!/B101-1</f>
        <v>#REF!</v>
      </c>
      <c r="C313" s="106">
        <f>C101/C$211</f>
        <v>6.93946577704712e-7</v>
      </c>
      <c r="D313" s="106">
        <f>D101/D$211</f>
        <v>1.60351014397844e-6</v>
      </c>
      <c r="E313" s="106">
        <f>E101/E$211</f>
        <v>8.34980068986622e-7</v>
      </c>
      <c r="F313" s="106">
        <f>F101/F$211</f>
        <v>0</v>
      </c>
      <c r="G313" s="106">
        <f>G101/G$211</f>
        <v>0</v>
      </c>
      <c r="H313" s="106">
        <f>H101/H$211</f>
        <v>0</v>
      </c>
      <c r="I313" s="137">
        <f>I101/I$211</f>
        <v>0</v>
      </c>
      <c r="J313" s="137">
        <f>J101/J$211</f>
        <v>0</v>
      </c>
      <c r="K313" s="137">
        <f>K101/K$211</f>
        <v>0</v>
      </c>
      <c r="L313" s="137">
        <f>L101/L$211</f>
        <v>1.37488360015274e-5</v>
      </c>
      <c r="M313" s="137">
        <f>M101/M$211</f>
        <v>0</v>
      </c>
      <c r="N313" s="137">
        <f>N101/N$211</f>
        <v>0</v>
      </c>
      <c r="O313" s="137">
        <f>O101/O$211</f>
        <v>2.67643683477e-5</v>
      </c>
      <c r="P313" s="137">
        <f>P101/P$211</f>
        <v>4.56273387456433e-5</v>
      </c>
      <c r="Q313" s="137">
        <f>Q101/Q$211</f>
        <v>0</v>
      </c>
      <c r="R313" s="137">
        <f>R101/R$211</f>
        <v>0</v>
      </c>
      <c r="S313" s="137">
        <f>S101/S$211</f>
        <v>0</v>
      </c>
      <c r="T313" s="137">
        <f>T101/T$211</f>
        <v>0</v>
      </c>
      <c r="U313" s="137">
        <f>U101/U$211</f>
        <v>0</v>
      </c>
      <c r="V313" s="137">
        <f>V101/V$211</f>
        <v>0</v>
      </c>
      <c r="W313" s="107"/>
      <c r="X313" s="106">
        <f>X101/X$211</f>
        <v>0</v>
      </c>
      <c r="Y313" s="106">
        <f>Y101/Y$211</f>
        <v>0</v>
      </c>
      <c r="Z313" s="106">
        <f>Z101/Z$211</f>
        <v>0</v>
      </c>
      <c r="AA313" s="107"/>
      <c r="AB313" s="106"/>
      <c r="AC313" s="107">
        <f>AC101/AC$211</f>
        <v>0</v>
      </c>
      <c r="AD313" s="106">
        <f>AD101/AD$211</f>
        <v>0</v>
      </c>
    </row>
    <row r="314" spans="1:30">
      <c r="A314" s="141" t="s">
        <v>229</v>
      </c>
      <c r="B314" s="146" t="e">
        <f>#REF!/B102-1</f>
        <v>#REF!</v>
      </c>
      <c r="C314" s="106">
        <f>C102/C$211</f>
        <v>0</v>
      </c>
      <c r="D314" s="106">
        <f>D102/D$211</f>
        <v>0</v>
      </c>
      <c r="E314" s="106">
        <f>E102/E$211</f>
        <v>0</v>
      </c>
      <c r="F314" s="106">
        <f>F102/F$211</f>
        <v>0</v>
      </c>
      <c r="G314" s="106">
        <f>G102/G$211</f>
        <v>0</v>
      </c>
      <c r="H314" s="106">
        <f>H102/H$211</f>
        <v>0</v>
      </c>
      <c r="I314" s="137">
        <f>I102/I$211</f>
        <v>0</v>
      </c>
      <c r="J314" s="137">
        <f>J102/J$211</f>
        <v>0</v>
      </c>
      <c r="K314" s="137">
        <f>K102/K$211</f>
        <v>0</v>
      </c>
      <c r="L314" s="137">
        <f>L102/L$211</f>
        <v>0</v>
      </c>
      <c r="M314" s="137">
        <f>M102/M$211</f>
        <v>0</v>
      </c>
      <c r="N314" s="137">
        <f>N102/N$211</f>
        <v>0</v>
      </c>
      <c r="O314" s="137">
        <f>O102/O$211</f>
        <v>0</v>
      </c>
      <c r="P314" s="137">
        <f>P102/P$211</f>
        <v>0</v>
      </c>
      <c r="Q314" s="137">
        <f>Q102/Q$211</f>
        <v>0</v>
      </c>
      <c r="R314" s="137">
        <f>R102/R$211</f>
        <v>0</v>
      </c>
      <c r="S314" s="137">
        <f>S102/S$211</f>
        <v>0</v>
      </c>
      <c r="T314" s="137">
        <f>T102/T$211</f>
        <v>0</v>
      </c>
      <c r="U314" s="137">
        <f>U102/U$211</f>
        <v>0</v>
      </c>
      <c r="V314" s="137">
        <f>V102/V$211</f>
        <v>0</v>
      </c>
      <c r="W314" s="107"/>
      <c r="X314" s="106">
        <f>X102/X$211</f>
        <v>0</v>
      </c>
      <c r="Y314" s="106">
        <f>Y102/Y$211</f>
        <v>0</v>
      </c>
      <c r="Z314" s="106">
        <f>Z102/Z$211</f>
        <v>0</v>
      </c>
      <c r="AA314" s="107"/>
      <c r="AB314" s="106"/>
      <c r="AC314" s="107">
        <f>AC102/AC$211</f>
        <v>0</v>
      </c>
      <c r="AD314" s="106">
        <f>AD102/AD$211</f>
        <v>0</v>
      </c>
    </row>
    <row r="315" spans="1:30">
      <c r="A315" s="141" t="s">
        <v>231</v>
      </c>
      <c r="B315" s="146" t="e">
        <f>#REF!/B103-1</f>
        <v>#REF!</v>
      </c>
      <c r="C315" s="106">
        <f>C103/C$211</f>
        <v>0</v>
      </c>
      <c r="D315" s="106">
        <f>D103/D$211</f>
        <v>0</v>
      </c>
      <c r="E315" s="106">
        <f>E103/E$211</f>
        <v>0</v>
      </c>
      <c r="F315" s="106">
        <f>F103/F$211</f>
        <v>0</v>
      </c>
      <c r="G315" s="106">
        <f>G103/G$211</f>
        <v>0</v>
      </c>
      <c r="H315" s="106">
        <f>H103/H$211</f>
        <v>0</v>
      </c>
      <c r="I315" s="137">
        <f>I103/I$211</f>
        <v>0</v>
      </c>
      <c r="J315" s="137">
        <f>J103/J$211</f>
        <v>0</v>
      </c>
      <c r="K315" s="137">
        <f>K103/K$211</f>
        <v>0</v>
      </c>
      <c r="L315" s="137">
        <f>L103/L$211</f>
        <v>0</v>
      </c>
      <c r="M315" s="137">
        <f>M103/M$211</f>
        <v>0</v>
      </c>
      <c r="N315" s="137">
        <f>N103/N$211</f>
        <v>0</v>
      </c>
      <c r="O315" s="137">
        <f>O103/O$211</f>
        <v>0</v>
      </c>
      <c r="P315" s="137">
        <f>P103/P$211</f>
        <v>0</v>
      </c>
      <c r="Q315" s="137">
        <f>Q103/Q$211</f>
        <v>0</v>
      </c>
      <c r="R315" s="137">
        <f>R103/R$211</f>
        <v>0</v>
      </c>
      <c r="S315" s="137">
        <f>S103/S$211</f>
        <v>0</v>
      </c>
      <c r="T315" s="137">
        <f>T103/T$211</f>
        <v>0</v>
      </c>
      <c r="U315" s="137">
        <f>U103/U$211</f>
        <v>0</v>
      </c>
      <c r="V315" s="137">
        <f>V103/V$211</f>
        <v>0</v>
      </c>
      <c r="W315" s="107"/>
      <c r="X315" s="106">
        <f>X103/X$211</f>
        <v>0</v>
      </c>
      <c r="Y315" s="106">
        <f>Y103/Y$211</f>
        <v>0</v>
      </c>
      <c r="Z315" s="106">
        <f>Z103/Z$211</f>
        <v>0</v>
      </c>
      <c r="AA315" s="107"/>
      <c r="AB315" s="106"/>
      <c r="AC315" s="107">
        <f>AC103/AC$211</f>
        <v>0</v>
      </c>
      <c r="AD315" s="106">
        <f>AD103/AD$211</f>
        <v>0</v>
      </c>
    </row>
    <row r="316" spans="1:30">
      <c r="A316" s="141" t="s">
        <v>233</v>
      </c>
      <c r="B316" s="146" t="e">
        <f>#REF!/B104-1</f>
        <v>#REF!</v>
      </c>
      <c r="C316" s="106">
        <f>C104/C$211</f>
        <v>0.00049485611177294</v>
      </c>
      <c r="D316" s="106">
        <f>D104/D$211</f>
        <v>0.00083563381199157</v>
      </c>
      <c r="E316" s="106">
        <f>E104/E$211</f>
        <v>0</v>
      </c>
      <c r="F316" s="106">
        <f>F104/F$211</f>
        <v>0</v>
      </c>
      <c r="G316" s="106">
        <f>G104/G$211</f>
        <v>0.00212454150476727</v>
      </c>
      <c r="H316" s="106">
        <f>H104/H$211</f>
        <v>0.00429944792575648</v>
      </c>
      <c r="I316" s="137">
        <f>I104/I$211</f>
        <v>0.000191388449474684</v>
      </c>
      <c r="J316" s="137">
        <f>J104/J$211</f>
        <v>0</v>
      </c>
      <c r="K316" s="137">
        <f>K104/K$211</f>
        <v>1.1531277811384e-5</v>
      </c>
      <c r="L316" s="137">
        <f>L104/L$211</f>
        <v>0</v>
      </c>
      <c r="M316" s="137">
        <f>M104/M$211</f>
        <v>0.00112933277077098</v>
      </c>
      <c r="N316" s="137">
        <f>N104/N$211</f>
        <v>0.00198543077285084</v>
      </c>
      <c r="O316" s="137">
        <f>O104/O$211</f>
        <v>0.000677414179245913</v>
      </c>
      <c r="P316" s="137">
        <f>P104/P$211</f>
        <v>0.00128029461226744</v>
      </c>
      <c r="Q316" s="137">
        <f>Q104/Q$211</f>
        <v>8.31421473247514e-5</v>
      </c>
      <c r="R316" s="137">
        <f>R104/R$211</f>
        <v>0</v>
      </c>
      <c r="S316" s="137">
        <f>S104/S$211</f>
        <v>0.000233945717717917</v>
      </c>
      <c r="T316" s="137">
        <f>T104/T$211</f>
        <v>0</v>
      </c>
      <c r="U316" s="137">
        <f>U104/U$211</f>
        <v>0.000519531816540036</v>
      </c>
      <c r="V316" s="137">
        <f>V104/V$211</f>
        <v>0.000334034830479689</v>
      </c>
      <c r="W316" s="107"/>
      <c r="X316" s="106">
        <f>X104/X$211</f>
        <v>0</v>
      </c>
      <c r="Y316" s="106">
        <f>Y104/Y$211</f>
        <v>0.000771413460424485</v>
      </c>
      <c r="Z316" s="106">
        <f>Z104/Z$211</f>
        <v>0.000965374987891164</v>
      </c>
      <c r="AA316" s="107"/>
      <c r="AB316" s="106"/>
      <c r="AC316" s="107">
        <f>AC104/AC$211</f>
        <v>0.000154204730378935</v>
      </c>
      <c r="AD316" s="106">
        <f>AD104/AD$211</f>
        <v>0.000219411547385013</v>
      </c>
    </row>
    <row r="317" spans="1:30">
      <c r="A317" s="141" t="s">
        <v>235</v>
      </c>
      <c r="B317" s="146" t="e">
        <f>#REF!/B105-1</f>
        <v>#REF!</v>
      </c>
      <c r="C317" s="106">
        <f>C105/C$211</f>
        <v>0</v>
      </c>
      <c r="D317" s="106">
        <f>D105/D$211</f>
        <v>0</v>
      </c>
      <c r="E317" s="106">
        <f>E105/E$211</f>
        <v>0</v>
      </c>
      <c r="F317" s="106">
        <f>F105/F$211</f>
        <v>0</v>
      </c>
      <c r="G317" s="106">
        <f>G105/G$211</f>
        <v>0</v>
      </c>
      <c r="H317" s="106">
        <f>H105/H$211</f>
        <v>0</v>
      </c>
      <c r="I317" s="137">
        <f>I105/I$211</f>
        <v>0</v>
      </c>
      <c r="J317" s="137">
        <f>J105/J$211</f>
        <v>0</v>
      </c>
      <c r="K317" s="137">
        <f>K105/K$211</f>
        <v>0</v>
      </c>
      <c r="L317" s="137">
        <f>L105/L$211</f>
        <v>0</v>
      </c>
      <c r="M317" s="137">
        <f>M105/M$211</f>
        <v>0</v>
      </c>
      <c r="N317" s="137">
        <f>N105/N$211</f>
        <v>0</v>
      </c>
      <c r="O317" s="137">
        <f>O105/O$211</f>
        <v>0</v>
      </c>
      <c r="P317" s="137">
        <f>P105/P$211</f>
        <v>0</v>
      </c>
      <c r="Q317" s="137">
        <f>Q105/Q$211</f>
        <v>0</v>
      </c>
      <c r="R317" s="137">
        <f>R105/R$211</f>
        <v>0</v>
      </c>
      <c r="S317" s="137">
        <f>S105/S$211</f>
        <v>0</v>
      </c>
      <c r="T317" s="137">
        <f>T105/T$211</f>
        <v>0</v>
      </c>
      <c r="U317" s="137">
        <f>U105/U$211</f>
        <v>0</v>
      </c>
      <c r="V317" s="137">
        <f>V105/V$211</f>
        <v>0</v>
      </c>
      <c r="W317" s="107"/>
      <c r="X317" s="106">
        <f>X105/X$211</f>
        <v>0</v>
      </c>
      <c r="Y317" s="106">
        <f>Y105/Y$211</f>
        <v>0</v>
      </c>
      <c r="Z317" s="106">
        <f>Z105/Z$211</f>
        <v>0</v>
      </c>
      <c r="AA317" s="107"/>
      <c r="AB317" s="106"/>
      <c r="AC317" s="107">
        <f>AC105/AC$211</f>
        <v>0</v>
      </c>
      <c r="AD317" s="106">
        <f>AD105/AD$211</f>
        <v>0</v>
      </c>
    </row>
    <row r="318" spans="1:30">
      <c r="A318" s="141" t="s">
        <v>237</v>
      </c>
      <c r="B318" s="146" t="e">
        <f>#REF!/B106-1</f>
        <v>#REF!</v>
      </c>
      <c r="C318" s="106">
        <f>C106/C$211</f>
        <v>2.1657180471339e-7</v>
      </c>
      <c r="D318" s="106">
        <f>D106/D$211</f>
        <v>3.22272793830423e-7</v>
      </c>
      <c r="E318" s="106">
        <f>E106/E$211</f>
        <v>0</v>
      </c>
      <c r="F318" s="106">
        <f>F106/F$211</f>
        <v>0</v>
      </c>
      <c r="G318" s="106">
        <f>G106/G$211</f>
        <v>0</v>
      </c>
      <c r="H318" s="106">
        <f>H106/H$211</f>
        <v>0</v>
      </c>
      <c r="I318" s="137">
        <f>I106/I$211</f>
        <v>0</v>
      </c>
      <c r="J318" s="137">
        <f>J106/J$211</f>
        <v>0</v>
      </c>
      <c r="K318" s="137">
        <f>K106/K$211</f>
        <v>0</v>
      </c>
      <c r="L318" s="137">
        <f>L106/L$211</f>
        <v>0</v>
      </c>
      <c r="M318" s="137">
        <f>M106/M$211</f>
        <v>0</v>
      </c>
      <c r="N318" s="137">
        <f>N106/N$211</f>
        <v>0</v>
      </c>
      <c r="O318" s="137">
        <f>O106/O$211</f>
        <v>0</v>
      </c>
      <c r="P318" s="137">
        <f>P106/P$211</f>
        <v>0</v>
      </c>
      <c r="Q318" s="137">
        <f>Q106/Q$211</f>
        <v>0</v>
      </c>
      <c r="R318" s="137">
        <f>R106/R$211</f>
        <v>0</v>
      </c>
      <c r="S318" s="137">
        <f>S106/S$211</f>
        <v>0</v>
      </c>
      <c r="T318" s="137">
        <f>T106/T$211</f>
        <v>1.56153007147509e-5</v>
      </c>
      <c r="U318" s="137">
        <f>U106/U$211</f>
        <v>0</v>
      </c>
      <c r="V318" s="137">
        <f>V106/V$211</f>
        <v>0</v>
      </c>
      <c r="W318" s="107"/>
      <c r="X318" s="106">
        <f>X106/X$211</f>
        <v>0</v>
      </c>
      <c r="Y318" s="106">
        <f>Y106/Y$211</f>
        <v>0</v>
      </c>
      <c r="Z318" s="106">
        <f>Z106/Z$211</f>
        <v>0</v>
      </c>
      <c r="AA318" s="107"/>
      <c r="AB318" s="106"/>
      <c r="AC318" s="107">
        <f>AC106/AC$211</f>
        <v>8.17705438646896e-7</v>
      </c>
      <c r="AD318" s="106">
        <f>AD106/AD$211</f>
        <v>5.91064521016086e-7</v>
      </c>
    </row>
    <row r="319" spans="1:30">
      <c r="A319" s="141" t="s">
        <v>239</v>
      </c>
      <c r="B319" s="146" t="e">
        <f>#REF!/B107-1</f>
        <v>#REF!</v>
      </c>
      <c r="C319" s="106">
        <f>C107/C$211</f>
        <v>1.75427383470291e-7</v>
      </c>
      <c r="D319" s="106">
        <f>D107/D$211</f>
        <v>1.91935932703397e-6</v>
      </c>
      <c r="E319" s="106">
        <f>E107/E$211</f>
        <v>0</v>
      </c>
      <c r="F319" s="106">
        <f>F107/F$211</f>
        <v>0</v>
      </c>
      <c r="G319" s="106">
        <f>G107/G$211</f>
        <v>0</v>
      </c>
      <c r="H319" s="106">
        <f>H107/H$211</f>
        <v>0</v>
      </c>
      <c r="I319" s="137">
        <f>I107/I$211</f>
        <v>0</v>
      </c>
      <c r="J319" s="137">
        <f>J107/J$211</f>
        <v>0</v>
      </c>
      <c r="K319" s="137">
        <f>K107/K$211</f>
        <v>1.38679329750971e-6</v>
      </c>
      <c r="L319" s="137">
        <f>L107/L$211</f>
        <v>0</v>
      </c>
      <c r="M319" s="137">
        <f>M107/M$211</f>
        <v>0</v>
      </c>
      <c r="N319" s="137">
        <f>N107/N$211</f>
        <v>0</v>
      </c>
      <c r="O319" s="137">
        <f>O107/O$211</f>
        <v>3.43326487365739e-6</v>
      </c>
      <c r="P319" s="137">
        <f>P107/P$211</f>
        <v>8.77812786656029e-6</v>
      </c>
      <c r="Q319" s="137">
        <f>Q107/Q$211</f>
        <v>0</v>
      </c>
      <c r="R319" s="137">
        <f>R107/R$211</f>
        <v>0</v>
      </c>
      <c r="S319" s="137">
        <f>S107/S$211</f>
        <v>0</v>
      </c>
      <c r="T319" s="137">
        <f>T107/T$211</f>
        <v>0</v>
      </c>
      <c r="U319" s="137">
        <f>U107/U$211</f>
        <v>0</v>
      </c>
      <c r="V319" s="137">
        <f>V107/V$211</f>
        <v>0</v>
      </c>
      <c r="W319" s="107"/>
      <c r="X319" s="106">
        <f>X107/X$211</f>
        <v>0</v>
      </c>
      <c r="Y319" s="106">
        <f>Y107/Y$211</f>
        <v>0</v>
      </c>
      <c r="Z319" s="106">
        <f>Z107/Z$211</f>
        <v>0</v>
      </c>
      <c r="AA319" s="107"/>
      <c r="AB319" s="106"/>
      <c r="AC319" s="107">
        <f>AC107/AC$211</f>
        <v>0</v>
      </c>
      <c r="AD319" s="106">
        <f>AD107/AD$211</f>
        <v>7.5153747352341e-6</v>
      </c>
    </row>
    <row r="320" spans="1:30">
      <c r="A320" s="141" t="s">
        <v>241</v>
      </c>
      <c r="B320" s="146" t="e">
        <f>#REF!/B108-1</f>
        <v>#REF!</v>
      </c>
      <c r="C320" s="106">
        <f>C108/C$211</f>
        <v>0</v>
      </c>
      <c r="D320" s="106">
        <f>D108/D$211</f>
        <v>0</v>
      </c>
      <c r="E320" s="106">
        <f>E108/E$211</f>
        <v>0</v>
      </c>
      <c r="F320" s="106">
        <f>F108/F$211</f>
        <v>0</v>
      </c>
      <c r="G320" s="106">
        <f>G108/G$211</f>
        <v>0</v>
      </c>
      <c r="H320" s="106">
        <f>H108/H$211</f>
        <v>0</v>
      </c>
      <c r="I320" s="137">
        <f>I108/I$211</f>
        <v>0</v>
      </c>
      <c r="J320" s="137">
        <f>J108/J$211</f>
        <v>0</v>
      </c>
      <c r="K320" s="137">
        <f>K108/K$211</f>
        <v>0</v>
      </c>
      <c r="L320" s="137">
        <f>L108/L$211</f>
        <v>0</v>
      </c>
      <c r="M320" s="137">
        <f>M108/M$211</f>
        <v>0</v>
      </c>
      <c r="N320" s="137">
        <f>N108/N$211</f>
        <v>0</v>
      </c>
      <c r="O320" s="137">
        <f>O108/O$211</f>
        <v>0</v>
      </c>
      <c r="P320" s="137">
        <f>P108/P$211</f>
        <v>0</v>
      </c>
      <c r="Q320" s="137">
        <f>Q108/Q$211</f>
        <v>0</v>
      </c>
      <c r="R320" s="137">
        <f>R108/R$211</f>
        <v>0</v>
      </c>
      <c r="S320" s="137">
        <f>S108/S$211</f>
        <v>0</v>
      </c>
      <c r="T320" s="137">
        <f>T108/T$211</f>
        <v>0</v>
      </c>
      <c r="U320" s="137">
        <f>U108/U$211</f>
        <v>0</v>
      </c>
      <c r="V320" s="137">
        <f>V108/V$211</f>
        <v>0</v>
      </c>
      <c r="W320" s="107"/>
      <c r="X320" s="106">
        <f>X108/X$211</f>
        <v>0</v>
      </c>
      <c r="Y320" s="106">
        <f>Y108/Y$211</f>
        <v>0</v>
      </c>
      <c r="Z320" s="106">
        <f>Z108/Z$211</f>
        <v>0</v>
      </c>
      <c r="AA320" s="107"/>
      <c r="AB320" s="106"/>
      <c r="AC320" s="107">
        <f>AC108/AC$211</f>
        <v>0</v>
      </c>
      <c r="AD320" s="106">
        <f>AD108/AD$211</f>
        <v>0</v>
      </c>
    </row>
    <row r="321" spans="1:30">
      <c r="A321" s="141" t="s">
        <v>243</v>
      </c>
      <c r="B321" s="146" t="e">
        <f>#REF!/B109-1</f>
        <v>#REF!</v>
      </c>
      <c r="C321" s="106">
        <f>C109/C$211</f>
        <v>0</v>
      </c>
      <c r="D321" s="106">
        <f>D109/D$211</f>
        <v>3.57122860090333e-7</v>
      </c>
      <c r="E321" s="106">
        <f>E109/E$211</f>
        <v>0</v>
      </c>
      <c r="F321" s="106">
        <f>F109/F$211</f>
        <v>0</v>
      </c>
      <c r="G321" s="106">
        <f>G109/G$211</f>
        <v>0</v>
      </c>
      <c r="H321" s="106">
        <f>H109/H$211</f>
        <v>0</v>
      </c>
      <c r="I321" s="137">
        <f>I109/I$211</f>
        <v>0</v>
      </c>
      <c r="J321" s="137">
        <f>J109/J$211</f>
        <v>0</v>
      </c>
      <c r="K321" s="137">
        <f>K109/K$211</f>
        <v>0</v>
      </c>
      <c r="L321" s="137">
        <f>L109/L$211</f>
        <v>0</v>
      </c>
      <c r="M321" s="137">
        <f>M109/M$211</f>
        <v>0</v>
      </c>
      <c r="N321" s="137">
        <f>N109/N$211</f>
        <v>0</v>
      </c>
      <c r="O321" s="137">
        <f>O109/O$211</f>
        <v>0</v>
      </c>
      <c r="P321" s="137">
        <f>P109/P$211</f>
        <v>0</v>
      </c>
      <c r="Q321" s="137">
        <f>Q109/Q$211</f>
        <v>0</v>
      </c>
      <c r="R321" s="137">
        <f>R109/R$211</f>
        <v>0</v>
      </c>
      <c r="S321" s="137">
        <f>S109/S$211</f>
        <v>0</v>
      </c>
      <c r="T321" s="137">
        <f>T109/T$211</f>
        <v>3.12305258214011e-5</v>
      </c>
      <c r="U321" s="137">
        <f>U109/U$211</f>
        <v>0</v>
      </c>
      <c r="V321" s="137">
        <f>V109/V$211</f>
        <v>0</v>
      </c>
      <c r="W321" s="107"/>
      <c r="X321" s="106">
        <f>X109/X$211</f>
        <v>0</v>
      </c>
      <c r="Y321" s="106">
        <f>Y109/Y$211</f>
        <v>0</v>
      </c>
      <c r="Z321" s="106">
        <f>Z109/Z$211</f>
        <v>0</v>
      </c>
      <c r="AA321" s="107"/>
      <c r="AB321" s="106"/>
      <c r="AC321" s="107">
        <f>AC109/AC$211</f>
        <v>0</v>
      </c>
      <c r="AD321" s="106">
        <f>AD109/AD$211</f>
        <v>0</v>
      </c>
    </row>
    <row r="322" spans="1:30">
      <c r="A322" s="141" t="s">
        <v>245</v>
      </c>
      <c r="B322" s="146" t="e">
        <f>#REF!/B110-1</f>
        <v>#REF!</v>
      </c>
      <c r="C322" s="106">
        <f>C110/C$211</f>
        <v>0</v>
      </c>
      <c r="D322" s="106">
        <f>D110/D$211</f>
        <v>0</v>
      </c>
      <c r="E322" s="106">
        <f>E110/E$211</f>
        <v>0</v>
      </c>
      <c r="F322" s="106">
        <f>F110/F$211</f>
        <v>0</v>
      </c>
      <c r="G322" s="106">
        <f>G110/G$211</f>
        <v>0</v>
      </c>
      <c r="H322" s="106">
        <f>H110/H$211</f>
        <v>0</v>
      </c>
      <c r="I322" s="137">
        <f>I110/I$211</f>
        <v>0</v>
      </c>
      <c r="J322" s="137">
        <f>J110/J$211</f>
        <v>0</v>
      </c>
      <c r="K322" s="137">
        <f>K110/K$211</f>
        <v>0</v>
      </c>
      <c r="L322" s="137">
        <f>L110/L$211</f>
        <v>0</v>
      </c>
      <c r="M322" s="137">
        <f>M110/M$211</f>
        <v>0</v>
      </c>
      <c r="N322" s="137">
        <f>N110/N$211</f>
        <v>0</v>
      </c>
      <c r="O322" s="137">
        <f>O110/O$211</f>
        <v>0</v>
      </c>
      <c r="P322" s="137">
        <f>P110/P$211</f>
        <v>0</v>
      </c>
      <c r="Q322" s="137">
        <f>Q110/Q$211</f>
        <v>0</v>
      </c>
      <c r="R322" s="137">
        <f>R110/R$211</f>
        <v>0</v>
      </c>
      <c r="S322" s="137">
        <f>S110/S$211</f>
        <v>0</v>
      </c>
      <c r="T322" s="137">
        <f>T110/T$211</f>
        <v>0</v>
      </c>
      <c r="U322" s="137">
        <f>U110/U$211</f>
        <v>0</v>
      </c>
      <c r="V322" s="137">
        <f>V110/V$211</f>
        <v>0</v>
      </c>
      <c r="W322" s="107"/>
      <c r="X322" s="106">
        <f>X110/X$211</f>
        <v>0</v>
      </c>
      <c r="Y322" s="106">
        <f>Y110/Y$211</f>
        <v>0</v>
      </c>
      <c r="Z322" s="106">
        <f>Z110/Z$211</f>
        <v>0</v>
      </c>
      <c r="AA322" s="107"/>
      <c r="AB322" s="106"/>
      <c r="AC322" s="107">
        <f>AC110/AC$211</f>
        <v>0</v>
      </c>
      <c r="AD322" s="106">
        <f>AD110/AD$211</f>
        <v>0</v>
      </c>
    </row>
    <row r="323" spans="1:30">
      <c r="A323" s="141" t="s">
        <v>247</v>
      </c>
      <c r="B323" s="146" t="e">
        <f>#REF!/B111-1</f>
        <v>#REF!</v>
      </c>
      <c r="C323" s="106">
        <f>C111/C$211</f>
        <v>1.47519953891737e-7</v>
      </c>
      <c r="D323" s="106">
        <f>D111/D$211</f>
        <v>0</v>
      </c>
      <c r="E323" s="106">
        <f>E111/E$211</f>
        <v>0</v>
      </c>
      <c r="F323" s="106">
        <f>F111/F$211</f>
        <v>0</v>
      </c>
      <c r="G323" s="106">
        <f>G111/G$211</f>
        <v>0</v>
      </c>
      <c r="H323" s="106">
        <f>H111/H$211</f>
        <v>0</v>
      </c>
      <c r="I323" s="137">
        <f>I111/I$211</f>
        <v>0</v>
      </c>
      <c r="J323" s="137">
        <f>J111/J$211</f>
        <v>0</v>
      </c>
      <c r="K323" s="137">
        <f>K111/K$211</f>
        <v>0</v>
      </c>
      <c r="L323" s="137">
        <f>L111/L$211</f>
        <v>0</v>
      </c>
      <c r="M323" s="137">
        <f>M111/M$211</f>
        <v>0</v>
      </c>
      <c r="N323" s="137">
        <f>N111/N$211</f>
        <v>0</v>
      </c>
      <c r="O323" s="137">
        <f>O111/O$211</f>
        <v>0</v>
      </c>
      <c r="P323" s="137">
        <f>P111/P$211</f>
        <v>0</v>
      </c>
      <c r="Q323" s="137">
        <f>Q111/Q$211</f>
        <v>0</v>
      </c>
      <c r="R323" s="137">
        <f>R111/R$211</f>
        <v>0</v>
      </c>
      <c r="S323" s="137">
        <f>S111/S$211</f>
        <v>1.53355253175173e-5</v>
      </c>
      <c r="T323" s="137">
        <f>T111/T$211</f>
        <v>0</v>
      </c>
      <c r="U323" s="137">
        <f>U111/U$211</f>
        <v>0</v>
      </c>
      <c r="V323" s="137">
        <f>V111/V$211</f>
        <v>0</v>
      </c>
      <c r="W323" s="107"/>
      <c r="X323" s="106">
        <f>X111/X$211</f>
        <v>0</v>
      </c>
      <c r="Y323" s="106">
        <f>Y111/Y$211</f>
        <v>0</v>
      </c>
      <c r="Z323" s="106">
        <f>Z111/Z$211</f>
        <v>0</v>
      </c>
      <c r="AA323" s="107"/>
      <c r="AB323" s="106"/>
      <c r="AC323" s="107">
        <f>AC111/AC$211</f>
        <v>0</v>
      </c>
      <c r="AD323" s="106">
        <f>AD111/AD$211</f>
        <v>0</v>
      </c>
    </row>
    <row r="324" spans="1:30">
      <c r="A324" s="141" t="s">
        <v>249</v>
      </c>
      <c r="B324" s="146" t="e">
        <f>#REF!/B112-1</f>
        <v>#REF!</v>
      </c>
      <c r="C324" s="106">
        <f>C112/C$211</f>
        <v>0</v>
      </c>
      <c r="D324" s="106">
        <f>D112/D$211</f>
        <v>0</v>
      </c>
      <c r="E324" s="106">
        <f>E112/E$211</f>
        <v>0</v>
      </c>
      <c r="F324" s="106">
        <f>F112/F$211</f>
        <v>0</v>
      </c>
      <c r="G324" s="106">
        <f>G112/G$211</f>
        <v>0</v>
      </c>
      <c r="H324" s="106">
        <f>H112/H$211</f>
        <v>0</v>
      </c>
      <c r="I324" s="137">
        <f>I112/I$211</f>
        <v>0</v>
      </c>
      <c r="J324" s="137">
        <f>J112/J$211</f>
        <v>0</v>
      </c>
      <c r="K324" s="137">
        <f>K112/K$211</f>
        <v>0</v>
      </c>
      <c r="L324" s="137">
        <f>L112/L$211</f>
        <v>0</v>
      </c>
      <c r="M324" s="137">
        <f>M112/M$211</f>
        <v>0</v>
      </c>
      <c r="N324" s="137">
        <f>N112/N$211</f>
        <v>0</v>
      </c>
      <c r="O324" s="137">
        <f>O112/O$211</f>
        <v>0</v>
      </c>
      <c r="P324" s="137">
        <f>P112/P$211</f>
        <v>0</v>
      </c>
      <c r="Q324" s="137">
        <f>Q112/Q$211</f>
        <v>0</v>
      </c>
      <c r="R324" s="137">
        <f>R112/R$211</f>
        <v>0</v>
      </c>
      <c r="S324" s="137">
        <f>S112/S$211</f>
        <v>0</v>
      </c>
      <c r="T324" s="137">
        <f>T112/T$211</f>
        <v>0</v>
      </c>
      <c r="U324" s="137">
        <f>U112/U$211</f>
        <v>0</v>
      </c>
      <c r="V324" s="137">
        <f>V112/V$211</f>
        <v>0</v>
      </c>
      <c r="W324" s="107"/>
      <c r="X324" s="106">
        <f>X112/X$211</f>
        <v>0</v>
      </c>
      <c r="Y324" s="106">
        <f>Y112/Y$211</f>
        <v>0</v>
      </c>
      <c r="Z324" s="106">
        <f>Z112/Z$211</f>
        <v>0</v>
      </c>
      <c r="AA324" s="107"/>
      <c r="AB324" s="106"/>
      <c r="AC324" s="107">
        <f>AC112/AC$211</f>
        <v>0</v>
      </c>
      <c r="AD324" s="106">
        <f>AD112/AD$211</f>
        <v>0</v>
      </c>
    </row>
    <row r="325" spans="1:30">
      <c r="A325" s="141" t="s">
        <v>251</v>
      </c>
      <c r="B325" s="146" t="e">
        <f>#REF!/B113-1</f>
        <v>#REF!</v>
      </c>
      <c r="C325" s="106">
        <f>C113/C$211</f>
        <v>0</v>
      </c>
      <c r="D325" s="106">
        <f>D113/D$211</f>
        <v>0</v>
      </c>
      <c r="E325" s="106">
        <f>E113/E$211</f>
        <v>0</v>
      </c>
      <c r="F325" s="106">
        <f>F113/F$211</f>
        <v>0</v>
      </c>
      <c r="G325" s="106">
        <f>G113/G$211</f>
        <v>0</v>
      </c>
      <c r="H325" s="106">
        <f>H113/H$211</f>
        <v>0</v>
      </c>
      <c r="I325" s="137">
        <f>I113/I$211</f>
        <v>0</v>
      </c>
      <c r="J325" s="137">
        <f>J113/J$211</f>
        <v>0</v>
      </c>
      <c r="K325" s="137">
        <f>K113/K$211</f>
        <v>0</v>
      </c>
      <c r="L325" s="137">
        <f>L113/L$211</f>
        <v>0</v>
      </c>
      <c r="M325" s="137">
        <f>M113/M$211</f>
        <v>0</v>
      </c>
      <c r="N325" s="137">
        <f>N113/N$211</f>
        <v>0</v>
      </c>
      <c r="O325" s="137">
        <f>O113/O$211</f>
        <v>0</v>
      </c>
      <c r="P325" s="137">
        <f>P113/P$211</f>
        <v>0</v>
      </c>
      <c r="Q325" s="137">
        <f>Q113/Q$211</f>
        <v>0</v>
      </c>
      <c r="R325" s="137">
        <f>R113/R$211</f>
        <v>0</v>
      </c>
      <c r="S325" s="137">
        <f>S113/S$211</f>
        <v>0</v>
      </c>
      <c r="T325" s="137">
        <f>T113/T$211</f>
        <v>0</v>
      </c>
      <c r="U325" s="137">
        <f>U113/U$211</f>
        <v>0</v>
      </c>
      <c r="V325" s="137">
        <f>V113/V$211</f>
        <v>0</v>
      </c>
      <c r="W325" s="107"/>
      <c r="X325" s="106">
        <f>X113/X$211</f>
        <v>0</v>
      </c>
      <c r="Y325" s="106">
        <f>Y113/Y$211</f>
        <v>0</v>
      </c>
      <c r="Z325" s="106">
        <f>Z113/Z$211</f>
        <v>0</v>
      </c>
      <c r="AA325" s="107"/>
      <c r="AB325" s="106"/>
      <c r="AC325" s="107">
        <f>AC113/AC$211</f>
        <v>0</v>
      </c>
      <c r="AD325" s="106">
        <f>AD113/AD$211</f>
        <v>0</v>
      </c>
    </row>
    <row r="326" spans="1:30">
      <c r="A326" s="141" t="s">
        <v>253</v>
      </c>
      <c r="B326" s="146" t="e">
        <f>#REF!/B114-1</f>
        <v>#REF!</v>
      </c>
      <c r="C326" s="106">
        <f>C114/C$211</f>
        <v>0</v>
      </c>
      <c r="D326" s="106">
        <f>D114/D$211</f>
        <v>0</v>
      </c>
      <c r="E326" s="106">
        <f>E114/E$211</f>
        <v>0</v>
      </c>
      <c r="F326" s="106">
        <f>F114/F$211</f>
        <v>0</v>
      </c>
      <c r="G326" s="106">
        <f>G114/G$211</f>
        <v>0</v>
      </c>
      <c r="H326" s="106">
        <f>H114/H$211</f>
        <v>0</v>
      </c>
      <c r="I326" s="137">
        <f>I114/I$211</f>
        <v>0</v>
      </c>
      <c r="J326" s="137">
        <f>J114/J$211</f>
        <v>0</v>
      </c>
      <c r="K326" s="137">
        <f>K114/K$211</f>
        <v>0</v>
      </c>
      <c r="L326" s="137">
        <f>L114/L$211</f>
        <v>0</v>
      </c>
      <c r="M326" s="137">
        <f>M114/M$211</f>
        <v>0</v>
      </c>
      <c r="N326" s="137">
        <f>N114/N$211</f>
        <v>0</v>
      </c>
      <c r="O326" s="137">
        <f>O114/O$211</f>
        <v>0</v>
      </c>
      <c r="P326" s="137">
        <f>P114/P$211</f>
        <v>0</v>
      </c>
      <c r="Q326" s="137">
        <f>Q114/Q$211</f>
        <v>0</v>
      </c>
      <c r="R326" s="137">
        <f>R114/R$211</f>
        <v>0</v>
      </c>
      <c r="S326" s="137">
        <f>S114/S$211</f>
        <v>0</v>
      </c>
      <c r="T326" s="137">
        <f>T114/T$211</f>
        <v>0</v>
      </c>
      <c r="U326" s="137">
        <f>U114/U$211</f>
        <v>0</v>
      </c>
      <c r="V326" s="137">
        <f>V114/V$211</f>
        <v>0</v>
      </c>
      <c r="W326" s="107"/>
      <c r="X326" s="106">
        <f>X114/X$211</f>
        <v>0</v>
      </c>
      <c r="Y326" s="106">
        <f>Y114/Y$211</f>
        <v>0</v>
      </c>
      <c r="Z326" s="106">
        <f>Z114/Z$211</f>
        <v>0</v>
      </c>
      <c r="AA326" s="107"/>
      <c r="AB326" s="106"/>
      <c r="AC326" s="107">
        <f>AC114/AC$211</f>
        <v>0</v>
      </c>
      <c r="AD326" s="106">
        <f>AD114/AD$211</f>
        <v>0</v>
      </c>
    </row>
    <row r="327" spans="1:30">
      <c r="A327" s="141" t="s">
        <v>255</v>
      </c>
      <c r="B327" s="146" t="e">
        <f>#REF!/B115-1</f>
        <v>#REF!</v>
      </c>
      <c r="C327" s="106">
        <f>C115/C$211</f>
        <v>0</v>
      </c>
      <c r="D327" s="106">
        <f>D115/D$211</f>
        <v>0</v>
      </c>
      <c r="E327" s="106">
        <f>E115/E$211</f>
        <v>0</v>
      </c>
      <c r="F327" s="106">
        <f>F115/F$211</f>
        <v>0</v>
      </c>
      <c r="G327" s="106">
        <f>G115/G$211</f>
        <v>0</v>
      </c>
      <c r="H327" s="106">
        <f>H115/H$211</f>
        <v>0</v>
      </c>
      <c r="I327" s="137">
        <f>I115/I$211</f>
        <v>0</v>
      </c>
      <c r="J327" s="137">
        <f>J115/J$211</f>
        <v>0</v>
      </c>
      <c r="K327" s="137">
        <f>K115/K$211</f>
        <v>0</v>
      </c>
      <c r="L327" s="137">
        <f>L115/L$211</f>
        <v>0</v>
      </c>
      <c r="M327" s="137">
        <f>M115/M$211</f>
        <v>0</v>
      </c>
      <c r="N327" s="137">
        <f>N115/N$211</f>
        <v>0</v>
      </c>
      <c r="O327" s="137">
        <f>O115/O$211</f>
        <v>0</v>
      </c>
      <c r="P327" s="137">
        <f>P115/P$211</f>
        <v>0</v>
      </c>
      <c r="Q327" s="137">
        <f>Q115/Q$211</f>
        <v>0</v>
      </c>
      <c r="R327" s="137">
        <f>R115/R$211</f>
        <v>0</v>
      </c>
      <c r="S327" s="137">
        <f>S115/S$211</f>
        <v>0</v>
      </c>
      <c r="T327" s="137">
        <f>T115/T$211</f>
        <v>0</v>
      </c>
      <c r="U327" s="137">
        <f>U115/U$211</f>
        <v>0</v>
      </c>
      <c r="V327" s="137">
        <f>V115/V$211</f>
        <v>0</v>
      </c>
      <c r="W327" s="107"/>
      <c r="X327" s="106">
        <f>X115/X$211</f>
        <v>0</v>
      </c>
      <c r="Y327" s="106">
        <f>Y115/Y$211</f>
        <v>0</v>
      </c>
      <c r="Z327" s="106">
        <f>Z115/Z$211</f>
        <v>0</v>
      </c>
      <c r="AA327" s="107"/>
      <c r="AB327" s="106"/>
      <c r="AC327" s="107">
        <f>AC115/AC$211</f>
        <v>0</v>
      </c>
      <c r="AD327" s="106">
        <f>AD115/AD$211</f>
        <v>0</v>
      </c>
    </row>
    <row r="328" spans="1:30">
      <c r="A328" s="141" t="s">
        <v>257</v>
      </c>
      <c r="B328" s="146" t="e">
        <f>#REF!/B116-1</f>
        <v>#REF!</v>
      </c>
      <c r="C328" s="106">
        <f>C116/C$211</f>
        <v>0</v>
      </c>
      <c r="D328" s="106">
        <f>D116/D$211</f>
        <v>0</v>
      </c>
      <c r="E328" s="106">
        <f>E116/E$211</f>
        <v>0</v>
      </c>
      <c r="F328" s="106">
        <f>F116/F$211</f>
        <v>0</v>
      </c>
      <c r="G328" s="106">
        <f>G116/G$211</f>
        <v>0</v>
      </c>
      <c r="H328" s="106">
        <f>H116/H$211</f>
        <v>0</v>
      </c>
      <c r="I328" s="137">
        <f>I116/I$211</f>
        <v>0</v>
      </c>
      <c r="J328" s="137">
        <f>J116/J$211</f>
        <v>0</v>
      </c>
      <c r="K328" s="137">
        <f>K116/K$211</f>
        <v>0</v>
      </c>
      <c r="L328" s="137">
        <f>L116/L$211</f>
        <v>0</v>
      </c>
      <c r="M328" s="137">
        <f>M116/M$211</f>
        <v>0</v>
      </c>
      <c r="N328" s="137">
        <f>N116/N$211</f>
        <v>0</v>
      </c>
      <c r="O328" s="137">
        <f>O116/O$211</f>
        <v>0</v>
      </c>
      <c r="P328" s="137">
        <f>P116/P$211</f>
        <v>0</v>
      </c>
      <c r="Q328" s="137">
        <f>Q116/Q$211</f>
        <v>0</v>
      </c>
      <c r="R328" s="137">
        <f>R116/R$211</f>
        <v>0</v>
      </c>
      <c r="S328" s="137">
        <f>S116/S$211</f>
        <v>0</v>
      </c>
      <c r="T328" s="137">
        <f>T116/T$211</f>
        <v>0</v>
      </c>
      <c r="U328" s="137">
        <f>U116/U$211</f>
        <v>0</v>
      </c>
      <c r="V328" s="137">
        <f>V116/V$211</f>
        <v>0</v>
      </c>
      <c r="W328" s="107"/>
      <c r="X328" s="106">
        <f>X116/X$211</f>
        <v>0</v>
      </c>
      <c r="Y328" s="106">
        <f>Y116/Y$211</f>
        <v>0</v>
      </c>
      <c r="Z328" s="106">
        <f>Z116/Z$211</f>
        <v>0</v>
      </c>
      <c r="AA328" s="107"/>
      <c r="AB328" s="106"/>
      <c r="AC328" s="107">
        <f>AC116/AC$211</f>
        <v>0</v>
      </c>
      <c r="AD328" s="106">
        <f>AD116/AD$211</f>
        <v>0</v>
      </c>
    </row>
    <row r="329" spans="1:30">
      <c r="A329" s="141" t="s">
        <v>259</v>
      </c>
      <c r="B329" s="146" t="e">
        <f>#REF!/B117-1</f>
        <v>#REF!</v>
      </c>
      <c r="C329" s="106">
        <f>C117/C$211</f>
        <v>7.68249463661163e-7</v>
      </c>
      <c r="D329" s="106">
        <f>D117/D$211</f>
        <v>1.75292523229845e-6</v>
      </c>
      <c r="E329" s="106">
        <f>E117/E$211</f>
        <v>0</v>
      </c>
      <c r="F329" s="106">
        <f>F117/F$211</f>
        <v>0</v>
      </c>
      <c r="G329" s="106">
        <f>G117/G$211</f>
        <v>0</v>
      </c>
      <c r="H329" s="106">
        <f>H117/H$211</f>
        <v>0</v>
      </c>
      <c r="I329" s="137">
        <f>I117/I$211</f>
        <v>0</v>
      </c>
      <c r="J329" s="137">
        <f>J117/J$211</f>
        <v>0</v>
      </c>
      <c r="K329" s="137">
        <f>K117/K$211</f>
        <v>0</v>
      </c>
      <c r="L329" s="137">
        <f>L117/L$211</f>
        <v>0</v>
      </c>
      <c r="M329" s="137">
        <f>M117/M$211</f>
        <v>3.68060640743357e-6</v>
      </c>
      <c r="N329" s="137">
        <f>N117/N$211</f>
        <v>8.06787899159915e-6</v>
      </c>
      <c r="O329" s="137">
        <f>O117/O$211</f>
        <v>0</v>
      </c>
      <c r="P329" s="137">
        <f>P117/P$211</f>
        <v>0</v>
      </c>
      <c r="Q329" s="137">
        <f>Q117/Q$211</f>
        <v>0</v>
      </c>
      <c r="R329" s="137">
        <f>R117/R$211</f>
        <v>0</v>
      </c>
      <c r="S329" s="137">
        <f>S117/S$211</f>
        <v>0</v>
      </c>
      <c r="T329" s="137">
        <f>T117/T$211</f>
        <v>0</v>
      </c>
      <c r="U329" s="137">
        <f>U117/U$211</f>
        <v>0</v>
      </c>
      <c r="V329" s="137">
        <f>V117/V$211</f>
        <v>0</v>
      </c>
      <c r="W329" s="107"/>
      <c r="X329" s="106">
        <f>X117/X$211</f>
        <v>0</v>
      </c>
      <c r="Y329" s="106">
        <f>Y117/Y$211</f>
        <v>0</v>
      </c>
      <c r="Z329" s="106">
        <f>Z117/Z$211</f>
        <v>0</v>
      </c>
      <c r="AA329" s="107"/>
      <c r="AB329" s="106"/>
      <c r="AC329" s="107">
        <f>AC117/AC$211</f>
        <v>0</v>
      </c>
      <c r="AD329" s="106">
        <f>AD117/AD$211</f>
        <v>0</v>
      </c>
    </row>
    <row r="330" spans="1:30">
      <c r="A330" s="141" t="s">
        <v>261</v>
      </c>
      <c r="B330" s="146" t="e">
        <f>#REF!/B118-1</f>
        <v>#REF!</v>
      </c>
      <c r="C330" s="106">
        <f>C118/C$211</f>
        <v>0</v>
      </c>
      <c r="D330" s="106">
        <f>D118/D$211</f>
        <v>0</v>
      </c>
      <c r="E330" s="106">
        <f>E118/E$211</f>
        <v>0</v>
      </c>
      <c r="F330" s="106">
        <f>F118/F$211</f>
        <v>0</v>
      </c>
      <c r="G330" s="106">
        <f>G118/G$211</f>
        <v>0</v>
      </c>
      <c r="H330" s="106">
        <f>H118/H$211</f>
        <v>0</v>
      </c>
      <c r="I330" s="137">
        <f>I118/I$211</f>
        <v>0</v>
      </c>
      <c r="J330" s="137">
        <f>J118/J$211</f>
        <v>0</v>
      </c>
      <c r="K330" s="137">
        <f>K118/K$211</f>
        <v>0</v>
      </c>
      <c r="L330" s="137">
        <f>L118/L$211</f>
        <v>0</v>
      </c>
      <c r="M330" s="137">
        <f>M118/M$211</f>
        <v>0</v>
      </c>
      <c r="N330" s="137">
        <f>N118/N$211</f>
        <v>0</v>
      </c>
      <c r="O330" s="137">
        <f>O118/O$211</f>
        <v>0</v>
      </c>
      <c r="P330" s="137">
        <f>P118/P$211</f>
        <v>0</v>
      </c>
      <c r="Q330" s="137">
        <f>Q118/Q$211</f>
        <v>0</v>
      </c>
      <c r="R330" s="137">
        <f>R118/R$211</f>
        <v>0</v>
      </c>
      <c r="S330" s="137">
        <f>S118/S$211</f>
        <v>0</v>
      </c>
      <c r="T330" s="137">
        <f>T118/T$211</f>
        <v>0</v>
      </c>
      <c r="U330" s="137">
        <f>U118/U$211</f>
        <v>0</v>
      </c>
      <c r="V330" s="137">
        <f>V118/V$211</f>
        <v>0</v>
      </c>
      <c r="W330" s="107"/>
      <c r="X330" s="106">
        <f>X118/X$211</f>
        <v>0</v>
      </c>
      <c r="Y330" s="106">
        <f>Y118/Y$211</f>
        <v>0</v>
      </c>
      <c r="Z330" s="106">
        <f>Z118/Z$211</f>
        <v>0</v>
      </c>
      <c r="AA330" s="107"/>
      <c r="AB330" s="106"/>
      <c r="AC330" s="107">
        <f>AC118/AC$211</f>
        <v>0</v>
      </c>
      <c r="AD330" s="106">
        <f>AD118/AD$211</f>
        <v>0</v>
      </c>
    </row>
    <row r="331" spans="1:30">
      <c r="A331" s="141" t="s">
        <v>263</v>
      </c>
      <c r="B331" s="146" t="e">
        <f>#REF!/B119-1</f>
        <v>#REF!</v>
      </c>
      <c r="C331" s="106">
        <f>C119/C$211</f>
        <v>1.05899112661339e-6</v>
      </c>
      <c r="D331" s="106">
        <f>D119/D$211</f>
        <v>1.27713192439643e-6</v>
      </c>
      <c r="E331" s="106">
        <f>E119/E$211</f>
        <v>0</v>
      </c>
      <c r="F331" s="106">
        <f>F119/F$211</f>
        <v>0</v>
      </c>
      <c r="G331" s="106">
        <f>G119/G$211</f>
        <v>0</v>
      </c>
      <c r="H331" s="106">
        <f>H119/H$211</f>
        <v>0</v>
      </c>
      <c r="I331" s="137">
        <f>I119/I$211</f>
        <v>0</v>
      </c>
      <c r="J331" s="137">
        <f>J119/J$211</f>
        <v>0</v>
      </c>
      <c r="K331" s="137">
        <f>K119/K$211</f>
        <v>0</v>
      </c>
      <c r="L331" s="137">
        <f>L119/L$211</f>
        <v>0</v>
      </c>
      <c r="M331" s="137">
        <f>M119/M$211</f>
        <v>0</v>
      </c>
      <c r="N331" s="137">
        <f>N119/N$211</f>
        <v>0</v>
      </c>
      <c r="O331" s="137">
        <f>O119/O$211</f>
        <v>0</v>
      </c>
      <c r="P331" s="137">
        <f>P119/P$211</f>
        <v>0</v>
      </c>
      <c r="Q331" s="137">
        <f>Q119/Q$211</f>
        <v>0</v>
      </c>
      <c r="R331" s="137">
        <f>R119/R$211</f>
        <v>0</v>
      </c>
      <c r="S331" s="137">
        <f>S119/S$211</f>
        <v>0</v>
      </c>
      <c r="T331" s="137">
        <f>T119/T$211</f>
        <v>0</v>
      </c>
      <c r="U331" s="137">
        <f>U119/U$211</f>
        <v>0</v>
      </c>
      <c r="V331" s="137">
        <f>V119/V$211</f>
        <v>0</v>
      </c>
      <c r="W331" s="107"/>
      <c r="X331" s="106">
        <f>X119/X$211</f>
        <v>0</v>
      </c>
      <c r="Y331" s="106">
        <f>Y119/Y$211</f>
        <v>0</v>
      </c>
      <c r="Z331" s="106">
        <f>Z119/Z$211</f>
        <v>0</v>
      </c>
      <c r="AA331" s="107"/>
      <c r="AB331" s="106"/>
      <c r="AC331" s="107">
        <f>AC119/AC$211</f>
        <v>3.9984096953736e-6</v>
      </c>
      <c r="AD331" s="106">
        <f>AD119/AD$211</f>
        <v>5.25267884162643e-6</v>
      </c>
    </row>
    <row r="332" spans="1:30">
      <c r="A332" s="141" t="s">
        <v>265</v>
      </c>
      <c r="B332" s="146" t="e">
        <f>#REF!/B120-1</f>
        <v>#REF!</v>
      </c>
      <c r="C332" s="106">
        <f>C120/C$211</f>
        <v>0</v>
      </c>
      <c r="D332" s="106">
        <f>D120/D$211</f>
        <v>0</v>
      </c>
      <c r="E332" s="106">
        <f>E120/E$211</f>
        <v>0</v>
      </c>
      <c r="F332" s="106">
        <f>F120/F$211</f>
        <v>0</v>
      </c>
      <c r="G332" s="106">
        <f>G120/G$211</f>
        <v>0</v>
      </c>
      <c r="H332" s="106">
        <f>H120/H$211</f>
        <v>0</v>
      </c>
      <c r="I332" s="137">
        <f>I120/I$211</f>
        <v>0</v>
      </c>
      <c r="J332" s="137">
        <f>J120/J$211</f>
        <v>0</v>
      </c>
      <c r="K332" s="137">
        <f>K120/K$211</f>
        <v>0</v>
      </c>
      <c r="L332" s="137">
        <f>L120/L$211</f>
        <v>0</v>
      </c>
      <c r="M332" s="137">
        <f>M120/M$211</f>
        <v>0</v>
      </c>
      <c r="N332" s="137">
        <f>N120/N$211</f>
        <v>0</v>
      </c>
      <c r="O332" s="137">
        <f>O120/O$211</f>
        <v>0</v>
      </c>
      <c r="P332" s="137">
        <f>P120/P$211</f>
        <v>0</v>
      </c>
      <c r="Q332" s="137">
        <f>Q120/Q$211</f>
        <v>0</v>
      </c>
      <c r="R332" s="137">
        <f>R120/R$211</f>
        <v>0</v>
      </c>
      <c r="S332" s="137">
        <f>S120/S$211</f>
        <v>0</v>
      </c>
      <c r="T332" s="137">
        <f>T120/T$211</f>
        <v>0</v>
      </c>
      <c r="U332" s="137">
        <f>U120/U$211</f>
        <v>0</v>
      </c>
      <c r="V332" s="137">
        <f>V120/V$211</f>
        <v>0</v>
      </c>
      <c r="W332" s="107"/>
      <c r="X332" s="106">
        <f>X120/X$211</f>
        <v>0</v>
      </c>
      <c r="Y332" s="106">
        <f>Y120/Y$211</f>
        <v>0</v>
      </c>
      <c r="Z332" s="106">
        <f>Z120/Z$211</f>
        <v>0</v>
      </c>
      <c r="AA332" s="107"/>
      <c r="AB332" s="106"/>
      <c r="AC332" s="107">
        <f>AC120/AC$211</f>
        <v>0</v>
      </c>
      <c r="AD332" s="106">
        <f>AD120/AD$211</f>
        <v>0</v>
      </c>
    </row>
    <row r="333" spans="1:30">
      <c r="A333" s="141" t="s">
        <v>267</v>
      </c>
      <c r="B333" s="146" t="e">
        <f>#REF!/B121-1</f>
        <v>#REF!</v>
      </c>
      <c r="C333" s="106">
        <f>C121/C$211</f>
        <v>0</v>
      </c>
      <c r="D333" s="106">
        <f>D121/D$211</f>
        <v>0</v>
      </c>
      <c r="E333" s="106">
        <f>E121/E$211</f>
        <v>0</v>
      </c>
      <c r="F333" s="106">
        <f>F121/F$211</f>
        <v>0</v>
      </c>
      <c r="G333" s="106">
        <f>G121/G$211</f>
        <v>0</v>
      </c>
      <c r="H333" s="106">
        <f>H121/H$211</f>
        <v>0</v>
      </c>
      <c r="I333" s="137">
        <f>I121/I$211</f>
        <v>0</v>
      </c>
      <c r="J333" s="137">
        <f>J121/J$211</f>
        <v>0</v>
      </c>
      <c r="K333" s="137">
        <f>K121/K$211</f>
        <v>0</v>
      </c>
      <c r="L333" s="137">
        <f>L121/L$211</f>
        <v>0</v>
      </c>
      <c r="M333" s="137">
        <f>M121/M$211</f>
        <v>0</v>
      </c>
      <c r="N333" s="137">
        <f>N121/N$211</f>
        <v>0</v>
      </c>
      <c r="O333" s="137">
        <f>O121/O$211</f>
        <v>0</v>
      </c>
      <c r="P333" s="137">
        <f>P121/P$211</f>
        <v>0</v>
      </c>
      <c r="Q333" s="137">
        <f>Q121/Q$211</f>
        <v>0</v>
      </c>
      <c r="R333" s="137">
        <f>R121/R$211</f>
        <v>0</v>
      </c>
      <c r="S333" s="137">
        <f>S121/S$211</f>
        <v>0</v>
      </c>
      <c r="T333" s="137">
        <f>T121/T$211</f>
        <v>0</v>
      </c>
      <c r="U333" s="137">
        <f>U121/U$211</f>
        <v>0</v>
      </c>
      <c r="V333" s="137">
        <f>V121/V$211</f>
        <v>0</v>
      </c>
      <c r="W333" s="107"/>
      <c r="X333" s="106">
        <f>X121/X$211</f>
        <v>0</v>
      </c>
      <c r="Y333" s="106">
        <f>Y121/Y$211</f>
        <v>0</v>
      </c>
      <c r="Z333" s="106">
        <f>Z121/Z$211</f>
        <v>0</v>
      </c>
      <c r="AA333" s="107"/>
      <c r="AB333" s="106"/>
      <c r="AC333" s="107">
        <f>AC121/AC$211</f>
        <v>0</v>
      </c>
      <c r="AD333" s="106">
        <f>AD121/AD$211</f>
        <v>0</v>
      </c>
    </row>
    <row r="334" spans="1:30">
      <c r="A334" s="141" t="s">
        <v>269</v>
      </c>
      <c r="B334" s="146" t="e">
        <f>#REF!/B122-1</f>
        <v>#REF!</v>
      </c>
      <c r="C334" s="106">
        <f>C122/C$211</f>
        <v>0</v>
      </c>
      <c r="D334" s="106">
        <f>D122/D$211</f>
        <v>0</v>
      </c>
      <c r="E334" s="106">
        <f>E122/E$211</f>
        <v>0</v>
      </c>
      <c r="F334" s="106">
        <f>F122/F$211</f>
        <v>0</v>
      </c>
      <c r="G334" s="106">
        <f>G122/G$211</f>
        <v>0</v>
      </c>
      <c r="H334" s="106">
        <f>H122/H$211</f>
        <v>0</v>
      </c>
      <c r="I334" s="137">
        <f>I122/I$211</f>
        <v>0</v>
      </c>
      <c r="J334" s="137">
        <f>J122/J$211</f>
        <v>0</v>
      </c>
      <c r="K334" s="137">
        <f>K122/K$211</f>
        <v>0</v>
      </c>
      <c r="L334" s="137">
        <f>L122/L$211</f>
        <v>0</v>
      </c>
      <c r="M334" s="137">
        <f>M122/M$211</f>
        <v>0</v>
      </c>
      <c r="N334" s="137">
        <f>N122/N$211</f>
        <v>0</v>
      </c>
      <c r="O334" s="137">
        <f>O122/O$211</f>
        <v>0</v>
      </c>
      <c r="P334" s="137">
        <f>P122/P$211</f>
        <v>0</v>
      </c>
      <c r="Q334" s="137">
        <f>Q122/Q$211</f>
        <v>0</v>
      </c>
      <c r="R334" s="137">
        <f>R122/R$211</f>
        <v>0</v>
      </c>
      <c r="S334" s="137">
        <f>S122/S$211</f>
        <v>0</v>
      </c>
      <c r="T334" s="137">
        <f>T122/T$211</f>
        <v>0</v>
      </c>
      <c r="U334" s="137">
        <f>U122/U$211</f>
        <v>0</v>
      </c>
      <c r="V334" s="137">
        <f>V122/V$211</f>
        <v>0</v>
      </c>
      <c r="W334" s="107"/>
      <c r="X334" s="106">
        <f>X122/X$211</f>
        <v>0</v>
      </c>
      <c r="Y334" s="106">
        <f>Y122/Y$211</f>
        <v>0</v>
      </c>
      <c r="Z334" s="106">
        <f>Z122/Z$211</f>
        <v>0</v>
      </c>
      <c r="AA334" s="107"/>
      <c r="AB334" s="106"/>
      <c r="AC334" s="107">
        <f>AC122/AC$211</f>
        <v>0</v>
      </c>
      <c r="AD334" s="106">
        <f>AD122/AD$211</f>
        <v>0</v>
      </c>
    </row>
    <row r="335" spans="1:30">
      <c r="A335" s="141" t="s">
        <v>271</v>
      </c>
      <c r="B335" s="146" t="e">
        <f>#REF!/B123-1</f>
        <v>#REF!</v>
      </c>
      <c r="C335" s="106">
        <f>C123/C$211</f>
        <v>0</v>
      </c>
      <c r="D335" s="106">
        <f>D123/D$211</f>
        <v>0</v>
      </c>
      <c r="E335" s="106">
        <f>E123/E$211</f>
        <v>0</v>
      </c>
      <c r="F335" s="106">
        <f>F123/F$211</f>
        <v>0</v>
      </c>
      <c r="G335" s="106">
        <f>G123/G$211</f>
        <v>0</v>
      </c>
      <c r="H335" s="106">
        <f>H123/H$211</f>
        <v>0</v>
      </c>
      <c r="I335" s="137">
        <f>I123/I$211</f>
        <v>0</v>
      </c>
      <c r="J335" s="137">
        <f>J123/J$211</f>
        <v>0</v>
      </c>
      <c r="K335" s="137">
        <f>K123/K$211</f>
        <v>0</v>
      </c>
      <c r="L335" s="137">
        <f>L123/L$211</f>
        <v>0</v>
      </c>
      <c r="M335" s="137">
        <f>M123/M$211</f>
        <v>0</v>
      </c>
      <c r="N335" s="137">
        <f>N123/N$211</f>
        <v>0</v>
      </c>
      <c r="O335" s="137">
        <f>O123/O$211</f>
        <v>0</v>
      </c>
      <c r="P335" s="137">
        <f>P123/P$211</f>
        <v>0</v>
      </c>
      <c r="Q335" s="137">
        <f>Q123/Q$211</f>
        <v>0</v>
      </c>
      <c r="R335" s="137">
        <f>R123/R$211</f>
        <v>0</v>
      </c>
      <c r="S335" s="137">
        <f>S123/S$211</f>
        <v>0</v>
      </c>
      <c r="T335" s="137">
        <f>T123/T$211</f>
        <v>0</v>
      </c>
      <c r="U335" s="137">
        <f>U123/U$211</f>
        <v>0</v>
      </c>
      <c r="V335" s="137">
        <f>V123/V$211</f>
        <v>0</v>
      </c>
      <c r="W335" s="107"/>
      <c r="X335" s="106">
        <f>X123/X$211</f>
        <v>0</v>
      </c>
      <c r="Y335" s="106">
        <f>Y123/Y$211</f>
        <v>0</v>
      </c>
      <c r="Z335" s="106">
        <f>Z123/Z$211</f>
        <v>0</v>
      </c>
      <c r="AA335" s="107"/>
      <c r="AB335" s="106"/>
      <c r="AC335" s="107">
        <f>AC123/AC$211</f>
        <v>0</v>
      </c>
      <c r="AD335" s="106">
        <f>AD123/AD$211</f>
        <v>0</v>
      </c>
    </row>
    <row r="336" spans="1:30">
      <c r="A336" s="141" t="s">
        <v>273</v>
      </c>
      <c r="B336" s="146" t="e">
        <f>#REF!/B124-1</f>
        <v>#REF!</v>
      </c>
      <c r="C336" s="106">
        <f>C124/C$211</f>
        <v>1.33961541074554e-6</v>
      </c>
      <c r="D336" s="106">
        <f>D124/D$211</f>
        <v>4.40327924367359e-7</v>
      </c>
      <c r="E336" s="106">
        <f>E124/E$211</f>
        <v>0</v>
      </c>
      <c r="F336" s="106">
        <f>F124/F$211</f>
        <v>0</v>
      </c>
      <c r="G336" s="106">
        <f>G124/G$211</f>
        <v>0</v>
      </c>
      <c r="H336" s="106">
        <f>H124/H$211</f>
        <v>0</v>
      </c>
      <c r="I336" s="137">
        <f>I124/I$211</f>
        <v>0</v>
      </c>
      <c r="J336" s="137">
        <f>J124/J$211</f>
        <v>0</v>
      </c>
      <c r="K336" s="137">
        <f>K124/K$211</f>
        <v>0</v>
      </c>
      <c r="L336" s="137">
        <f>L124/L$211</f>
        <v>0</v>
      </c>
      <c r="M336" s="137">
        <f>M124/M$211</f>
        <v>3.39003345506033e-6</v>
      </c>
      <c r="N336" s="137">
        <f>N124/N$211</f>
        <v>2.02661947295938e-6</v>
      </c>
      <c r="O336" s="137">
        <f>O124/O$211</f>
        <v>2.85817665389037e-5</v>
      </c>
      <c r="P336" s="137">
        <f>P124/P$211</f>
        <v>0</v>
      </c>
      <c r="Q336" s="137">
        <f>Q124/Q$211</f>
        <v>0</v>
      </c>
      <c r="R336" s="137">
        <f>R124/R$211</f>
        <v>0</v>
      </c>
      <c r="S336" s="137">
        <f>S124/S$211</f>
        <v>0</v>
      </c>
      <c r="T336" s="137">
        <f>T124/T$211</f>
        <v>0</v>
      </c>
      <c r="U336" s="137">
        <f>U124/U$211</f>
        <v>0</v>
      </c>
      <c r="V336" s="137">
        <f>V124/V$211</f>
        <v>0</v>
      </c>
      <c r="W336" s="107"/>
      <c r="X336" s="106">
        <f>X124/X$211</f>
        <v>0</v>
      </c>
      <c r="Y336" s="106">
        <f>Y124/Y$211</f>
        <v>0</v>
      </c>
      <c r="Z336" s="106">
        <f>Z124/Z$211</f>
        <v>0</v>
      </c>
      <c r="AA336" s="107"/>
      <c r="AB336" s="106"/>
      <c r="AC336" s="107">
        <f>AC124/AC$211</f>
        <v>0</v>
      </c>
      <c r="AD336" s="106">
        <f>AD124/AD$211</f>
        <v>0</v>
      </c>
    </row>
    <row r="337" spans="1:30">
      <c r="A337" s="141" t="s">
        <v>275</v>
      </c>
      <c r="B337" s="146" t="e">
        <f>#REF!/B125-1</f>
        <v>#REF!</v>
      </c>
      <c r="C337" s="106">
        <f>C125/C$211</f>
        <v>9.53037731779932e-8</v>
      </c>
      <c r="D337" s="106">
        <f>D125/D$211</f>
        <v>-1.16765131838684e-7</v>
      </c>
      <c r="E337" s="106">
        <f>E125/E$211</f>
        <v>0</v>
      </c>
      <c r="F337" s="106">
        <f>F125/F$211</f>
        <v>0</v>
      </c>
      <c r="G337" s="106">
        <f>G125/G$211</f>
        <v>1.58220896482327e-6</v>
      </c>
      <c r="H337" s="106">
        <f>H125/H$211</f>
        <v>-1.73541846309065e-6</v>
      </c>
      <c r="I337" s="137">
        <f>I125/I$211</f>
        <v>0</v>
      </c>
      <c r="J337" s="137">
        <f>J125/J$211</f>
        <v>0</v>
      </c>
      <c r="K337" s="137">
        <f>K125/K$211</f>
        <v>0</v>
      </c>
      <c r="L337" s="137">
        <f>L125/L$211</f>
        <v>0</v>
      </c>
      <c r="M337" s="137">
        <f>M125/M$211</f>
        <v>0</v>
      </c>
      <c r="N337" s="137">
        <f>N125/N$211</f>
        <v>0</v>
      </c>
      <c r="O337" s="137">
        <f>O125/O$211</f>
        <v>0</v>
      </c>
      <c r="P337" s="137">
        <f>P125/P$211</f>
        <v>0</v>
      </c>
      <c r="Q337" s="137">
        <f>Q125/Q$211</f>
        <v>0</v>
      </c>
      <c r="R337" s="137">
        <f>R125/R$211</f>
        <v>0</v>
      </c>
      <c r="S337" s="137">
        <f>S125/S$211</f>
        <v>0</v>
      </c>
      <c r="T337" s="137">
        <f>T125/T$211</f>
        <v>0</v>
      </c>
      <c r="U337" s="137">
        <f>U125/U$211</f>
        <v>0</v>
      </c>
      <c r="V337" s="137">
        <f>V125/V$211</f>
        <v>0</v>
      </c>
      <c r="W337" s="107"/>
      <c r="X337" s="106">
        <f>X125/X$211</f>
        <v>0</v>
      </c>
      <c r="Y337" s="106">
        <f>Y125/Y$211</f>
        <v>0</v>
      </c>
      <c r="Z337" s="106">
        <f>Z125/Z$211</f>
        <v>0</v>
      </c>
      <c r="AA337" s="107"/>
      <c r="AB337" s="106"/>
      <c r="AC337" s="107">
        <f>AC125/AC$211</f>
        <v>0</v>
      </c>
      <c r="AD337" s="106">
        <f>AD125/AD$211</f>
        <v>0</v>
      </c>
    </row>
    <row r="338" spans="1:30">
      <c r="A338" s="141" t="s">
        <v>277</v>
      </c>
      <c r="B338" s="146" t="e">
        <f>#REF!/B126-1</f>
        <v>#REF!</v>
      </c>
      <c r="C338" s="106">
        <f>C126/C$211</f>
        <v>1.41415946682691e-6</v>
      </c>
      <c r="D338" s="106">
        <f>D126/D$211</f>
        <v>1.67000693617281e-6</v>
      </c>
      <c r="E338" s="106">
        <f>E126/E$211</f>
        <v>0</v>
      </c>
      <c r="F338" s="106">
        <f>F126/F$211</f>
        <v>0</v>
      </c>
      <c r="G338" s="106">
        <f>G126/G$211</f>
        <v>0</v>
      </c>
      <c r="H338" s="106">
        <f>H126/H$211</f>
        <v>0</v>
      </c>
      <c r="I338" s="137">
        <f>I126/I$211</f>
        <v>0</v>
      </c>
      <c r="J338" s="137">
        <f>J126/J$211</f>
        <v>0</v>
      </c>
      <c r="K338" s="137">
        <f>K126/K$211</f>
        <v>0</v>
      </c>
      <c r="L338" s="137">
        <f>L126/L$211</f>
        <v>0</v>
      </c>
      <c r="M338" s="137">
        <f>M126/M$211</f>
        <v>0</v>
      </c>
      <c r="N338" s="137">
        <f>N126/N$211</f>
        <v>0</v>
      </c>
      <c r="O338" s="137">
        <f>O126/O$211</f>
        <v>0</v>
      </c>
      <c r="P338" s="137">
        <f>P126/P$211</f>
        <v>0</v>
      </c>
      <c r="Q338" s="137">
        <f>Q126/Q$211</f>
        <v>0</v>
      </c>
      <c r="R338" s="137">
        <f>R126/R$211</f>
        <v>0</v>
      </c>
      <c r="S338" s="137">
        <f>S126/S$211</f>
        <v>0</v>
      </c>
      <c r="T338" s="137">
        <f>T126/T$211</f>
        <v>0</v>
      </c>
      <c r="U338" s="137">
        <f>U126/U$211</f>
        <v>0</v>
      </c>
      <c r="V338" s="137">
        <f>V126/V$211</f>
        <v>0</v>
      </c>
      <c r="W338" s="107"/>
      <c r="X338" s="106">
        <f>X126/X$211</f>
        <v>0</v>
      </c>
      <c r="Y338" s="106">
        <f>Y126/Y$211</f>
        <v>0</v>
      </c>
      <c r="Z338" s="106">
        <f>Z126/Z$211</f>
        <v>0</v>
      </c>
      <c r="AA338" s="107"/>
      <c r="AB338" s="106"/>
      <c r="AC338" s="107">
        <f>AC126/AC$211</f>
        <v>5.33941104969177e-6</v>
      </c>
      <c r="AD338" s="106">
        <f>AD126/AD$211</f>
        <v>6.86852308006471e-6</v>
      </c>
    </row>
    <row r="339" spans="1:30">
      <c r="A339" s="141" t="s">
        <v>279</v>
      </c>
      <c r="B339" s="146" t="e">
        <f>#REF!/B127-1</f>
        <v>#REF!</v>
      </c>
      <c r="C339" s="106">
        <f>C127/C$211</f>
        <v>0</v>
      </c>
      <c r="D339" s="106">
        <f>D127/D$211</f>
        <v>0</v>
      </c>
      <c r="E339" s="106">
        <f>E127/E$211</f>
        <v>0</v>
      </c>
      <c r="F339" s="106">
        <f>F127/F$211</f>
        <v>0</v>
      </c>
      <c r="G339" s="106">
        <f>G127/G$211</f>
        <v>0</v>
      </c>
      <c r="H339" s="106">
        <f>H127/H$211</f>
        <v>0</v>
      </c>
      <c r="I339" s="137">
        <f>I127/I$211</f>
        <v>0</v>
      </c>
      <c r="J339" s="137">
        <f>J127/J$211</f>
        <v>0</v>
      </c>
      <c r="K339" s="137">
        <f>K127/K$211</f>
        <v>0</v>
      </c>
      <c r="L339" s="137">
        <f>L127/L$211</f>
        <v>0</v>
      </c>
      <c r="M339" s="137">
        <f>M127/M$211</f>
        <v>0</v>
      </c>
      <c r="N339" s="137">
        <f>N127/N$211</f>
        <v>0</v>
      </c>
      <c r="O339" s="137">
        <f>O127/O$211</f>
        <v>0</v>
      </c>
      <c r="P339" s="137">
        <f>P127/P$211</f>
        <v>0</v>
      </c>
      <c r="Q339" s="137">
        <f>Q127/Q$211</f>
        <v>0</v>
      </c>
      <c r="R339" s="137">
        <f>R127/R$211</f>
        <v>0</v>
      </c>
      <c r="S339" s="137">
        <f>S127/S$211</f>
        <v>0</v>
      </c>
      <c r="T339" s="137">
        <f>T127/T$211</f>
        <v>0</v>
      </c>
      <c r="U339" s="137">
        <f>U127/U$211</f>
        <v>0</v>
      </c>
      <c r="V339" s="137">
        <f>V127/V$211</f>
        <v>0</v>
      </c>
      <c r="W339" s="107"/>
      <c r="X339" s="106">
        <f>X127/X$211</f>
        <v>0</v>
      </c>
      <c r="Y339" s="106">
        <f>Y127/Y$211</f>
        <v>0</v>
      </c>
      <c r="Z339" s="106">
        <f>Z127/Z$211</f>
        <v>0</v>
      </c>
      <c r="AA339" s="107"/>
      <c r="AB339" s="106"/>
      <c r="AC339" s="107">
        <f>AC127/AC$211</f>
        <v>0</v>
      </c>
      <c r="AD339" s="106">
        <f>AD127/AD$211</f>
        <v>0</v>
      </c>
    </row>
    <row r="340" spans="1:30">
      <c r="A340" s="141" t="s">
        <v>281</v>
      </c>
      <c r="B340" s="146" t="e">
        <f>#REF!/B128-1</f>
        <v>#REF!</v>
      </c>
      <c r="C340" s="106">
        <f>C128/C$211</f>
        <v>0</v>
      </c>
      <c r="D340" s="106">
        <f>D128/D$211</f>
        <v>0</v>
      </c>
      <c r="E340" s="106">
        <f>E128/E$211</f>
        <v>0</v>
      </c>
      <c r="F340" s="106">
        <f>F128/F$211</f>
        <v>0</v>
      </c>
      <c r="G340" s="106">
        <f>G128/G$211</f>
        <v>0</v>
      </c>
      <c r="H340" s="106">
        <f>H128/H$211</f>
        <v>0</v>
      </c>
      <c r="I340" s="137">
        <f>I128/I$211</f>
        <v>0</v>
      </c>
      <c r="J340" s="137">
        <f>J128/J$211</f>
        <v>0</v>
      </c>
      <c r="K340" s="137">
        <f>K128/K$211</f>
        <v>0</v>
      </c>
      <c r="L340" s="137">
        <f>L128/L$211</f>
        <v>0</v>
      </c>
      <c r="M340" s="137">
        <f>M128/M$211</f>
        <v>0</v>
      </c>
      <c r="N340" s="137">
        <f>N128/N$211</f>
        <v>0</v>
      </c>
      <c r="O340" s="137">
        <f>O128/O$211</f>
        <v>0</v>
      </c>
      <c r="P340" s="137">
        <f>P128/P$211</f>
        <v>0</v>
      </c>
      <c r="Q340" s="137">
        <f>Q128/Q$211</f>
        <v>0</v>
      </c>
      <c r="R340" s="137">
        <f>R128/R$211</f>
        <v>0</v>
      </c>
      <c r="S340" s="137">
        <f>S128/S$211</f>
        <v>0</v>
      </c>
      <c r="T340" s="137">
        <f>T128/T$211</f>
        <v>0</v>
      </c>
      <c r="U340" s="137">
        <f>U128/U$211</f>
        <v>0</v>
      </c>
      <c r="V340" s="137">
        <f>V128/V$211</f>
        <v>0</v>
      </c>
      <c r="W340" s="107"/>
      <c r="X340" s="106">
        <f>X128/X$211</f>
        <v>0</v>
      </c>
      <c r="Y340" s="106">
        <f>Y128/Y$211</f>
        <v>0</v>
      </c>
      <c r="Z340" s="106">
        <f>Z128/Z$211</f>
        <v>0</v>
      </c>
      <c r="AA340" s="107"/>
      <c r="AB340" s="106"/>
      <c r="AC340" s="107">
        <f>AC128/AC$211</f>
        <v>0</v>
      </c>
      <c r="AD340" s="106">
        <f>AD128/AD$211</f>
        <v>0</v>
      </c>
    </row>
    <row r="341" spans="1:30">
      <c r="A341" s="141" t="s">
        <v>283</v>
      </c>
      <c r="B341" s="146" t="e">
        <f>#REF!/B129-1</f>
        <v>#REF!</v>
      </c>
      <c r="C341" s="106">
        <f>C129/C$211</f>
        <v>0</v>
      </c>
      <c r="D341" s="106">
        <f>D129/D$211</f>
        <v>0</v>
      </c>
      <c r="E341" s="106">
        <f>E129/E$211</f>
        <v>0</v>
      </c>
      <c r="F341" s="106">
        <f>F129/F$211</f>
        <v>0</v>
      </c>
      <c r="G341" s="106">
        <f>G129/G$211</f>
        <v>0</v>
      </c>
      <c r="H341" s="106">
        <f>H129/H$211</f>
        <v>0</v>
      </c>
      <c r="I341" s="137">
        <f>I129/I$211</f>
        <v>0</v>
      </c>
      <c r="J341" s="137">
        <f>J129/J$211</f>
        <v>0</v>
      </c>
      <c r="K341" s="137">
        <f>K129/K$211</f>
        <v>0</v>
      </c>
      <c r="L341" s="137">
        <f>L129/L$211</f>
        <v>0</v>
      </c>
      <c r="M341" s="137">
        <f>M129/M$211</f>
        <v>0</v>
      </c>
      <c r="N341" s="137">
        <f>N129/N$211</f>
        <v>0</v>
      </c>
      <c r="O341" s="137">
        <f>O129/O$211</f>
        <v>0</v>
      </c>
      <c r="P341" s="137">
        <f>P129/P$211</f>
        <v>0</v>
      </c>
      <c r="Q341" s="137">
        <f>Q129/Q$211</f>
        <v>0</v>
      </c>
      <c r="R341" s="137">
        <f>R129/R$211</f>
        <v>0</v>
      </c>
      <c r="S341" s="137">
        <f>S129/S$211</f>
        <v>0</v>
      </c>
      <c r="T341" s="137">
        <f>T129/T$211</f>
        <v>0</v>
      </c>
      <c r="U341" s="137">
        <f>U129/U$211</f>
        <v>0</v>
      </c>
      <c r="V341" s="137">
        <f>V129/V$211</f>
        <v>0</v>
      </c>
      <c r="W341" s="107"/>
      <c r="X341" s="106">
        <f>X129/X$211</f>
        <v>0</v>
      </c>
      <c r="Y341" s="106">
        <f>Y129/Y$211</f>
        <v>0</v>
      </c>
      <c r="Z341" s="106">
        <f>Z129/Z$211</f>
        <v>0</v>
      </c>
      <c r="AA341" s="107"/>
      <c r="AB341" s="106"/>
      <c r="AC341" s="107">
        <f>AC129/AC$211</f>
        <v>0</v>
      </c>
      <c r="AD341" s="106">
        <f>AD129/AD$211</f>
        <v>0</v>
      </c>
    </row>
    <row r="342" spans="1:30">
      <c r="A342" s="141" t="s">
        <v>287</v>
      </c>
      <c r="B342" s="146" t="e">
        <f>#REF!/B130-1</f>
        <v>#REF!</v>
      </c>
      <c r="C342" s="106">
        <f>C130/C$211</f>
        <v>0</v>
      </c>
      <c r="D342" s="106">
        <f>D130/D$211</f>
        <v>0</v>
      </c>
      <c r="E342" s="106">
        <f>E130/E$211</f>
        <v>0</v>
      </c>
      <c r="F342" s="106">
        <f>F130/F$211</f>
        <v>0</v>
      </c>
      <c r="G342" s="106">
        <f>G130/G$211</f>
        <v>0</v>
      </c>
      <c r="H342" s="106">
        <f>H130/H$211</f>
        <v>0</v>
      </c>
      <c r="I342" s="137">
        <f>I130/I$211</f>
        <v>0</v>
      </c>
      <c r="J342" s="137">
        <f>J130/J$211</f>
        <v>0</v>
      </c>
      <c r="K342" s="137">
        <f>K130/K$211</f>
        <v>0</v>
      </c>
      <c r="L342" s="137">
        <f>L130/L$211</f>
        <v>0</v>
      </c>
      <c r="M342" s="137">
        <f>M130/M$211</f>
        <v>0</v>
      </c>
      <c r="N342" s="137">
        <f>N130/N$211</f>
        <v>0</v>
      </c>
      <c r="O342" s="137">
        <f>O130/O$211</f>
        <v>0</v>
      </c>
      <c r="P342" s="137">
        <f>P130/P$211</f>
        <v>0</v>
      </c>
      <c r="Q342" s="137">
        <f>Q130/Q$211</f>
        <v>0</v>
      </c>
      <c r="R342" s="137">
        <f>R130/R$211</f>
        <v>0</v>
      </c>
      <c r="S342" s="137">
        <f>S130/S$211</f>
        <v>0</v>
      </c>
      <c r="T342" s="137">
        <f>T130/T$211</f>
        <v>0</v>
      </c>
      <c r="U342" s="137">
        <f>U130/U$211</f>
        <v>0</v>
      </c>
      <c r="V342" s="137">
        <f>V130/V$211</f>
        <v>0</v>
      </c>
      <c r="W342" s="107"/>
      <c r="X342" s="106">
        <f>X130/X$211</f>
        <v>0</v>
      </c>
      <c r="Y342" s="106">
        <f>Y130/Y$211</f>
        <v>0</v>
      </c>
      <c r="Z342" s="106">
        <f>Z130/Z$211</f>
        <v>0</v>
      </c>
      <c r="AA342" s="107"/>
      <c r="AB342" s="106"/>
      <c r="AC342" s="107">
        <f>AC130/AC$211</f>
        <v>0</v>
      </c>
      <c r="AD342" s="106">
        <f>AD130/AD$211</f>
        <v>0</v>
      </c>
    </row>
    <row r="343" spans="1:30">
      <c r="A343" s="141" t="s">
        <v>285</v>
      </c>
      <c r="B343" s="146" t="e">
        <f>#REF!/B131-1</f>
        <v>#REF!</v>
      </c>
      <c r="C343" s="106">
        <f>C131/C$211</f>
        <v>0</v>
      </c>
      <c r="D343" s="106">
        <f>D131/D$211</f>
        <v>0</v>
      </c>
      <c r="E343" s="106">
        <f>E131/E$211</f>
        <v>0</v>
      </c>
      <c r="F343" s="106">
        <f>F131/F$211</f>
        <v>0</v>
      </c>
      <c r="G343" s="106">
        <f>G131/G$211</f>
        <v>0</v>
      </c>
      <c r="H343" s="106">
        <f>H131/H$211</f>
        <v>0</v>
      </c>
      <c r="I343" s="137">
        <f>I131/I$211</f>
        <v>0</v>
      </c>
      <c r="J343" s="137">
        <f>J131/J$211</f>
        <v>0</v>
      </c>
      <c r="K343" s="137">
        <f>K131/K$211</f>
        <v>0</v>
      </c>
      <c r="L343" s="137">
        <f>L131/L$211</f>
        <v>0</v>
      </c>
      <c r="M343" s="137">
        <f>M131/M$211</f>
        <v>0</v>
      </c>
      <c r="N343" s="137">
        <f>N131/N$211</f>
        <v>0</v>
      </c>
      <c r="O343" s="137">
        <f>O131/O$211</f>
        <v>0</v>
      </c>
      <c r="P343" s="137">
        <f>P131/P$211</f>
        <v>0</v>
      </c>
      <c r="Q343" s="137">
        <f>Q131/Q$211</f>
        <v>0</v>
      </c>
      <c r="R343" s="137">
        <f>R131/R$211</f>
        <v>0</v>
      </c>
      <c r="S343" s="137">
        <f>S131/S$211</f>
        <v>0</v>
      </c>
      <c r="T343" s="137">
        <f>T131/T$211</f>
        <v>0</v>
      </c>
      <c r="U343" s="137">
        <f>U131/U$211</f>
        <v>0</v>
      </c>
      <c r="V343" s="137">
        <f>V131/V$211</f>
        <v>0</v>
      </c>
      <c r="W343" s="107"/>
      <c r="X343" s="106">
        <f>X131/X$211</f>
        <v>0</v>
      </c>
      <c r="Y343" s="106">
        <f>Y131/Y$211</f>
        <v>0</v>
      </c>
      <c r="Z343" s="106">
        <f>Z131/Z$211</f>
        <v>0</v>
      </c>
      <c r="AA343" s="107"/>
      <c r="AB343" s="106"/>
      <c r="AC343" s="107">
        <f>AC131/AC$211</f>
        <v>0</v>
      </c>
      <c r="AD343" s="106">
        <f>AD131/AD$211</f>
        <v>0</v>
      </c>
    </row>
    <row r="344" spans="1:30">
      <c r="A344" s="141" t="s">
        <v>289</v>
      </c>
      <c r="B344" s="146" t="e">
        <f>#REF!/B132-1</f>
        <v>#REF!</v>
      </c>
      <c r="C344" s="106">
        <f>C132/C$211</f>
        <v>0</v>
      </c>
      <c r="D344" s="106">
        <f>D132/D$211</f>
        <v>0</v>
      </c>
      <c r="E344" s="106">
        <f>E132/E$211</f>
        <v>0</v>
      </c>
      <c r="F344" s="106">
        <f>F132/F$211</f>
        <v>0</v>
      </c>
      <c r="G344" s="106">
        <f>G132/G$211</f>
        <v>0</v>
      </c>
      <c r="H344" s="106">
        <f>H132/H$211</f>
        <v>0</v>
      </c>
      <c r="I344" s="137">
        <f>I132/I$211</f>
        <v>0</v>
      </c>
      <c r="J344" s="137">
        <f>J132/J$211</f>
        <v>0</v>
      </c>
      <c r="K344" s="137">
        <f>K132/K$211</f>
        <v>0</v>
      </c>
      <c r="L344" s="137">
        <f>L132/L$211</f>
        <v>0</v>
      </c>
      <c r="M344" s="137">
        <f>M132/M$211</f>
        <v>0</v>
      </c>
      <c r="N344" s="137">
        <f>N132/N$211</f>
        <v>0</v>
      </c>
      <c r="O344" s="137">
        <f>O132/O$211</f>
        <v>0</v>
      </c>
      <c r="P344" s="137">
        <f>P132/P$211</f>
        <v>0</v>
      </c>
      <c r="Q344" s="137">
        <f>Q132/Q$211</f>
        <v>0</v>
      </c>
      <c r="R344" s="137">
        <f>R132/R$211</f>
        <v>0</v>
      </c>
      <c r="S344" s="137">
        <f>S132/S$211</f>
        <v>0</v>
      </c>
      <c r="T344" s="137">
        <f>T132/T$211</f>
        <v>0</v>
      </c>
      <c r="U344" s="137">
        <f>U132/U$211</f>
        <v>0</v>
      </c>
      <c r="V344" s="137">
        <f>V132/V$211</f>
        <v>0</v>
      </c>
      <c r="W344" s="107"/>
      <c r="X344" s="106">
        <f>X132/X$211</f>
        <v>0</v>
      </c>
      <c r="Y344" s="106">
        <f>Y132/Y$211</f>
        <v>0</v>
      </c>
      <c r="Z344" s="106">
        <f>Z132/Z$211</f>
        <v>0</v>
      </c>
      <c r="AA344" s="107"/>
      <c r="AB344" s="106"/>
      <c r="AC344" s="107">
        <f>AC132/AC$211</f>
        <v>0</v>
      </c>
      <c r="AD344" s="106">
        <f>AD132/AD$211</f>
        <v>0</v>
      </c>
    </row>
    <row r="345" spans="1:30">
      <c r="A345" s="141" t="s">
        <v>291</v>
      </c>
      <c r="B345" s="146" t="e">
        <f>#REF!/B133-1</f>
        <v>#REF!</v>
      </c>
      <c r="C345" s="106">
        <f>C133/C$211</f>
        <v>0</v>
      </c>
      <c r="D345" s="106">
        <f>D133/D$211</f>
        <v>0</v>
      </c>
      <c r="E345" s="106">
        <f>E133/E$211</f>
        <v>0</v>
      </c>
      <c r="F345" s="106">
        <f>F133/F$211</f>
        <v>0</v>
      </c>
      <c r="G345" s="106">
        <f>G133/G$211</f>
        <v>0</v>
      </c>
      <c r="H345" s="106">
        <f>H133/H$211</f>
        <v>0</v>
      </c>
      <c r="I345" s="137">
        <f>I133/I$211</f>
        <v>0</v>
      </c>
      <c r="J345" s="137">
        <f>J133/J$211</f>
        <v>0</v>
      </c>
      <c r="K345" s="137">
        <f>K133/K$211</f>
        <v>0</v>
      </c>
      <c r="L345" s="137">
        <f>L133/L$211</f>
        <v>0</v>
      </c>
      <c r="M345" s="137">
        <f>M133/M$211</f>
        <v>0</v>
      </c>
      <c r="N345" s="137">
        <f>N133/N$211</f>
        <v>0</v>
      </c>
      <c r="O345" s="137">
        <f>O133/O$211</f>
        <v>0</v>
      </c>
      <c r="P345" s="137">
        <f>P133/P$211</f>
        <v>0</v>
      </c>
      <c r="Q345" s="137">
        <f>Q133/Q$211</f>
        <v>0</v>
      </c>
      <c r="R345" s="137">
        <f>R133/R$211</f>
        <v>0</v>
      </c>
      <c r="S345" s="137">
        <f>S133/S$211</f>
        <v>0</v>
      </c>
      <c r="T345" s="137">
        <f>T133/T$211</f>
        <v>0</v>
      </c>
      <c r="U345" s="137">
        <f>U133/U$211</f>
        <v>0</v>
      </c>
      <c r="V345" s="137">
        <f>V133/V$211</f>
        <v>0</v>
      </c>
      <c r="W345" s="107"/>
      <c r="X345" s="106">
        <f>X133/X$211</f>
        <v>0</v>
      </c>
      <c r="Y345" s="106">
        <f>Y133/Y$211</f>
        <v>0</v>
      </c>
      <c r="Z345" s="106">
        <f>Z133/Z$211</f>
        <v>0</v>
      </c>
      <c r="AA345" s="107"/>
      <c r="AB345" s="106"/>
      <c r="AC345" s="107">
        <f>AC133/AC$211</f>
        <v>0</v>
      </c>
      <c r="AD345" s="106">
        <f>AD133/AD$211</f>
        <v>0</v>
      </c>
    </row>
    <row r="346" spans="1:30">
      <c r="A346" s="141" t="s">
        <v>293</v>
      </c>
      <c r="B346" s="146" t="e">
        <f>#REF!/B134-1</f>
        <v>#REF!</v>
      </c>
      <c r="C346" s="106">
        <f>C134/C$211</f>
        <v>0</v>
      </c>
      <c r="D346" s="106">
        <f>D134/D$211</f>
        <v>0</v>
      </c>
      <c r="E346" s="106">
        <f>E134/E$211</f>
        <v>0</v>
      </c>
      <c r="F346" s="106">
        <f>F134/F$211</f>
        <v>0</v>
      </c>
      <c r="G346" s="106">
        <f>G134/G$211</f>
        <v>0</v>
      </c>
      <c r="H346" s="106">
        <f>H134/H$211</f>
        <v>0</v>
      </c>
      <c r="I346" s="137">
        <f>I134/I$211</f>
        <v>0</v>
      </c>
      <c r="J346" s="137">
        <f>J134/J$211</f>
        <v>0</v>
      </c>
      <c r="K346" s="137">
        <f>K134/K$211</f>
        <v>0</v>
      </c>
      <c r="L346" s="137">
        <f>L134/L$211</f>
        <v>0</v>
      </c>
      <c r="M346" s="137">
        <f>M134/M$211</f>
        <v>0</v>
      </c>
      <c r="N346" s="137">
        <f>N134/N$211</f>
        <v>0</v>
      </c>
      <c r="O346" s="137">
        <f>O134/O$211</f>
        <v>0</v>
      </c>
      <c r="P346" s="137">
        <f>P134/P$211</f>
        <v>0</v>
      </c>
      <c r="Q346" s="137">
        <f>Q134/Q$211</f>
        <v>0</v>
      </c>
      <c r="R346" s="137">
        <f>R134/R$211</f>
        <v>0</v>
      </c>
      <c r="S346" s="137">
        <f>S134/S$211</f>
        <v>0</v>
      </c>
      <c r="T346" s="137">
        <f>T134/T$211</f>
        <v>0</v>
      </c>
      <c r="U346" s="137">
        <f>U134/U$211</f>
        <v>0</v>
      </c>
      <c r="V346" s="137">
        <f>V134/V$211</f>
        <v>0</v>
      </c>
      <c r="W346" s="107"/>
      <c r="X346" s="106">
        <f>X134/X$211</f>
        <v>0</v>
      </c>
      <c r="Y346" s="106">
        <f>Y134/Y$211</f>
        <v>0</v>
      </c>
      <c r="Z346" s="106">
        <f>Z134/Z$211</f>
        <v>0</v>
      </c>
      <c r="AA346" s="107"/>
      <c r="AB346" s="106"/>
      <c r="AC346" s="107">
        <f>AC134/AC$211</f>
        <v>0</v>
      </c>
      <c r="AD346" s="106">
        <f>AD134/AD$211</f>
        <v>0</v>
      </c>
    </row>
    <row r="347" spans="1:30">
      <c r="A347" s="141" t="s">
        <v>295</v>
      </c>
      <c r="B347" s="146" t="e">
        <f>#REF!/B135-1</f>
        <v>#REF!</v>
      </c>
      <c r="C347" s="106">
        <f>C135/C$211</f>
        <v>0</v>
      </c>
      <c r="D347" s="106">
        <f>D135/D$211</f>
        <v>0</v>
      </c>
      <c r="E347" s="106">
        <f>E135/E$211</f>
        <v>0</v>
      </c>
      <c r="F347" s="106">
        <f>F135/F$211</f>
        <v>0</v>
      </c>
      <c r="G347" s="106">
        <f>G135/G$211</f>
        <v>0</v>
      </c>
      <c r="H347" s="106">
        <f>H135/H$211</f>
        <v>0</v>
      </c>
      <c r="I347" s="137">
        <f>I135/I$211</f>
        <v>0</v>
      </c>
      <c r="J347" s="137">
        <f>J135/J$211</f>
        <v>0</v>
      </c>
      <c r="K347" s="137">
        <f>K135/K$211</f>
        <v>0</v>
      </c>
      <c r="L347" s="137">
        <f>L135/L$211</f>
        <v>0</v>
      </c>
      <c r="M347" s="137">
        <f>M135/M$211</f>
        <v>0</v>
      </c>
      <c r="N347" s="137">
        <f>N135/N$211</f>
        <v>0</v>
      </c>
      <c r="O347" s="137">
        <f>O135/O$211</f>
        <v>0</v>
      </c>
      <c r="P347" s="137">
        <f>P135/P$211</f>
        <v>0</v>
      </c>
      <c r="Q347" s="137">
        <f>Q135/Q$211</f>
        <v>0</v>
      </c>
      <c r="R347" s="137">
        <f>R135/R$211</f>
        <v>0</v>
      </c>
      <c r="S347" s="137">
        <f>S135/S$211</f>
        <v>0</v>
      </c>
      <c r="T347" s="137">
        <f>T135/T$211</f>
        <v>0</v>
      </c>
      <c r="U347" s="137">
        <f>U135/U$211</f>
        <v>0</v>
      </c>
      <c r="V347" s="137">
        <f>V135/V$211</f>
        <v>0</v>
      </c>
      <c r="W347" s="107"/>
      <c r="X347" s="106">
        <f>X135/X$211</f>
        <v>0</v>
      </c>
      <c r="Y347" s="106">
        <f>Y135/Y$211</f>
        <v>0</v>
      </c>
      <c r="Z347" s="106">
        <f>Z135/Z$211</f>
        <v>0</v>
      </c>
      <c r="AA347" s="107"/>
      <c r="AB347" s="106"/>
      <c r="AC347" s="107">
        <f>AC135/AC$211</f>
        <v>0</v>
      </c>
      <c r="AD347" s="106">
        <f>AD135/AD$211</f>
        <v>0</v>
      </c>
    </row>
    <row r="348" spans="1:30">
      <c r="A348" s="141" t="s">
        <v>306</v>
      </c>
      <c r="B348" s="146" t="e">
        <f>#REF!/B136-1</f>
        <v>#REF!</v>
      </c>
      <c r="C348" s="106">
        <f>C136/C$211</f>
        <v>4.15417444420832e-7</v>
      </c>
      <c r="D348" s="106">
        <f>D136/D$211</f>
        <v>2.20635102427855e-6</v>
      </c>
      <c r="E348" s="106">
        <f>E136/E$211</f>
        <v>0</v>
      </c>
      <c r="F348" s="106">
        <f>F136/F$211</f>
        <v>0</v>
      </c>
      <c r="G348" s="106">
        <f>G136/G$211</f>
        <v>0</v>
      </c>
      <c r="H348" s="106">
        <f>H136/H$211</f>
        <v>0</v>
      </c>
      <c r="I348" s="137">
        <f>I136/I$211</f>
        <v>0</v>
      </c>
      <c r="J348" s="137">
        <f>J136/J$211</f>
        <v>0</v>
      </c>
      <c r="K348" s="137">
        <f>K136/K$211</f>
        <v>0</v>
      </c>
      <c r="L348" s="137">
        <f>L136/L$211</f>
        <v>0</v>
      </c>
      <c r="M348" s="137">
        <f>M136/M$211</f>
        <v>0</v>
      </c>
      <c r="N348" s="137">
        <f>N136/N$211</f>
        <v>0</v>
      </c>
      <c r="O348" s="137">
        <f>O136/O$211</f>
        <v>0</v>
      </c>
      <c r="P348" s="137">
        <f>P136/P$211</f>
        <v>0</v>
      </c>
      <c r="Q348" s="137">
        <f>Q136/Q$211</f>
        <v>0</v>
      </c>
      <c r="R348" s="137">
        <f>R136/R$211</f>
        <v>0</v>
      </c>
      <c r="S348" s="137">
        <f>S136/S$211</f>
        <v>0</v>
      </c>
      <c r="T348" s="137">
        <f>T136/T$211</f>
        <v>0</v>
      </c>
      <c r="U348" s="137">
        <f>U136/U$211</f>
        <v>4.89765083453133e-6</v>
      </c>
      <c r="V348" s="137">
        <f>V136/V$211</f>
        <v>0</v>
      </c>
      <c r="W348" s="107"/>
      <c r="X348" s="106">
        <f>X136/X$211</f>
        <v>0</v>
      </c>
      <c r="Y348" s="106">
        <f>Y136/Y$211</f>
        <v>0</v>
      </c>
      <c r="Z348" s="106">
        <f>Z136/Z$211</f>
        <v>0</v>
      </c>
      <c r="AA348" s="107"/>
      <c r="AB348" s="106"/>
      <c r="AC348" s="107">
        <f>AC136/AC$211</f>
        <v>0</v>
      </c>
      <c r="AD348" s="106">
        <f>AD136/AD$211</f>
        <v>9.07443712042967e-6</v>
      </c>
    </row>
    <row r="349" spans="1:30">
      <c r="A349" s="141" t="s">
        <v>307</v>
      </c>
      <c r="B349" s="146" t="e">
        <f>#REF!/B137-1</f>
        <v>#REF!</v>
      </c>
      <c r="C349" s="106">
        <f>C137/C$211</f>
        <v>0</v>
      </c>
      <c r="D349" s="106">
        <f>D137/D$211</f>
        <v>0</v>
      </c>
      <c r="E349" s="106">
        <f>E137/E$211</f>
        <v>0</v>
      </c>
      <c r="F349" s="106">
        <f>F137/F$211</f>
        <v>0</v>
      </c>
      <c r="G349" s="106">
        <f>G137/G$211</f>
        <v>0</v>
      </c>
      <c r="H349" s="106">
        <f>H137/H$211</f>
        <v>0</v>
      </c>
      <c r="I349" s="137">
        <f>I137/I$211</f>
        <v>0</v>
      </c>
      <c r="J349" s="137">
        <f>J137/J$211</f>
        <v>0</v>
      </c>
      <c r="K349" s="137">
        <f>K137/K$211</f>
        <v>0</v>
      </c>
      <c r="L349" s="137">
        <f>L137/L$211</f>
        <v>0</v>
      </c>
      <c r="M349" s="137">
        <f>M137/M$211</f>
        <v>0</v>
      </c>
      <c r="N349" s="137">
        <f>N137/N$211</f>
        <v>0</v>
      </c>
      <c r="O349" s="137">
        <f>O137/O$211</f>
        <v>0</v>
      </c>
      <c r="P349" s="137">
        <f>P137/P$211</f>
        <v>0</v>
      </c>
      <c r="Q349" s="137">
        <f>Q137/Q$211</f>
        <v>0</v>
      </c>
      <c r="R349" s="137">
        <f>R137/R$211</f>
        <v>0</v>
      </c>
      <c r="S349" s="137">
        <f>S137/S$211</f>
        <v>0</v>
      </c>
      <c r="T349" s="137">
        <f>T137/T$211</f>
        <v>0</v>
      </c>
      <c r="U349" s="137">
        <f>U137/U$211</f>
        <v>0</v>
      </c>
      <c r="V349" s="137">
        <f>V137/V$211</f>
        <v>0</v>
      </c>
      <c r="W349" s="107"/>
      <c r="X349" s="106">
        <f>X137/X$211</f>
        <v>0</v>
      </c>
      <c r="Y349" s="106">
        <f>Y137/Y$211</f>
        <v>0</v>
      </c>
      <c r="Z349" s="106">
        <f>Z137/Z$211</f>
        <v>0</v>
      </c>
      <c r="AA349" s="107"/>
      <c r="AB349" s="106"/>
      <c r="AC349" s="107">
        <f>AC137/AC$211</f>
        <v>0</v>
      </c>
      <c r="AD349" s="106">
        <f>AD137/AD$211</f>
        <v>0</v>
      </c>
    </row>
    <row r="350" spans="1:30">
      <c r="A350" s="141" t="s">
        <v>308</v>
      </c>
      <c r="B350" s="146" t="e">
        <f>#REF!/B138-1</f>
        <v>#REF!</v>
      </c>
      <c r="C350" s="106">
        <f>C138/C$211</f>
        <v>0</v>
      </c>
      <c r="D350" s="106">
        <f>D138/D$211</f>
        <v>1.19680878739174e-7</v>
      </c>
      <c r="E350" s="106">
        <f>E138/E$211</f>
        <v>0</v>
      </c>
      <c r="F350" s="106">
        <f>F138/F$211</f>
        <v>0</v>
      </c>
      <c r="G350" s="106">
        <f>G138/G$211</f>
        <v>0</v>
      </c>
      <c r="H350" s="106">
        <f>H138/H$211</f>
        <v>0</v>
      </c>
      <c r="I350" s="137">
        <f>I138/I$211</f>
        <v>0</v>
      </c>
      <c r="J350" s="137">
        <f>J138/J$211</f>
        <v>0</v>
      </c>
      <c r="K350" s="137">
        <f>K138/K$211</f>
        <v>0</v>
      </c>
      <c r="L350" s="137">
        <f>L138/L$211</f>
        <v>0</v>
      </c>
      <c r="M350" s="137">
        <f>M138/M$211</f>
        <v>0</v>
      </c>
      <c r="N350" s="137">
        <f>N138/N$211</f>
        <v>0</v>
      </c>
      <c r="O350" s="137">
        <f>O138/O$211</f>
        <v>0</v>
      </c>
      <c r="P350" s="137">
        <f>P138/P$211</f>
        <v>1.14096814332746e-5</v>
      </c>
      <c r="Q350" s="137">
        <f>Q138/Q$211</f>
        <v>0</v>
      </c>
      <c r="R350" s="137">
        <f>R138/R$211</f>
        <v>0</v>
      </c>
      <c r="S350" s="137">
        <f>S138/S$211</f>
        <v>0</v>
      </c>
      <c r="T350" s="137">
        <f>T138/T$211</f>
        <v>0</v>
      </c>
      <c r="U350" s="137">
        <f>U138/U$211</f>
        <v>0</v>
      </c>
      <c r="V350" s="137">
        <f>V138/V$211</f>
        <v>0</v>
      </c>
      <c r="W350" s="107"/>
      <c r="X350" s="106">
        <f>X138/X$211</f>
        <v>0</v>
      </c>
      <c r="Y350" s="106">
        <f>Y138/Y$211</f>
        <v>0</v>
      </c>
      <c r="Z350" s="106">
        <f>Z138/Z$211</f>
        <v>0</v>
      </c>
      <c r="AA350" s="107"/>
      <c r="AB350" s="106"/>
      <c r="AC350" s="107">
        <f>AC138/AC$211</f>
        <v>0</v>
      </c>
      <c r="AD350" s="106">
        <f>AD138/AD$211</f>
        <v>0</v>
      </c>
    </row>
    <row r="351" spans="1:30">
      <c r="A351" s="141" t="s">
        <v>309</v>
      </c>
      <c r="B351" s="146" t="e">
        <f>#REF!/B139-1</f>
        <v>#REF!</v>
      </c>
      <c r="C351" s="106">
        <f>C139/C$211</f>
        <v>0</v>
      </c>
      <c r="D351" s="106">
        <f>D139/D$211</f>
        <v>0</v>
      </c>
      <c r="E351" s="106">
        <f>E139/E$211</f>
        <v>0</v>
      </c>
      <c r="F351" s="106">
        <f>F139/F$211</f>
        <v>0</v>
      </c>
      <c r="G351" s="106">
        <f>G139/G$211</f>
        <v>0</v>
      </c>
      <c r="H351" s="106">
        <f>H139/H$211</f>
        <v>0</v>
      </c>
      <c r="I351" s="137">
        <f>I139/I$211</f>
        <v>0</v>
      </c>
      <c r="J351" s="137">
        <f>J139/J$211</f>
        <v>0</v>
      </c>
      <c r="K351" s="137">
        <f>K139/K$211</f>
        <v>0</v>
      </c>
      <c r="L351" s="137">
        <f>L139/L$211</f>
        <v>0</v>
      </c>
      <c r="M351" s="137">
        <f>M139/M$211</f>
        <v>0</v>
      </c>
      <c r="N351" s="137">
        <f>N139/N$211</f>
        <v>0</v>
      </c>
      <c r="O351" s="137">
        <f>O139/O$211</f>
        <v>0</v>
      </c>
      <c r="P351" s="137">
        <f>P139/P$211</f>
        <v>0</v>
      </c>
      <c r="Q351" s="137">
        <f>Q139/Q$211</f>
        <v>0</v>
      </c>
      <c r="R351" s="137">
        <f>R139/R$211</f>
        <v>0</v>
      </c>
      <c r="S351" s="137">
        <f>S139/S$211</f>
        <v>0</v>
      </c>
      <c r="T351" s="137">
        <f>T139/T$211</f>
        <v>0</v>
      </c>
      <c r="U351" s="137">
        <f>U139/U$211</f>
        <v>0</v>
      </c>
      <c r="V351" s="137">
        <f>V139/V$211</f>
        <v>0</v>
      </c>
      <c r="W351" s="107"/>
      <c r="X351" s="106">
        <f>X139/X$211</f>
        <v>0</v>
      </c>
      <c r="Y351" s="106">
        <f>Y139/Y$211</f>
        <v>0</v>
      </c>
      <c r="Z351" s="106">
        <f>Z139/Z$211</f>
        <v>0</v>
      </c>
      <c r="AA351" s="107"/>
      <c r="AB351" s="106"/>
      <c r="AC351" s="107">
        <f>AC139/AC$211</f>
        <v>0</v>
      </c>
      <c r="AD351" s="106">
        <f>AD139/AD$211</f>
        <v>0</v>
      </c>
    </row>
    <row r="352" spans="1:30">
      <c r="A352" s="141" t="s">
        <v>310</v>
      </c>
      <c r="B352" s="146" t="e">
        <f>#REF!/B140-1</f>
        <v>#REF!</v>
      </c>
      <c r="C352" s="106">
        <f>C140/C$211</f>
        <v>0</v>
      </c>
      <c r="D352" s="106">
        <f>D140/D$211</f>
        <v>0</v>
      </c>
      <c r="E352" s="106">
        <f>E140/E$211</f>
        <v>0</v>
      </c>
      <c r="F352" s="106">
        <f>F140/F$211</f>
        <v>0</v>
      </c>
      <c r="G352" s="106">
        <f>G140/G$211</f>
        <v>0</v>
      </c>
      <c r="H352" s="106">
        <f>H140/H$211</f>
        <v>0</v>
      </c>
      <c r="I352" s="137">
        <f>I140/I$211</f>
        <v>0</v>
      </c>
      <c r="J352" s="137">
        <f>J140/J$211</f>
        <v>0</v>
      </c>
      <c r="K352" s="137">
        <f>K140/K$211</f>
        <v>0</v>
      </c>
      <c r="L352" s="137">
        <f>L140/L$211</f>
        <v>0</v>
      </c>
      <c r="M352" s="137">
        <f>M140/M$211</f>
        <v>0</v>
      </c>
      <c r="N352" s="137">
        <f>N140/N$211</f>
        <v>0</v>
      </c>
      <c r="O352" s="137">
        <f>O140/O$211</f>
        <v>0</v>
      </c>
      <c r="P352" s="137">
        <f>P140/P$211</f>
        <v>0</v>
      </c>
      <c r="Q352" s="137">
        <f>Q140/Q$211</f>
        <v>0</v>
      </c>
      <c r="R352" s="137">
        <f>R140/R$211</f>
        <v>0</v>
      </c>
      <c r="S352" s="137">
        <f>S140/S$211</f>
        <v>0</v>
      </c>
      <c r="T352" s="137">
        <f>T140/T$211</f>
        <v>0</v>
      </c>
      <c r="U352" s="137">
        <f>U140/U$211</f>
        <v>0</v>
      </c>
      <c r="V352" s="137">
        <f>V140/V$211</f>
        <v>0</v>
      </c>
      <c r="W352" s="107"/>
      <c r="X352" s="106">
        <f>X140/X$211</f>
        <v>0</v>
      </c>
      <c r="Y352" s="106">
        <f>Y140/Y$211</f>
        <v>0</v>
      </c>
      <c r="Z352" s="106">
        <f>Z140/Z$211</f>
        <v>0</v>
      </c>
      <c r="AA352" s="107"/>
      <c r="AB352" s="106"/>
      <c r="AC352" s="107">
        <f>AC140/AC$211</f>
        <v>0</v>
      </c>
      <c r="AD352" s="106">
        <f>AD140/AD$211</f>
        <v>0</v>
      </c>
    </row>
    <row r="353" spans="1:30">
      <c r="A353" s="141" t="s">
        <v>311</v>
      </c>
      <c r="B353" s="146" t="e">
        <f>#REF!/B141-1</f>
        <v>#REF!</v>
      </c>
      <c r="C353" s="106">
        <f>C141/C$211</f>
        <v>0</v>
      </c>
      <c r="D353" s="106">
        <f>D141/D$211</f>
        <v>0</v>
      </c>
      <c r="E353" s="106">
        <f>E141/E$211</f>
        <v>0</v>
      </c>
      <c r="F353" s="106">
        <f>F141/F$211</f>
        <v>0</v>
      </c>
      <c r="G353" s="106">
        <f>G141/G$211</f>
        <v>0</v>
      </c>
      <c r="H353" s="106">
        <f>H141/H$211</f>
        <v>0</v>
      </c>
      <c r="I353" s="137">
        <f>I141/I$211</f>
        <v>0</v>
      </c>
      <c r="J353" s="137">
        <f>J141/J$211</f>
        <v>0</v>
      </c>
      <c r="K353" s="137">
        <f>K141/K$211</f>
        <v>0</v>
      </c>
      <c r="L353" s="137">
        <f>L141/L$211</f>
        <v>0</v>
      </c>
      <c r="M353" s="137">
        <f>M141/M$211</f>
        <v>0</v>
      </c>
      <c r="N353" s="137">
        <f>N141/N$211</f>
        <v>0</v>
      </c>
      <c r="O353" s="137">
        <f>O141/O$211</f>
        <v>0</v>
      </c>
      <c r="P353" s="137">
        <f>P141/P$211</f>
        <v>0</v>
      </c>
      <c r="Q353" s="137">
        <f>Q141/Q$211</f>
        <v>0</v>
      </c>
      <c r="R353" s="137">
        <f>R141/R$211</f>
        <v>0</v>
      </c>
      <c r="S353" s="137">
        <f>S141/S$211</f>
        <v>0</v>
      </c>
      <c r="T353" s="137">
        <f>T141/T$211</f>
        <v>0</v>
      </c>
      <c r="U353" s="137">
        <f>U141/U$211</f>
        <v>0</v>
      </c>
      <c r="V353" s="137">
        <f>V141/V$211</f>
        <v>0</v>
      </c>
      <c r="W353" s="107"/>
      <c r="X353" s="106">
        <f>X141/X$211</f>
        <v>0</v>
      </c>
      <c r="Y353" s="106">
        <f>Y141/Y$211</f>
        <v>0</v>
      </c>
      <c r="Z353" s="106">
        <f>Z141/Z$211</f>
        <v>0</v>
      </c>
      <c r="AA353" s="107"/>
      <c r="AB353" s="106"/>
      <c r="AC353" s="107">
        <f>AC141/AC$211</f>
        <v>0</v>
      </c>
      <c r="AD353" s="106">
        <f>AD141/AD$211</f>
        <v>0</v>
      </c>
    </row>
    <row r="354" spans="1:30">
      <c r="A354" s="141" t="s">
        <v>312</v>
      </c>
      <c r="B354" s="146" t="e">
        <f>#REF!/B142-1</f>
        <v>#REF!</v>
      </c>
      <c r="C354" s="106">
        <f>C142/C$211</f>
        <v>0</v>
      </c>
      <c r="D354" s="106">
        <f>D142/D$211</f>
        <v>0</v>
      </c>
      <c r="E354" s="106">
        <f>E142/E$211</f>
        <v>0</v>
      </c>
      <c r="F354" s="106">
        <f>F142/F$211</f>
        <v>0</v>
      </c>
      <c r="G354" s="106">
        <f>G142/G$211</f>
        <v>0</v>
      </c>
      <c r="H354" s="106">
        <f>H142/H$211</f>
        <v>0</v>
      </c>
      <c r="I354" s="137">
        <f>I142/I$211</f>
        <v>0</v>
      </c>
      <c r="J354" s="137">
        <f>J142/J$211</f>
        <v>0</v>
      </c>
      <c r="K354" s="137">
        <f>K142/K$211</f>
        <v>0</v>
      </c>
      <c r="L354" s="137">
        <f>L142/L$211</f>
        <v>0</v>
      </c>
      <c r="M354" s="137">
        <f>M142/M$211</f>
        <v>0</v>
      </c>
      <c r="N354" s="137">
        <f>N142/N$211</f>
        <v>0</v>
      </c>
      <c r="O354" s="137">
        <f>O142/O$211</f>
        <v>0</v>
      </c>
      <c r="P354" s="137">
        <f>P142/P$211</f>
        <v>0</v>
      </c>
      <c r="Q354" s="137">
        <f>Q142/Q$211</f>
        <v>0</v>
      </c>
      <c r="R354" s="137">
        <f>R142/R$211</f>
        <v>0</v>
      </c>
      <c r="S354" s="137">
        <f>S142/S$211</f>
        <v>0</v>
      </c>
      <c r="T354" s="137">
        <f>T142/T$211</f>
        <v>0</v>
      </c>
      <c r="U354" s="137">
        <f>U142/U$211</f>
        <v>0</v>
      </c>
      <c r="V354" s="137">
        <f>V142/V$211</f>
        <v>0</v>
      </c>
      <c r="W354" s="107"/>
      <c r="X354" s="106">
        <f>X142/X$211</f>
        <v>0</v>
      </c>
      <c r="Y354" s="106">
        <f>Y142/Y$211</f>
        <v>0</v>
      </c>
      <c r="Z354" s="106">
        <f>Z142/Z$211</f>
        <v>0</v>
      </c>
      <c r="AA354" s="107"/>
      <c r="AB354" s="106"/>
      <c r="AC354" s="107">
        <f>AC142/AC$211</f>
        <v>0</v>
      </c>
      <c r="AD354" s="106">
        <f>AD142/AD$211</f>
        <v>0</v>
      </c>
    </row>
    <row r="355" spans="1:30">
      <c r="A355" s="141" t="s">
        <v>313</v>
      </c>
      <c r="B355" s="146" t="e">
        <f>#REF!/B143-1</f>
        <v>#REF!</v>
      </c>
      <c r="C355" s="106">
        <f>C143/C$211</f>
        <v>0</v>
      </c>
      <c r="D355" s="106">
        <f>D143/D$211</f>
        <v>0</v>
      </c>
      <c r="E355" s="106">
        <f>E143/E$211</f>
        <v>0</v>
      </c>
      <c r="F355" s="106">
        <f>F143/F$211</f>
        <v>0</v>
      </c>
      <c r="G355" s="106">
        <f>G143/G$211</f>
        <v>0</v>
      </c>
      <c r="H355" s="106">
        <f>H143/H$211</f>
        <v>0</v>
      </c>
      <c r="I355" s="137">
        <f>I143/I$211</f>
        <v>0</v>
      </c>
      <c r="J355" s="137">
        <f>J143/J$211</f>
        <v>0</v>
      </c>
      <c r="K355" s="137">
        <f>K143/K$211</f>
        <v>0</v>
      </c>
      <c r="L355" s="137">
        <f>L143/L$211</f>
        <v>0</v>
      </c>
      <c r="M355" s="137">
        <f>M143/M$211</f>
        <v>0</v>
      </c>
      <c r="N355" s="137">
        <f>N143/N$211</f>
        <v>0</v>
      </c>
      <c r="O355" s="137">
        <f>O143/O$211</f>
        <v>0</v>
      </c>
      <c r="P355" s="137">
        <f>P143/P$211</f>
        <v>0</v>
      </c>
      <c r="Q355" s="137">
        <f>Q143/Q$211</f>
        <v>0</v>
      </c>
      <c r="R355" s="137">
        <f>R143/R$211</f>
        <v>0</v>
      </c>
      <c r="S355" s="137">
        <f>S143/S$211</f>
        <v>0</v>
      </c>
      <c r="T355" s="137">
        <f>T143/T$211</f>
        <v>0</v>
      </c>
      <c r="U355" s="137">
        <f>U143/U$211</f>
        <v>0</v>
      </c>
      <c r="V355" s="137">
        <f>V143/V$211</f>
        <v>0</v>
      </c>
      <c r="W355" s="107"/>
      <c r="X355" s="106">
        <f>X143/X$211</f>
        <v>0</v>
      </c>
      <c r="Y355" s="106">
        <f>Y143/Y$211</f>
        <v>0</v>
      </c>
      <c r="Z355" s="106">
        <f>Z143/Z$211</f>
        <v>0</v>
      </c>
      <c r="AA355" s="107"/>
      <c r="AB355" s="106"/>
      <c r="AC355" s="107">
        <f>AC143/AC$211</f>
        <v>0</v>
      </c>
      <c r="AD355" s="106">
        <f>AD143/AD$211</f>
        <v>0</v>
      </c>
    </row>
    <row r="356" spans="1:30">
      <c r="A356" s="141" t="s">
        <v>314</v>
      </c>
      <c r="B356" s="146" t="e">
        <f>#REF!/B144-1</f>
        <v>#REF!</v>
      </c>
      <c r="C356" s="106">
        <f>C144/C$211</f>
        <v>0</v>
      </c>
      <c r="D356" s="106">
        <f>D144/D$211</f>
        <v>0</v>
      </c>
      <c r="E356" s="106">
        <f>E144/E$211</f>
        <v>0</v>
      </c>
      <c r="F356" s="106">
        <f>F144/F$211</f>
        <v>0</v>
      </c>
      <c r="G356" s="106">
        <f>G144/G$211</f>
        <v>0</v>
      </c>
      <c r="H356" s="106">
        <f>H144/H$211</f>
        <v>0</v>
      </c>
      <c r="I356" s="137">
        <f>I144/I$211</f>
        <v>0</v>
      </c>
      <c r="J356" s="137">
        <f>J144/J$211</f>
        <v>0</v>
      </c>
      <c r="K356" s="137">
        <f>K144/K$211</f>
        <v>0</v>
      </c>
      <c r="L356" s="137">
        <f>L144/L$211</f>
        <v>0</v>
      </c>
      <c r="M356" s="137">
        <f>M144/M$211</f>
        <v>0</v>
      </c>
      <c r="N356" s="137">
        <f>N144/N$211</f>
        <v>0</v>
      </c>
      <c r="O356" s="137">
        <f>O144/O$211</f>
        <v>0</v>
      </c>
      <c r="P356" s="137">
        <f>P144/P$211</f>
        <v>0</v>
      </c>
      <c r="Q356" s="137">
        <f>Q144/Q$211</f>
        <v>0</v>
      </c>
      <c r="R356" s="137">
        <f>R144/R$211</f>
        <v>0</v>
      </c>
      <c r="S356" s="137">
        <f>S144/S$211</f>
        <v>0</v>
      </c>
      <c r="T356" s="137">
        <f>T144/T$211</f>
        <v>0</v>
      </c>
      <c r="U356" s="137">
        <f>U144/U$211</f>
        <v>0</v>
      </c>
      <c r="V356" s="137">
        <f>V144/V$211</f>
        <v>0</v>
      </c>
      <c r="W356" s="107"/>
      <c r="X356" s="106">
        <f>X144/X$211</f>
        <v>0</v>
      </c>
      <c r="Y356" s="106">
        <f>Y144/Y$211</f>
        <v>0</v>
      </c>
      <c r="Z356" s="106">
        <f>Z144/Z$211</f>
        <v>0</v>
      </c>
      <c r="AA356" s="107"/>
      <c r="AB356" s="106"/>
      <c r="AC356" s="107">
        <f>AC144/AC$211</f>
        <v>0</v>
      </c>
      <c r="AD356" s="106">
        <f>AD144/AD$211</f>
        <v>0</v>
      </c>
    </row>
    <row r="357" spans="1:30">
      <c r="A357" s="141" t="s">
        <v>315</v>
      </c>
      <c r="B357" s="146" t="e">
        <f>#REF!/B145-1</f>
        <v>#REF!</v>
      </c>
      <c r="C357" s="106">
        <f>C145/C$211</f>
        <v>0</v>
      </c>
      <c r="D357" s="106">
        <f>D145/D$211</f>
        <v>0</v>
      </c>
      <c r="E357" s="106">
        <f>E145/E$211</f>
        <v>0</v>
      </c>
      <c r="F357" s="106">
        <f>F145/F$211</f>
        <v>0</v>
      </c>
      <c r="G357" s="106">
        <f>G145/G$211</f>
        <v>0</v>
      </c>
      <c r="H357" s="106">
        <f>H145/H$211</f>
        <v>0</v>
      </c>
      <c r="I357" s="137">
        <f>I145/I$211</f>
        <v>0</v>
      </c>
      <c r="J357" s="137">
        <f>J145/J$211</f>
        <v>0</v>
      </c>
      <c r="K357" s="137">
        <f>K145/K$211</f>
        <v>0</v>
      </c>
      <c r="L357" s="137">
        <f>L145/L$211</f>
        <v>0</v>
      </c>
      <c r="M357" s="137">
        <f>M145/M$211</f>
        <v>0</v>
      </c>
      <c r="N357" s="137">
        <f>N145/N$211</f>
        <v>0</v>
      </c>
      <c r="O357" s="137">
        <f>O145/O$211</f>
        <v>0</v>
      </c>
      <c r="P357" s="137">
        <f>P145/P$211</f>
        <v>0</v>
      </c>
      <c r="Q357" s="137">
        <f>Q145/Q$211</f>
        <v>0</v>
      </c>
      <c r="R357" s="137">
        <f>R145/R$211</f>
        <v>0</v>
      </c>
      <c r="S357" s="137">
        <f>S145/S$211</f>
        <v>0</v>
      </c>
      <c r="T357" s="137">
        <f>T145/T$211</f>
        <v>0</v>
      </c>
      <c r="U357" s="137">
        <f>U145/U$211</f>
        <v>0</v>
      </c>
      <c r="V357" s="137">
        <f>V145/V$211</f>
        <v>0</v>
      </c>
      <c r="W357" s="107"/>
      <c r="X357" s="106">
        <f>X145/X$211</f>
        <v>0</v>
      </c>
      <c r="Y357" s="106">
        <f>Y145/Y$211</f>
        <v>0</v>
      </c>
      <c r="Z357" s="106">
        <f>Z145/Z$211</f>
        <v>0</v>
      </c>
      <c r="AA357" s="107"/>
      <c r="AB357" s="106"/>
      <c r="AC357" s="107">
        <f>AC145/AC$211</f>
        <v>0</v>
      </c>
      <c r="AD357" s="106">
        <f>AD145/AD$211</f>
        <v>0</v>
      </c>
    </row>
    <row r="358" spans="1:30">
      <c r="A358" s="141" t="s">
        <v>316</v>
      </c>
      <c r="B358" s="146" t="e">
        <f>#REF!/B146-1</f>
        <v>#REF!</v>
      </c>
      <c r="C358" s="106">
        <f>C146/C$211</f>
        <v>0.000510645873240497</v>
      </c>
      <c r="D358" s="106">
        <f>D146/D$211</f>
        <v>0.000377140662447583</v>
      </c>
      <c r="E358" s="106">
        <f>E146/E$211</f>
        <v>0.00282789212787958</v>
      </c>
      <c r="F358" s="106">
        <f>F146/F$211</f>
        <v>0.0016514925926555</v>
      </c>
      <c r="G358" s="106">
        <f>G146/G$211</f>
        <v>0.00189085739819576</v>
      </c>
      <c r="H358" s="106">
        <f>H146/H$211</f>
        <v>0.00142970936272181</v>
      </c>
      <c r="I358" s="137">
        <f>I146/I$211</f>
        <v>5.5729950002395e-6</v>
      </c>
      <c r="J358" s="137">
        <f>J146/J$211</f>
        <v>0</v>
      </c>
      <c r="K358" s="137">
        <f>K146/K$211</f>
        <v>0.000226027267376986</v>
      </c>
      <c r="L358" s="137">
        <f>L146/L$211</f>
        <v>0.000230758665683456</v>
      </c>
      <c r="M358" s="137">
        <f>M146/M$211</f>
        <v>0</v>
      </c>
      <c r="N358" s="137">
        <f>N146/N$211</f>
        <v>0</v>
      </c>
      <c r="O358" s="137">
        <f>O146/O$211</f>
        <v>0.000347968798532082</v>
      </c>
      <c r="P358" s="137">
        <f>P146/P$211</f>
        <v>0</v>
      </c>
      <c r="Q358" s="137">
        <f>Q146/Q$211</f>
        <v>0</v>
      </c>
      <c r="R358" s="137">
        <f>R146/R$211</f>
        <v>0</v>
      </c>
      <c r="S358" s="137">
        <f>S146/S$211</f>
        <v>0.00107350440590525</v>
      </c>
      <c r="T358" s="137">
        <f>T146/T$211</f>
        <v>0.000765148908458725</v>
      </c>
      <c r="U358" s="137">
        <f>U146/U$211</f>
        <v>7.69622862456421e-6</v>
      </c>
      <c r="V358" s="137">
        <f>V146/V$211</f>
        <v>2.70959642891272e-6</v>
      </c>
      <c r="W358" s="107"/>
      <c r="X358" s="106">
        <f>X146/X$211</f>
        <v>0</v>
      </c>
      <c r="Y358" s="106">
        <f>Y146/Y$211</f>
        <v>0</v>
      </c>
      <c r="Z358" s="106">
        <f>Z146/Z$211</f>
        <v>0.00199917259675778</v>
      </c>
      <c r="AA358" s="107"/>
      <c r="AB358" s="106"/>
      <c r="AC358" s="107">
        <f>AC146/AC$211</f>
        <v>5.91662347441571e-5</v>
      </c>
      <c r="AD358" s="106">
        <f>AD146/AD$211</f>
        <v>6.23270149031067e-5</v>
      </c>
    </row>
    <row r="359" spans="1:30">
      <c r="A359" s="141" t="s">
        <v>317</v>
      </c>
      <c r="B359" s="146" t="e">
        <f>#REF!/B147-1</f>
        <v>#REF!</v>
      </c>
      <c r="C359" s="106">
        <f>C147/C$211</f>
        <v>0</v>
      </c>
      <c r="D359" s="106">
        <f>D147/D$211</f>
        <v>0</v>
      </c>
      <c r="E359" s="106">
        <f>E147/E$211</f>
        <v>0</v>
      </c>
      <c r="F359" s="106">
        <f>F147/F$211</f>
        <v>0</v>
      </c>
      <c r="G359" s="106">
        <f>G147/G$211</f>
        <v>0</v>
      </c>
      <c r="H359" s="106">
        <f>H147/H$211</f>
        <v>0</v>
      </c>
      <c r="I359" s="137">
        <f>I147/I$211</f>
        <v>0</v>
      </c>
      <c r="J359" s="137">
        <f>J147/J$211</f>
        <v>0</v>
      </c>
      <c r="K359" s="137">
        <f>K147/K$211</f>
        <v>0</v>
      </c>
      <c r="L359" s="137">
        <f>L147/L$211</f>
        <v>0</v>
      </c>
      <c r="M359" s="137">
        <f>M147/M$211</f>
        <v>0</v>
      </c>
      <c r="N359" s="137">
        <f>N147/N$211</f>
        <v>0</v>
      </c>
      <c r="O359" s="137">
        <f>O147/O$211</f>
        <v>0</v>
      </c>
      <c r="P359" s="137">
        <f>P147/P$211</f>
        <v>0</v>
      </c>
      <c r="Q359" s="137">
        <f>Q147/Q$211</f>
        <v>0</v>
      </c>
      <c r="R359" s="137">
        <f>R147/R$211</f>
        <v>0</v>
      </c>
      <c r="S359" s="137">
        <f>S147/S$211</f>
        <v>0</v>
      </c>
      <c r="T359" s="137">
        <f>T147/T$211</f>
        <v>0</v>
      </c>
      <c r="U359" s="137">
        <f>U147/U$211</f>
        <v>0</v>
      </c>
      <c r="V359" s="137">
        <f>V147/V$211</f>
        <v>0</v>
      </c>
      <c r="W359" s="107"/>
      <c r="X359" s="106">
        <f>X147/X$211</f>
        <v>0</v>
      </c>
      <c r="Y359" s="106">
        <f>Y147/Y$211</f>
        <v>0</v>
      </c>
      <c r="Z359" s="106">
        <f>Z147/Z$211</f>
        <v>0</v>
      </c>
      <c r="AA359" s="107"/>
      <c r="AB359" s="106"/>
      <c r="AC359" s="107">
        <f>AC147/AC$211</f>
        <v>0</v>
      </c>
      <c r="AD359" s="106">
        <f>AD147/AD$211</f>
        <v>0</v>
      </c>
    </row>
    <row r="360" spans="1:30">
      <c r="A360" s="141" t="s">
        <v>318</v>
      </c>
      <c r="B360" s="146" t="e">
        <f>#REF!/B148-1</f>
        <v>#REF!</v>
      </c>
      <c r="C360" s="106">
        <f>C148/C$211</f>
        <v>6.71134616826555e-5</v>
      </c>
      <c r="D360" s="106">
        <f>D148/D$211</f>
        <v>0.000516075682936696</v>
      </c>
      <c r="E360" s="106">
        <f>E148/E$211</f>
        <v>0</v>
      </c>
      <c r="F360" s="106">
        <f>F148/F$211</f>
        <v>0</v>
      </c>
      <c r="G360" s="106">
        <f>G148/G$211</f>
        <v>5.84182071390965e-6</v>
      </c>
      <c r="H360" s="106">
        <f>H148/H$211</f>
        <v>0</v>
      </c>
      <c r="I360" s="137">
        <f>I148/I$211</f>
        <v>0</v>
      </c>
      <c r="J360" s="137">
        <f>J148/J$211</f>
        <v>0</v>
      </c>
      <c r="K360" s="137">
        <f>K148/K$211</f>
        <v>0</v>
      </c>
      <c r="L360" s="137">
        <f>L148/L$211</f>
        <v>0</v>
      </c>
      <c r="M360" s="137">
        <f>M148/M$211</f>
        <v>0</v>
      </c>
      <c r="N360" s="137">
        <f>N148/N$211</f>
        <v>0</v>
      </c>
      <c r="O360" s="137">
        <f>O148/O$211</f>
        <v>0</v>
      </c>
      <c r="P360" s="137">
        <f>P148/P$211</f>
        <v>0</v>
      </c>
      <c r="Q360" s="137">
        <f>Q148/Q$211</f>
        <v>0</v>
      </c>
      <c r="R360" s="137">
        <f>R148/R$211</f>
        <v>0</v>
      </c>
      <c r="S360" s="137">
        <f>S148/S$211</f>
        <v>0</v>
      </c>
      <c r="T360" s="137">
        <f>T148/T$211</f>
        <v>0</v>
      </c>
      <c r="U360" s="137">
        <f>U148/U$211</f>
        <v>0</v>
      </c>
      <c r="V360" s="137">
        <f>V148/V$211</f>
        <v>0</v>
      </c>
      <c r="W360" s="107"/>
      <c r="X360" s="106">
        <f>X148/X$211</f>
        <v>0</v>
      </c>
      <c r="Y360" s="106">
        <f>Y148/Y$211</f>
        <v>0</v>
      </c>
      <c r="Z360" s="106">
        <f>Z148/Z$211</f>
        <v>0</v>
      </c>
      <c r="AA360" s="107"/>
      <c r="AB360" s="106"/>
      <c r="AC360" s="107">
        <f>AC148/AC$211</f>
        <v>0.000252070247907933</v>
      </c>
      <c r="AD360" s="106">
        <f>AD148/AD$211</f>
        <v>0.00212255270474161</v>
      </c>
    </row>
    <row r="361" spans="1:30">
      <c r="A361" s="141">
        <v>1001</v>
      </c>
      <c r="B361" s="146" t="e">
        <f>#REF!/B149-1</f>
        <v>#REF!</v>
      </c>
      <c r="C361" s="106">
        <f>C149/C$211</f>
        <v>0.000489167294179645</v>
      </c>
      <c r="D361" s="106">
        <f>D149/D$211</f>
        <v>0.000267005802834374</v>
      </c>
      <c r="E361" s="106">
        <f>E149/E$211</f>
        <v>0</v>
      </c>
      <c r="F361" s="106">
        <f>F149/F$211</f>
        <v>0</v>
      </c>
      <c r="G361" s="106">
        <f>G149/G$211</f>
        <v>0</v>
      </c>
      <c r="H361" s="106">
        <f>H149/H$211</f>
        <v>0</v>
      </c>
      <c r="I361" s="137">
        <f>I149/I$211</f>
        <v>0.000384298799530229</v>
      </c>
      <c r="J361" s="137">
        <f>J149/J$211</f>
        <v>0</v>
      </c>
      <c r="K361" s="137">
        <f>K149/K$211</f>
        <v>0.000722583257801527</v>
      </c>
      <c r="L361" s="137">
        <f>L149/L$211</f>
        <v>0.000616689725406579</v>
      </c>
      <c r="M361" s="137">
        <f>M149/M$211</f>
        <v>0</v>
      </c>
      <c r="N361" s="137">
        <f>N149/N$211</f>
        <v>0</v>
      </c>
      <c r="O361" s="137">
        <f>O149/O$211</f>
        <v>5.9271759813459e-5</v>
      </c>
      <c r="P361" s="137">
        <f>P149/P$211</f>
        <v>9.64896433071952e-5</v>
      </c>
      <c r="Q361" s="137">
        <f>Q149/Q$211</f>
        <v>0.000291453119491257</v>
      </c>
      <c r="R361" s="137">
        <f>R149/R$211</f>
        <v>0.000278368123594658</v>
      </c>
      <c r="S361" s="137">
        <f>S149/S$211</f>
        <v>0.00161026096511738</v>
      </c>
      <c r="T361" s="137">
        <f>T149/T$211</f>
        <v>0.000780763816445698</v>
      </c>
      <c r="U361" s="137">
        <f>U149/U$211</f>
        <v>0.00133913539631999</v>
      </c>
      <c r="V361" s="137">
        <f>V149/V$211</f>
        <v>0.00096188481284848</v>
      </c>
      <c r="W361" s="107"/>
      <c r="X361" s="106">
        <f>X149/X$211</f>
        <v>0</v>
      </c>
      <c r="Y361" s="106">
        <f>Y149/Y$211</f>
        <v>0.00099922617276904</v>
      </c>
      <c r="Z361" s="106">
        <f>Z149/Z$211</f>
        <v>0.000721925400462807</v>
      </c>
      <c r="AA361" s="107"/>
      <c r="AB361" s="106"/>
      <c r="AC361" s="107">
        <f>AC149/AC$211</f>
        <v>0.000939003605688504</v>
      </c>
      <c r="AD361" s="106">
        <f>AD149/AD$211</f>
        <v>0.000378169524583142</v>
      </c>
    </row>
    <row r="362" spans="1:30">
      <c r="A362" s="141" t="s">
        <v>319</v>
      </c>
      <c r="B362" s="146" t="e">
        <f>#REF!/B150-1</f>
        <v>#REF!</v>
      </c>
      <c r="C362" s="106">
        <f>C150/C$211</f>
        <v>0</v>
      </c>
      <c r="D362" s="106">
        <f>D150/D$211</f>
        <v>0</v>
      </c>
      <c r="E362" s="106">
        <f>E150/E$211</f>
        <v>0</v>
      </c>
      <c r="F362" s="106">
        <f>F150/F$211</f>
        <v>0</v>
      </c>
      <c r="G362" s="106">
        <f>G150/G$211</f>
        <v>0</v>
      </c>
      <c r="H362" s="106">
        <f>H150/H$211</f>
        <v>0</v>
      </c>
      <c r="I362" s="137">
        <f>I150/I$211</f>
        <v>0</v>
      </c>
      <c r="J362" s="137">
        <f>J150/J$211</f>
        <v>0</v>
      </c>
      <c r="K362" s="137">
        <f>K150/K$211</f>
        <v>0</v>
      </c>
      <c r="L362" s="137">
        <f>L150/L$211</f>
        <v>0</v>
      </c>
      <c r="M362" s="137">
        <f>M150/M$211</f>
        <v>0</v>
      </c>
      <c r="N362" s="137">
        <f>N150/N$211</f>
        <v>0</v>
      </c>
      <c r="O362" s="137">
        <f>O150/O$211</f>
        <v>0</v>
      </c>
      <c r="P362" s="137">
        <f>P150/P$211</f>
        <v>0</v>
      </c>
      <c r="Q362" s="137">
        <f>Q150/Q$211</f>
        <v>0</v>
      </c>
      <c r="R362" s="137">
        <f>R150/R$211</f>
        <v>0</v>
      </c>
      <c r="S362" s="137">
        <f>S150/S$211</f>
        <v>0</v>
      </c>
      <c r="T362" s="137">
        <f>T150/T$211</f>
        <v>0</v>
      </c>
      <c r="U362" s="137">
        <f>U150/U$211</f>
        <v>0</v>
      </c>
      <c r="V362" s="137">
        <f>V150/V$211</f>
        <v>0</v>
      </c>
      <c r="W362" s="107"/>
      <c r="X362" s="106">
        <f>X150/X$211</f>
        <v>0</v>
      </c>
      <c r="Y362" s="106">
        <f>Y150/Y$211</f>
        <v>0</v>
      </c>
      <c r="Z362" s="106">
        <f>Z150/Z$211</f>
        <v>0</v>
      </c>
      <c r="AA362" s="107"/>
      <c r="AB362" s="106"/>
      <c r="AC362" s="107">
        <f>AC150/AC$211</f>
        <v>0</v>
      </c>
      <c r="AD362" s="106">
        <f>AD150/AD$211</f>
        <v>0</v>
      </c>
    </row>
    <row r="363" spans="1:30">
      <c r="A363" s="141" t="s">
        <v>320</v>
      </c>
      <c r="B363" s="146" t="e">
        <f>#REF!/B151-1</f>
        <v>#REF!</v>
      </c>
      <c r="C363" s="106">
        <f>C151/C$211</f>
        <v>0</v>
      </c>
      <c r="D363" s="106">
        <f>D151/D$211</f>
        <v>0</v>
      </c>
      <c r="E363" s="106">
        <f>E151/E$211</f>
        <v>0</v>
      </c>
      <c r="F363" s="106">
        <f>F151/F$211</f>
        <v>0</v>
      </c>
      <c r="G363" s="106">
        <f>G151/G$211</f>
        <v>0</v>
      </c>
      <c r="H363" s="106">
        <f>H151/H$211</f>
        <v>0</v>
      </c>
      <c r="I363" s="137">
        <f>I151/I$211</f>
        <v>0</v>
      </c>
      <c r="J363" s="137">
        <f>J151/J$211</f>
        <v>0</v>
      </c>
      <c r="K363" s="137">
        <f>K151/K$211</f>
        <v>0</v>
      </c>
      <c r="L363" s="137">
        <f>L151/L$211</f>
        <v>0</v>
      </c>
      <c r="M363" s="137">
        <f>M151/M$211</f>
        <v>0</v>
      </c>
      <c r="N363" s="137">
        <f>N151/N$211</f>
        <v>0</v>
      </c>
      <c r="O363" s="137">
        <f>O151/O$211</f>
        <v>0</v>
      </c>
      <c r="P363" s="137">
        <f>P151/P$211</f>
        <v>0</v>
      </c>
      <c r="Q363" s="137">
        <f>Q151/Q$211</f>
        <v>0</v>
      </c>
      <c r="R363" s="137">
        <f>R151/R$211</f>
        <v>0</v>
      </c>
      <c r="S363" s="137">
        <f>S151/S$211</f>
        <v>0</v>
      </c>
      <c r="T363" s="137">
        <f>T151/T$211</f>
        <v>0</v>
      </c>
      <c r="U363" s="137">
        <f>U151/U$211</f>
        <v>0</v>
      </c>
      <c r="V363" s="137">
        <f>V151/V$211</f>
        <v>0</v>
      </c>
      <c r="W363" s="107"/>
      <c r="X363" s="106">
        <f>X151/X$211</f>
        <v>0</v>
      </c>
      <c r="Y363" s="106">
        <f>Y151/Y$211</f>
        <v>0</v>
      </c>
      <c r="Z363" s="106">
        <f>Z151/Z$211</f>
        <v>0</v>
      </c>
      <c r="AA363" s="107"/>
      <c r="AB363" s="106"/>
      <c r="AC363" s="107">
        <f>AC151/AC$211</f>
        <v>0</v>
      </c>
      <c r="AD363" s="106">
        <f>AD151/AD$211</f>
        <v>0</v>
      </c>
    </row>
    <row r="364" spans="1:30">
      <c r="A364" s="141" t="s">
        <v>321</v>
      </c>
      <c r="B364" s="146" t="e">
        <f>#REF!/B152-1</f>
        <v>#REF!</v>
      </c>
      <c r="C364" s="106">
        <f>C152/C$211</f>
        <v>0.000953844137061436</v>
      </c>
      <c r="D364" s="106">
        <f>D152/D$211</f>
        <v>0.00103665801423757</v>
      </c>
      <c r="E364" s="106">
        <f>E152/E$211</f>
        <v>0</v>
      </c>
      <c r="F364" s="106">
        <f>F152/F$211</f>
        <v>0</v>
      </c>
      <c r="G364" s="106">
        <f>G152/G$211</f>
        <v>0.00475295604540092</v>
      </c>
      <c r="H364" s="106">
        <f>H152/H$211</f>
        <v>0.00596187969649907</v>
      </c>
      <c r="I364" s="137">
        <f>I152/I$211</f>
        <v>0.00127924446747044</v>
      </c>
      <c r="J364" s="137">
        <f>J152/J$211</f>
        <v>0.00110640424825269</v>
      </c>
      <c r="K364" s="137">
        <f>K152/K$211</f>
        <v>0.00112548400366975</v>
      </c>
      <c r="L364" s="137">
        <f>L152/L$211</f>
        <v>0.000769284630780337</v>
      </c>
      <c r="M364" s="137">
        <f>M152/M$211</f>
        <v>0</v>
      </c>
      <c r="N364" s="137">
        <f>N152/N$211</f>
        <v>0</v>
      </c>
      <c r="O364" s="137">
        <f>O152/O$211</f>
        <v>0.000381027305536224</v>
      </c>
      <c r="P364" s="137">
        <f>P152/P$211</f>
        <v>0.00091710496517109</v>
      </c>
      <c r="Q364" s="137">
        <f>Q152/Q$211</f>
        <v>0.00112505260140967</v>
      </c>
      <c r="R364" s="137">
        <f>R152/R$211</f>
        <v>0.000649240655534025</v>
      </c>
      <c r="S364" s="137">
        <f>S152/S$211</f>
        <v>0</v>
      </c>
      <c r="T364" s="137">
        <f>T152/T$211</f>
        <v>0.00879897511108587</v>
      </c>
      <c r="U364" s="137">
        <f>U152/U$211</f>
        <v>0.00381642872477293</v>
      </c>
      <c r="V364" s="137">
        <f>V152/V$211</f>
        <v>0.00299994858111081</v>
      </c>
      <c r="W364" s="107"/>
      <c r="X364" s="106">
        <f>X152/X$211</f>
        <v>0</v>
      </c>
      <c r="Y364" s="106">
        <f>Y152/Y$211</f>
        <v>0.00191852552111489</v>
      </c>
      <c r="Z364" s="106">
        <f>Z152/Z$211</f>
        <v>0.00115004776099078</v>
      </c>
      <c r="AA364" s="107"/>
      <c r="AB364" s="106"/>
      <c r="AC364" s="107">
        <f>AC152/AC$211</f>
        <v>0.000259005242089946</v>
      </c>
      <c r="AD364" s="106">
        <f>AD152/AD$211</f>
        <v>0.000347608738962816</v>
      </c>
    </row>
    <row r="365" spans="1:30">
      <c r="A365" s="141" t="s">
        <v>322</v>
      </c>
      <c r="B365" s="146" t="e">
        <f>#REF!/B153-1</f>
        <v>#REF!</v>
      </c>
      <c r="C365" s="106">
        <f>C153/C$211</f>
        <v>0</v>
      </c>
      <c r="D365" s="106">
        <f>D153/D$211</f>
        <v>0</v>
      </c>
      <c r="E365" s="106">
        <f>E153/E$211</f>
        <v>0</v>
      </c>
      <c r="F365" s="106">
        <f>F153/F$211</f>
        <v>0</v>
      </c>
      <c r="G365" s="106">
        <f>G153/G$211</f>
        <v>0</v>
      </c>
      <c r="H365" s="106">
        <f>H153/H$211</f>
        <v>0</v>
      </c>
      <c r="I365" s="137">
        <f>I153/I$211</f>
        <v>0</v>
      </c>
      <c r="J365" s="137">
        <f>J153/J$211</f>
        <v>0</v>
      </c>
      <c r="K365" s="137">
        <f>K153/K$211</f>
        <v>0</v>
      </c>
      <c r="L365" s="137">
        <f>L153/L$211</f>
        <v>0</v>
      </c>
      <c r="M365" s="137">
        <f>M153/M$211</f>
        <v>0</v>
      </c>
      <c r="N365" s="137">
        <f>N153/N$211</f>
        <v>0</v>
      </c>
      <c r="O365" s="137">
        <f>O153/O$211</f>
        <v>0</v>
      </c>
      <c r="P365" s="137">
        <f>P153/P$211</f>
        <v>0</v>
      </c>
      <c r="Q365" s="137">
        <f>Q153/Q$211</f>
        <v>0</v>
      </c>
      <c r="R365" s="137">
        <f>R153/R$211</f>
        <v>0</v>
      </c>
      <c r="S365" s="137">
        <f>S153/S$211</f>
        <v>0</v>
      </c>
      <c r="T365" s="137">
        <f>T153/T$211</f>
        <v>0</v>
      </c>
      <c r="U365" s="137">
        <f>U153/U$211</f>
        <v>0</v>
      </c>
      <c r="V365" s="137">
        <f>V153/V$211</f>
        <v>0</v>
      </c>
      <c r="W365" s="107"/>
      <c r="X365" s="106">
        <f>X153/X$211</f>
        <v>0</v>
      </c>
      <c r="Y365" s="106">
        <f>Y153/Y$211</f>
        <v>0</v>
      </c>
      <c r="Z365" s="106">
        <f>Z153/Z$211</f>
        <v>0</v>
      </c>
      <c r="AA365" s="107"/>
      <c r="AB365" s="106"/>
      <c r="AC365" s="107">
        <f>AC153/AC$211</f>
        <v>0</v>
      </c>
      <c r="AD365" s="106">
        <f>AD153/AD$211</f>
        <v>0</v>
      </c>
    </row>
    <row r="366" spans="1:30">
      <c r="A366" s="141" t="s">
        <v>323</v>
      </c>
      <c r="B366" s="146" t="e">
        <f>#REF!/B154-1</f>
        <v>#REF!</v>
      </c>
      <c r="C366" s="106">
        <f>C154/C$211</f>
        <v>0</v>
      </c>
      <c r="D366" s="106">
        <f>D154/D$211</f>
        <v>0</v>
      </c>
      <c r="E366" s="106">
        <f>E154/E$211</f>
        <v>0</v>
      </c>
      <c r="F366" s="106">
        <f>F154/F$211</f>
        <v>0</v>
      </c>
      <c r="G366" s="106">
        <f>G154/G$211</f>
        <v>0</v>
      </c>
      <c r="H366" s="106">
        <f>H154/H$211</f>
        <v>0</v>
      </c>
      <c r="I366" s="137">
        <f>I154/I$211</f>
        <v>0</v>
      </c>
      <c r="J366" s="137">
        <f>J154/J$211</f>
        <v>0</v>
      </c>
      <c r="K366" s="137">
        <f>K154/K$211</f>
        <v>0</v>
      </c>
      <c r="L366" s="137">
        <f>L154/L$211</f>
        <v>0</v>
      </c>
      <c r="M366" s="137">
        <f>M154/M$211</f>
        <v>0</v>
      </c>
      <c r="N366" s="137">
        <f>N154/N$211</f>
        <v>0</v>
      </c>
      <c r="O366" s="137">
        <f>O154/O$211</f>
        <v>0</v>
      </c>
      <c r="P366" s="137">
        <f>P154/P$211</f>
        <v>0</v>
      </c>
      <c r="Q366" s="137">
        <f>Q154/Q$211</f>
        <v>0</v>
      </c>
      <c r="R366" s="137">
        <f>R154/R$211</f>
        <v>0</v>
      </c>
      <c r="S366" s="137">
        <f>S154/S$211</f>
        <v>0</v>
      </c>
      <c r="T366" s="137">
        <f>T154/T$211</f>
        <v>0</v>
      </c>
      <c r="U366" s="137">
        <f>U154/U$211</f>
        <v>0</v>
      </c>
      <c r="V366" s="137">
        <f>V154/V$211</f>
        <v>0</v>
      </c>
      <c r="W366" s="107"/>
      <c r="X366" s="106">
        <f>X154/X$211</f>
        <v>0</v>
      </c>
      <c r="Y366" s="106">
        <f>Y154/Y$211</f>
        <v>0</v>
      </c>
      <c r="Z366" s="106">
        <f>Z154/Z$211</f>
        <v>0</v>
      </c>
      <c r="AA366" s="107"/>
      <c r="AB366" s="106"/>
      <c r="AC366" s="107">
        <f>AC154/AC$211</f>
        <v>0</v>
      </c>
      <c r="AD366" s="106">
        <f>AD154/AD$211</f>
        <v>0</v>
      </c>
    </row>
    <row r="367" spans="1:30">
      <c r="A367" s="141" t="s">
        <v>324</v>
      </c>
      <c r="B367" s="146" t="e">
        <f>#REF!/B155-1</f>
        <v>#REF!</v>
      </c>
      <c r="C367" s="106">
        <f>C155/C$211</f>
        <v>0</v>
      </c>
      <c r="D367" s="106">
        <f>D155/D$211</f>
        <v>0.000615988662785015</v>
      </c>
      <c r="E367" s="106">
        <f>E155/E$211</f>
        <v>0</v>
      </c>
      <c r="F367" s="106">
        <f>F155/F$211</f>
        <v>0.000124036392578795</v>
      </c>
      <c r="G367" s="106">
        <f>G155/G$211</f>
        <v>0</v>
      </c>
      <c r="H367" s="106">
        <f>H155/H$211</f>
        <v>0.000168732077604081</v>
      </c>
      <c r="I367" s="137">
        <f>I155/I$211</f>
        <v>0</v>
      </c>
      <c r="J367" s="137">
        <f>J155/J$211</f>
        <v>0</v>
      </c>
      <c r="K367" s="137">
        <f>K155/K$211</f>
        <v>0</v>
      </c>
      <c r="L367" s="137">
        <f>L155/L$211</f>
        <v>0.00124726738369619</v>
      </c>
      <c r="M367" s="137">
        <f>M155/M$211</f>
        <v>0</v>
      </c>
      <c r="N367" s="137">
        <f>N155/N$211</f>
        <v>0.000663032803717998</v>
      </c>
      <c r="O367" s="137">
        <f>O155/O$211</f>
        <v>0</v>
      </c>
      <c r="P367" s="137">
        <f>P155/P$211</f>
        <v>0.000110345074868964</v>
      </c>
      <c r="Q367" s="137">
        <f>Q155/Q$211</f>
        <v>0</v>
      </c>
      <c r="R367" s="137">
        <f>R155/R$211</f>
        <v>0.000808755958738869</v>
      </c>
      <c r="S367" s="137">
        <f>S155/S$211</f>
        <v>0</v>
      </c>
      <c r="T367" s="137">
        <f>T155/T$211</f>
        <v>0.000593373720219178</v>
      </c>
      <c r="U367" s="137">
        <f>U155/U$211</f>
        <v>0</v>
      </c>
      <c r="V367" s="137">
        <f>V155/V$211</f>
        <v>0</v>
      </c>
      <c r="W367" s="107"/>
      <c r="X367" s="106">
        <f>X155/X$211</f>
        <v>0</v>
      </c>
      <c r="Y367" s="106">
        <f>Y155/Y$211</f>
        <v>0</v>
      </c>
      <c r="Z367" s="106">
        <f>Z155/Z$211</f>
        <v>0.00120031521844199</v>
      </c>
      <c r="AA367" s="107"/>
      <c r="AB367" s="106"/>
      <c r="AC367" s="107">
        <f>AC155/AC$211</f>
        <v>0</v>
      </c>
      <c r="AD367" s="106">
        <f>AD155/AD$211</f>
        <v>0.000961717263397515</v>
      </c>
    </row>
    <row r="368" spans="1:30">
      <c r="A368" s="141" t="s">
        <v>325</v>
      </c>
      <c r="B368" s="146" t="e">
        <f>#REF!/B156-1</f>
        <v>#REF!</v>
      </c>
      <c r="C368" s="106">
        <f>C156/C$211</f>
        <v>0</v>
      </c>
      <c r="D368" s="106">
        <f>D156/D$211</f>
        <v>0</v>
      </c>
      <c r="E368" s="106">
        <f>E156/E$211</f>
        <v>0</v>
      </c>
      <c r="F368" s="106">
        <f>F156/F$211</f>
        <v>0</v>
      </c>
      <c r="G368" s="106">
        <f>G156/G$211</f>
        <v>0</v>
      </c>
      <c r="H368" s="106">
        <f>H156/H$211</f>
        <v>0</v>
      </c>
      <c r="I368" s="137">
        <f>I156/I$211</f>
        <v>0</v>
      </c>
      <c r="J368" s="137">
        <f>J156/J$211</f>
        <v>0</v>
      </c>
      <c r="K368" s="137">
        <f>K156/K$211</f>
        <v>0</v>
      </c>
      <c r="L368" s="137">
        <f>L156/L$211</f>
        <v>0</v>
      </c>
      <c r="M368" s="137">
        <f>M156/M$211</f>
        <v>0</v>
      </c>
      <c r="N368" s="137">
        <f>N156/N$211</f>
        <v>0</v>
      </c>
      <c r="O368" s="137">
        <f>O156/O$211</f>
        <v>0</v>
      </c>
      <c r="P368" s="137">
        <f>P156/P$211</f>
        <v>0</v>
      </c>
      <c r="Q368" s="137">
        <f>Q156/Q$211</f>
        <v>0</v>
      </c>
      <c r="R368" s="137">
        <f>R156/R$211</f>
        <v>0</v>
      </c>
      <c r="S368" s="137">
        <f>S156/S$211</f>
        <v>0</v>
      </c>
      <c r="T368" s="137">
        <f>T156/T$211</f>
        <v>0</v>
      </c>
      <c r="U368" s="137">
        <f>U156/U$211</f>
        <v>0</v>
      </c>
      <c r="V368" s="137">
        <f>V156/V$211</f>
        <v>0</v>
      </c>
      <c r="W368" s="107"/>
      <c r="X368" s="106">
        <f>X156/X$211</f>
        <v>0</v>
      </c>
      <c r="Y368" s="106">
        <f>Y156/Y$211</f>
        <v>0</v>
      </c>
      <c r="Z368" s="106">
        <f>Z156/Z$211</f>
        <v>0</v>
      </c>
      <c r="AA368" s="107"/>
      <c r="AB368" s="106"/>
      <c r="AC368" s="107">
        <f>AC156/AC$211</f>
        <v>0</v>
      </c>
      <c r="AD368" s="106">
        <f>AD156/AD$211</f>
        <v>0</v>
      </c>
    </row>
    <row r="369" spans="1:30">
      <c r="A369" s="141" t="s">
        <v>326</v>
      </c>
      <c r="B369" s="146" t="e">
        <f>#REF!/B157-1</f>
        <v>#REF!</v>
      </c>
      <c r="C369" s="106">
        <f>C157/C$211</f>
        <v>0</v>
      </c>
      <c r="D369" s="106">
        <f>D157/D$211</f>
        <v>0</v>
      </c>
      <c r="E369" s="106">
        <f>E157/E$211</f>
        <v>0</v>
      </c>
      <c r="F369" s="106">
        <f>F157/F$211</f>
        <v>0</v>
      </c>
      <c r="G369" s="106">
        <f>G157/G$211</f>
        <v>0</v>
      </c>
      <c r="H369" s="106">
        <f>H157/H$211</f>
        <v>0</v>
      </c>
      <c r="I369" s="137">
        <f>I157/I$211</f>
        <v>0</v>
      </c>
      <c r="J369" s="137">
        <f>J157/J$211</f>
        <v>0</v>
      </c>
      <c r="K369" s="137">
        <f>K157/K$211</f>
        <v>0</v>
      </c>
      <c r="L369" s="137">
        <f>L157/L$211</f>
        <v>0</v>
      </c>
      <c r="M369" s="137">
        <f>M157/M$211</f>
        <v>0</v>
      </c>
      <c r="N369" s="137">
        <f>N157/N$211</f>
        <v>0</v>
      </c>
      <c r="O369" s="137">
        <f>O157/O$211</f>
        <v>0</v>
      </c>
      <c r="P369" s="137">
        <f>P157/P$211</f>
        <v>0</v>
      </c>
      <c r="Q369" s="137">
        <f>Q157/Q$211</f>
        <v>0</v>
      </c>
      <c r="R369" s="137">
        <f>R157/R$211</f>
        <v>0</v>
      </c>
      <c r="S369" s="137">
        <f>S157/S$211</f>
        <v>0</v>
      </c>
      <c r="T369" s="137">
        <f>T157/T$211</f>
        <v>0</v>
      </c>
      <c r="U369" s="137">
        <f>U157/U$211</f>
        <v>0</v>
      </c>
      <c r="V369" s="137">
        <f>V157/V$211</f>
        <v>0</v>
      </c>
      <c r="W369" s="107"/>
      <c r="X369" s="106">
        <f>X157/X$211</f>
        <v>0</v>
      </c>
      <c r="Y369" s="106">
        <f>Y157/Y$211</f>
        <v>0</v>
      </c>
      <c r="Z369" s="106">
        <f>Z157/Z$211</f>
        <v>0</v>
      </c>
      <c r="AA369" s="107"/>
      <c r="AB369" s="106"/>
      <c r="AC369" s="107">
        <f>AC157/AC$211</f>
        <v>0</v>
      </c>
      <c r="AD369" s="106">
        <f>AD157/AD$211</f>
        <v>0</v>
      </c>
    </row>
    <row r="370" spans="1:30">
      <c r="A370" s="141" t="s">
        <v>327</v>
      </c>
      <c r="B370" s="146" t="e">
        <f>#REF!/B158-1</f>
        <v>#REF!</v>
      </c>
      <c r="C370" s="106">
        <f>C158/C$211</f>
        <v>0</v>
      </c>
      <c r="D370" s="106">
        <f>D158/D$211</f>
        <v>0</v>
      </c>
      <c r="E370" s="106">
        <f>E158/E$211</f>
        <v>0</v>
      </c>
      <c r="F370" s="106">
        <f>F158/F$211</f>
        <v>0</v>
      </c>
      <c r="G370" s="106">
        <f>G158/G$211</f>
        <v>0</v>
      </c>
      <c r="H370" s="106">
        <f>H158/H$211</f>
        <v>0</v>
      </c>
      <c r="I370" s="137">
        <f>I158/I$211</f>
        <v>0</v>
      </c>
      <c r="J370" s="137">
        <f>J158/J$211</f>
        <v>0</v>
      </c>
      <c r="K370" s="137">
        <f>K158/K$211</f>
        <v>0</v>
      </c>
      <c r="L370" s="137">
        <f>L158/L$211</f>
        <v>0</v>
      </c>
      <c r="M370" s="137">
        <f>M158/M$211</f>
        <v>0</v>
      </c>
      <c r="N370" s="137">
        <f>N158/N$211</f>
        <v>0</v>
      </c>
      <c r="O370" s="137">
        <f>O158/O$211</f>
        <v>0</v>
      </c>
      <c r="P370" s="137">
        <f>P158/P$211</f>
        <v>0</v>
      </c>
      <c r="Q370" s="137">
        <f>Q158/Q$211</f>
        <v>0</v>
      </c>
      <c r="R370" s="137">
        <f>R158/R$211</f>
        <v>0</v>
      </c>
      <c r="S370" s="137">
        <f>S158/S$211</f>
        <v>0</v>
      </c>
      <c r="T370" s="137">
        <f>T158/T$211</f>
        <v>0</v>
      </c>
      <c r="U370" s="137">
        <f>U158/U$211</f>
        <v>0</v>
      </c>
      <c r="V370" s="137">
        <f>V158/V$211</f>
        <v>0</v>
      </c>
      <c r="W370" s="107"/>
      <c r="X370" s="106">
        <f>X158/X$211</f>
        <v>0</v>
      </c>
      <c r="Y370" s="106">
        <f>Y158/Y$211</f>
        <v>0</v>
      </c>
      <c r="Z370" s="106">
        <f>Z158/Z$211</f>
        <v>0</v>
      </c>
      <c r="AA370" s="107"/>
      <c r="AB370" s="106"/>
      <c r="AC370" s="107">
        <f>AC158/AC$211</f>
        <v>0</v>
      </c>
      <c r="AD370" s="106">
        <f>AD158/AD$211</f>
        <v>0</v>
      </c>
    </row>
    <row r="371" spans="1:30">
      <c r="A371" s="141" t="s">
        <v>328</v>
      </c>
      <c r="B371" s="146" t="e">
        <f>#REF!/B159-1</f>
        <v>#REF!</v>
      </c>
      <c r="C371" s="106">
        <f>C159/C$211</f>
        <v>0</v>
      </c>
      <c r="D371" s="106">
        <f>D159/D$211</f>
        <v>0</v>
      </c>
      <c r="E371" s="106">
        <f>E159/E$211</f>
        <v>0</v>
      </c>
      <c r="F371" s="106">
        <f>F159/F$211</f>
        <v>0</v>
      </c>
      <c r="G371" s="106">
        <f>G159/G$211</f>
        <v>0</v>
      </c>
      <c r="H371" s="106">
        <f>H159/H$211</f>
        <v>0</v>
      </c>
      <c r="I371" s="137">
        <f>I159/I$211</f>
        <v>0</v>
      </c>
      <c r="J371" s="137">
        <f>J159/J$211</f>
        <v>0</v>
      </c>
      <c r="K371" s="137">
        <f>K159/K$211</f>
        <v>0</v>
      </c>
      <c r="L371" s="137">
        <f>L159/L$211</f>
        <v>0</v>
      </c>
      <c r="M371" s="137">
        <f>M159/M$211</f>
        <v>0</v>
      </c>
      <c r="N371" s="137">
        <f>N159/N$211</f>
        <v>0</v>
      </c>
      <c r="O371" s="137">
        <f>O159/O$211</f>
        <v>0</v>
      </c>
      <c r="P371" s="137">
        <f>P159/P$211</f>
        <v>0</v>
      </c>
      <c r="Q371" s="137">
        <f>Q159/Q$211</f>
        <v>0</v>
      </c>
      <c r="R371" s="137">
        <f>R159/R$211</f>
        <v>0</v>
      </c>
      <c r="S371" s="137">
        <f>S159/S$211</f>
        <v>0</v>
      </c>
      <c r="T371" s="137">
        <f>T159/T$211</f>
        <v>0</v>
      </c>
      <c r="U371" s="137">
        <f>U159/U$211</f>
        <v>0</v>
      </c>
      <c r="V371" s="137">
        <f>V159/V$211</f>
        <v>0</v>
      </c>
      <c r="W371" s="107"/>
      <c r="X371" s="106">
        <f>X159/X$211</f>
        <v>0</v>
      </c>
      <c r="Y371" s="106">
        <f>Y159/Y$211</f>
        <v>0</v>
      </c>
      <c r="Z371" s="106">
        <f>Z159/Z$211</f>
        <v>0</v>
      </c>
      <c r="AA371" s="107"/>
      <c r="AB371" s="106"/>
      <c r="AC371" s="107">
        <f>AC159/AC$211</f>
        <v>0</v>
      </c>
      <c r="AD371" s="106">
        <f>AD159/AD$211</f>
        <v>0</v>
      </c>
    </row>
    <row r="372" spans="1:30">
      <c r="A372" s="141" t="s">
        <v>329</v>
      </c>
      <c r="B372" s="146" t="e">
        <f>#REF!/B160-1</f>
        <v>#REF!</v>
      </c>
      <c r="C372" s="106">
        <f>C160/C$211</f>
        <v>0</v>
      </c>
      <c r="D372" s="106">
        <f>D160/D$211</f>
        <v>0</v>
      </c>
      <c r="E372" s="106">
        <f>E160/E$211</f>
        <v>0</v>
      </c>
      <c r="F372" s="106">
        <f>F160/F$211</f>
        <v>0</v>
      </c>
      <c r="G372" s="106">
        <f>G160/G$211</f>
        <v>0</v>
      </c>
      <c r="H372" s="106">
        <f>H160/H$211</f>
        <v>0</v>
      </c>
      <c r="I372" s="137">
        <f>I160/I$211</f>
        <v>0</v>
      </c>
      <c r="J372" s="137">
        <f>J160/J$211</f>
        <v>0</v>
      </c>
      <c r="K372" s="137">
        <f>K160/K$211</f>
        <v>0</v>
      </c>
      <c r="L372" s="137">
        <f>L160/L$211</f>
        <v>0</v>
      </c>
      <c r="M372" s="137">
        <f>M160/M$211</f>
        <v>0</v>
      </c>
      <c r="N372" s="137">
        <f>N160/N$211</f>
        <v>0</v>
      </c>
      <c r="O372" s="137">
        <f>O160/O$211</f>
        <v>0</v>
      </c>
      <c r="P372" s="137">
        <f>P160/P$211</f>
        <v>0</v>
      </c>
      <c r="Q372" s="137">
        <f>Q160/Q$211</f>
        <v>0</v>
      </c>
      <c r="R372" s="137">
        <f>R160/R$211</f>
        <v>0</v>
      </c>
      <c r="S372" s="137">
        <f>S160/S$211</f>
        <v>0</v>
      </c>
      <c r="T372" s="137">
        <f>T160/T$211</f>
        <v>0</v>
      </c>
      <c r="U372" s="137">
        <f>U160/U$211</f>
        <v>0</v>
      </c>
      <c r="V372" s="137">
        <f>V160/V$211</f>
        <v>0</v>
      </c>
      <c r="W372" s="107"/>
      <c r="X372" s="106">
        <f>X160/X$211</f>
        <v>0</v>
      </c>
      <c r="Y372" s="106">
        <f>Y160/Y$211</f>
        <v>0</v>
      </c>
      <c r="Z372" s="106">
        <f>Z160/Z$211</f>
        <v>0</v>
      </c>
      <c r="AA372" s="107"/>
      <c r="AB372" s="106"/>
      <c r="AC372" s="107">
        <f>AC160/AC$211</f>
        <v>0</v>
      </c>
      <c r="AD372" s="106">
        <f>AD160/AD$211</f>
        <v>0</v>
      </c>
    </row>
    <row r="373" spans="1:30">
      <c r="A373" s="141" t="s">
        <v>330</v>
      </c>
      <c r="B373" s="146" t="e">
        <f>#REF!/B161-1</f>
        <v>#REF!</v>
      </c>
      <c r="C373" s="106">
        <f>C161/C$211</f>
        <v>0</v>
      </c>
      <c r="D373" s="106">
        <f>D161/D$211</f>
        <v>0</v>
      </c>
      <c r="E373" s="106">
        <f>E161/E$211</f>
        <v>0</v>
      </c>
      <c r="F373" s="106">
        <f>F161/F$211</f>
        <v>0</v>
      </c>
      <c r="G373" s="106">
        <f>G161/G$211</f>
        <v>0</v>
      </c>
      <c r="H373" s="106">
        <f>H161/H$211</f>
        <v>0</v>
      </c>
      <c r="I373" s="137">
        <f>I161/I$211</f>
        <v>0</v>
      </c>
      <c r="J373" s="137">
        <f>J161/J$211</f>
        <v>0</v>
      </c>
      <c r="K373" s="137">
        <f>K161/K$211</f>
        <v>0</v>
      </c>
      <c r="L373" s="137">
        <f>L161/L$211</f>
        <v>0</v>
      </c>
      <c r="M373" s="137">
        <f>M161/M$211</f>
        <v>0</v>
      </c>
      <c r="N373" s="137">
        <f>N161/N$211</f>
        <v>0</v>
      </c>
      <c r="O373" s="137">
        <f>O161/O$211</f>
        <v>0</v>
      </c>
      <c r="P373" s="137">
        <f>P161/P$211</f>
        <v>0</v>
      </c>
      <c r="Q373" s="137">
        <f>Q161/Q$211</f>
        <v>0</v>
      </c>
      <c r="R373" s="137">
        <f>R161/R$211</f>
        <v>0</v>
      </c>
      <c r="S373" s="137">
        <f>S161/S$211</f>
        <v>0</v>
      </c>
      <c r="T373" s="137">
        <f>T161/T$211</f>
        <v>0</v>
      </c>
      <c r="U373" s="137">
        <f>U161/U$211</f>
        <v>0</v>
      </c>
      <c r="V373" s="137">
        <f>V161/V$211</f>
        <v>0</v>
      </c>
      <c r="W373" s="107"/>
      <c r="X373" s="106">
        <f>X161/X$211</f>
        <v>0</v>
      </c>
      <c r="Y373" s="106">
        <f>Y161/Y$211</f>
        <v>0</v>
      </c>
      <c r="Z373" s="106">
        <f>Z161/Z$211</f>
        <v>0</v>
      </c>
      <c r="AA373" s="107"/>
      <c r="AB373" s="106"/>
      <c r="AC373" s="107">
        <f>AC161/AC$211</f>
        <v>0</v>
      </c>
      <c r="AD373" s="106">
        <f>AD161/AD$211</f>
        <v>0</v>
      </c>
    </row>
    <row r="374" spans="1:30">
      <c r="A374" s="141" t="s">
        <v>331</v>
      </c>
      <c r="B374" s="146" t="e">
        <f>#REF!/B162-1</f>
        <v>#REF!</v>
      </c>
      <c r="C374" s="106">
        <f>C162/C$211</f>
        <v>0</v>
      </c>
      <c r="D374" s="106">
        <f>D162/D$211</f>
        <v>0</v>
      </c>
      <c r="E374" s="106">
        <f>E162/E$211</f>
        <v>0</v>
      </c>
      <c r="F374" s="106">
        <f>F162/F$211</f>
        <v>0</v>
      </c>
      <c r="G374" s="106">
        <f>G162/G$211</f>
        <v>0</v>
      </c>
      <c r="H374" s="106">
        <f>H162/H$211</f>
        <v>0</v>
      </c>
      <c r="I374" s="137">
        <f>I162/I$211</f>
        <v>0</v>
      </c>
      <c r="J374" s="137">
        <f>J162/J$211</f>
        <v>0</v>
      </c>
      <c r="K374" s="137">
        <f>K162/K$211</f>
        <v>0</v>
      </c>
      <c r="L374" s="137">
        <f>L162/L$211</f>
        <v>0</v>
      </c>
      <c r="M374" s="137">
        <f>M162/M$211</f>
        <v>0</v>
      </c>
      <c r="N374" s="137">
        <f>N162/N$211</f>
        <v>0</v>
      </c>
      <c r="O374" s="137">
        <f>O162/O$211</f>
        <v>0</v>
      </c>
      <c r="P374" s="137">
        <f>P162/P$211</f>
        <v>0</v>
      </c>
      <c r="Q374" s="137">
        <f>Q162/Q$211</f>
        <v>0</v>
      </c>
      <c r="R374" s="137">
        <f>R162/R$211</f>
        <v>0</v>
      </c>
      <c r="S374" s="137">
        <f>S162/S$211</f>
        <v>0</v>
      </c>
      <c r="T374" s="137">
        <f>T162/T$211</f>
        <v>0</v>
      </c>
      <c r="U374" s="137">
        <f>U162/U$211</f>
        <v>0</v>
      </c>
      <c r="V374" s="137">
        <f>V162/V$211</f>
        <v>0</v>
      </c>
      <c r="W374" s="107"/>
      <c r="X374" s="106">
        <f>X162/X$211</f>
        <v>0</v>
      </c>
      <c r="Y374" s="106">
        <f>Y162/Y$211</f>
        <v>0</v>
      </c>
      <c r="Z374" s="106">
        <f>Z162/Z$211</f>
        <v>0</v>
      </c>
      <c r="AA374" s="107"/>
      <c r="AB374" s="106"/>
      <c r="AC374" s="107">
        <f>AC162/AC$211</f>
        <v>0</v>
      </c>
      <c r="AD374" s="106">
        <f>AD162/AD$211</f>
        <v>0</v>
      </c>
    </row>
    <row r="375" spans="1:30">
      <c r="A375" s="141" t="s">
        <v>332</v>
      </c>
      <c r="B375" s="146" t="e">
        <f>#REF!/B163-1</f>
        <v>#REF!</v>
      </c>
      <c r="C375" s="106">
        <f>C163/C$211</f>
        <v>0</v>
      </c>
      <c r="D375" s="106">
        <f>D163/D$211</f>
        <v>0</v>
      </c>
      <c r="E375" s="106">
        <f>E163/E$211</f>
        <v>0</v>
      </c>
      <c r="F375" s="106">
        <f>F163/F$211</f>
        <v>0</v>
      </c>
      <c r="G375" s="106">
        <f>G163/G$211</f>
        <v>0</v>
      </c>
      <c r="H375" s="106">
        <f>H163/H$211</f>
        <v>0</v>
      </c>
      <c r="I375" s="137">
        <f>I163/I$211</f>
        <v>0</v>
      </c>
      <c r="J375" s="137">
        <f>J163/J$211</f>
        <v>0</v>
      </c>
      <c r="K375" s="137">
        <f>K163/K$211</f>
        <v>0</v>
      </c>
      <c r="L375" s="137">
        <f>L163/L$211</f>
        <v>0</v>
      </c>
      <c r="M375" s="137">
        <f>M163/M$211</f>
        <v>0</v>
      </c>
      <c r="N375" s="137">
        <f>N163/N$211</f>
        <v>0</v>
      </c>
      <c r="O375" s="137">
        <f>O163/O$211</f>
        <v>0</v>
      </c>
      <c r="P375" s="137">
        <f>P163/P$211</f>
        <v>0</v>
      </c>
      <c r="Q375" s="137">
        <f>Q163/Q$211</f>
        <v>0</v>
      </c>
      <c r="R375" s="137">
        <f>R163/R$211</f>
        <v>0</v>
      </c>
      <c r="S375" s="137">
        <f>S163/S$211</f>
        <v>0</v>
      </c>
      <c r="T375" s="137">
        <f>T163/T$211</f>
        <v>0</v>
      </c>
      <c r="U375" s="137">
        <f>U163/U$211</f>
        <v>0</v>
      </c>
      <c r="V375" s="137">
        <f>V163/V$211</f>
        <v>0</v>
      </c>
      <c r="W375" s="107"/>
      <c r="X375" s="106">
        <f>X163/X$211</f>
        <v>0</v>
      </c>
      <c r="Y375" s="106">
        <f>Y163/Y$211</f>
        <v>0</v>
      </c>
      <c r="Z375" s="106">
        <f>Z163/Z$211</f>
        <v>0</v>
      </c>
      <c r="AA375" s="107"/>
      <c r="AB375" s="106"/>
      <c r="AC375" s="107">
        <f>AC163/AC$211</f>
        <v>0</v>
      </c>
      <c r="AD375" s="106">
        <f>AD163/AD$211</f>
        <v>0</v>
      </c>
    </row>
    <row r="376" spans="1:30">
      <c r="A376" s="141" t="s">
        <v>333</v>
      </c>
      <c r="B376" s="146" t="e">
        <f>#REF!/B164-1</f>
        <v>#REF!</v>
      </c>
      <c r="C376" s="106">
        <f>C164/C$211</f>
        <v>0</v>
      </c>
      <c r="D376" s="106">
        <f>D164/D$211</f>
        <v>0</v>
      </c>
      <c r="E376" s="106">
        <f>E164/E$211</f>
        <v>0</v>
      </c>
      <c r="F376" s="106">
        <f>F164/F$211</f>
        <v>0</v>
      </c>
      <c r="G376" s="106">
        <f>G164/G$211</f>
        <v>0</v>
      </c>
      <c r="H376" s="106">
        <f>H164/H$211</f>
        <v>0</v>
      </c>
      <c r="I376" s="137">
        <f>I164/I$211</f>
        <v>0</v>
      </c>
      <c r="J376" s="137">
        <f>J164/J$211</f>
        <v>0</v>
      </c>
      <c r="K376" s="137">
        <f>K164/K$211</f>
        <v>0</v>
      </c>
      <c r="L376" s="137">
        <f>L164/L$211</f>
        <v>0</v>
      </c>
      <c r="M376" s="137">
        <f>M164/M$211</f>
        <v>0</v>
      </c>
      <c r="N376" s="137">
        <f>N164/N$211</f>
        <v>0</v>
      </c>
      <c r="O376" s="137">
        <f>O164/O$211</f>
        <v>0</v>
      </c>
      <c r="P376" s="137">
        <f>P164/P$211</f>
        <v>0</v>
      </c>
      <c r="Q376" s="137">
        <f>Q164/Q$211</f>
        <v>0</v>
      </c>
      <c r="R376" s="137">
        <f>R164/R$211</f>
        <v>0</v>
      </c>
      <c r="S376" s="137">
        <f>S164/S$211</f>
        <v>0</v>
      </c>
      <c r="T376" s="137">
        <f>T164/T$211</f>
        <v>0</v>
      </c>
      <c r="U376" s="137">
        <f>U164/U$211</f>
        <v>0</v>
      </c>
      <c r="V376" s="137">
        <f>V164/V$211</f>
        <v>0</v>
      </c>
      <c r="W376" s="107"/>
      <c r="X376" s="106">
        <f>X164/X$211</f>
        <v>0</v>
      </c>
      <c r="Y376" s="106">
        <f>Y164/Y$211</f>
        <v>0</v>
      </c>
      <c r="Z376" s="106">
        <f>Z164/Z$211</f>
        <v>0</v>
      </c>
      <c r="AA376" s="107"/>
      <c r="AB376" s="106"/>
      <c r="AC376" s="107">
        <f>AC164/AC$211</f>
        <v>0</v>
      </c>
      <c r="AD376" s="106">
        <f>AD164/AD$211</f>
        <v>0</v>
      </c>
    </row>
    <row r="377" spans="1:30">
      <c r="A377" s="141" t="s">
        <v>334</v>
      </c>
      <c r="B377" s="146" t="e">
        <f>#REF!/B165-1</f>
        <v>#REF!</v>
      </c>
      <c r="C377" s="106">
        <f>C165/C$211</f>
        <v>0</v>
      </c>
      <c r="D377" s="106">
        <f>D165/D$211</f>
        <v>0</v>
      </c>
      <c r="E377" s="106">
        <f>E165/E$211</f>
        <v>0</v>
      </c>
      <c r="F377" s="106">
        <f>F165/F$211</f>
        <v>0</v>
      </c>
      <c r="G377" s="106">
        <f>G165/G$211</f>
        <v>0</v>
      </c>
      <c r="H377" s="106">
        <f>H165/H$211</f>
        <v>0</v>
      </c>
      <c r="I377" s="137">
        <f>I165/I$211</f>
        <v>0</v>
      </c>
      <c r="J377" s="137">
        <f>J165/J$211</f>
        <v>0</v>
      </c>
      <c r="K377" s="137">
        <f>K165/K$211</f>
        <v>0</v>
      </c>
      <c r="L377" s="137">
        <f>L165/L$211</f>
        <v>0</v>
      </c>
      <c r="M377" s="137">
        <f>M165/M$211</f>
        <v>0</v>
      </c>
      <c r="N377" s="137">
        <f>N165/N$211</f>
        <v>0</v>
      </c>
      <c r="O377" s="137">
        <f>O165/O$211</f>
        <v>0</v>
      </c>
      <c r="P377" s="137">
        <f>P165/P$211</f>
        <v>0</v>
      </c>
      <c r="Q377" s="137">
        <f>Q165/Q$211</f>
        <v>0</v>
      </c>
      <c r="R377" s="137">
        <f>R165/R$211</f>
        <v>0</v>
      </c>
      <c r="S377" s="137">
        <f>S165/S$211</f>
        <v>0</v>
      </c>
      <c r="T377" s="137">
        <f>T165/T$211</f>
        <v>0</v>
      </c>
      <c r="U377" s="137">
        <f>U165/U$211</f>
        <v>0</v>
      </c>
      <c r="V377" s="137">
        <f>V165/V$211</f>
        <v>0</v>
      </c>
      <c r="W377" s="107"/>
      <c r="X377" s="106">
        <f>X165/X$211</f>
        <v>0</v>
      </c>
      <c r="Y377" s="106">
        <f>Y165/Y$211</f>
        <v>0</v>
      </c>
      <c r="Z377" s="106">
        <f>Z165/Z$211</f>
        <v>0</v>
      </c>
      <c r="AA377" s="107"/>
      <c r="AB377" s="106"/>
      <c r="AC377" s="107">
        <f>AC165/AC$211</f>
        <v>0</v>
      </c>
      <c r="AD377" s="106">
        <f>AD165/AD$211</f>
        <v>0</v>
      </c>
    </row>
    <row r="378" spans="1:30">
      <c r="A378" s="141" t="s">
        <v>335</v>
      </c>
      <c r="B378" s="146" t="e">
        <f>#REF!/B166-1</f>
        <v>#REF!</v>
      </c>
      <c r="C378" s="106">
        <f>C166/C$211</f>
        <v>0</v>
      </c>
      <c r="D378" s="106">
        <f>D166/D$211</f>
        <v>0</v>
      </c>
      <c r="E378" s="106">
        <f>E166/E$211</f>
        <v>0</v>
      </c>
      <c r="F378" s="106">
        <f>F166/F$211</f>
        <v>0</v>
      </c>
      <c r="G378" s="106">
        <f>G166/G$211</f>
        <v>0</v>
      </c>
      <c r="H378" s="106">
        <f>H166/H$211</f>
        <v>0</v>
      </c>
      <c r="I378" s="137">
        <f>I166/I$211</f>
        <v>0</v>
      </c>
      <c r="J378" s="137">
        <f>J166/J$211</f>
        <v>0</v>
      </c>
      <c r="K378" s="137">
        <f>K166/K$211</f>
        <v>0</v>
      </c>
      <c r="L378" s="137">
        <f>L166/L$211</f>
        <v>0</v>
      </c>
      <c r="M378" s="137">
        <f>M166/M$211</f>
        <v>0</v>
      </c>
      <c r="N378" s="137">
        <f>N166/N$211</f>
        <v>0</v>
      </c>
      <c r="O378" s="137">
        <f>O166/O$211</f>
        <v>0</v>
      </c>
      <c r="P378" s="137">
        <f>P166/P$211</f>
        <v>0</v>
      </c>
      <c r="Q378" s="137">
        <f>Q166/Q$211</f>
        <v>0</v>
      </c>
      <c r="R378" s="137">
        <f>R166/R$211</f>
        <v>0</v>
      </c>
      <c r="S378" s="137">
        <f>S166/S$211</f>
        <v>0</v>
      </c>
      <c r="T378" s="137">
        <f>T166/T$211</f>
        <v>0</v>
      </c>
      <c r="U378" s="137">
        <f>U166/U$211</f>
        <v>0</v>
      </c>
      <c r="V378" s="137">
        <f>V166/V$211</f>
        <v>0</v>
      </c>
      <c r="W378" s="107"/>
      <c r="X378" s="106">
        <f>X166/X$211</f>
        <v>0</v>
      </c>
      <c r="Y378" s="106">
        <f>Y166/Y$211</f>
        <v>0</v>
      </c>
      <c r="Z378" s="106">
        <f>Z166/Z$211</f>
        <v>0</v>
      </c>
      <c r="AA378" s="107"/>
      <c r="AB378" s="106"/>
      <c r="AC378" s="107">
        <f>AC166/AC$211</f>
        <v>0</v>
      </c>
      <c r="AD378" s="106">
        <f>AD166/AD$211</f>
        <v>0</v>
      </c>
    </row>
    <row r="379" spans="1:30">
      <c r="A379" s="141" t="s">
        <v>336</v>
      </c>
      <c r="B379" s="146" t="e">
        <f>#REF!/B167-1</f>
        <v>#REF!</v>
      </c>
      <c r="C379" s="106">
        <f>C167/C$211</f>
        <v>0</v>
      </c>
      <c r="D379" s="106">
        <f>D167/D$211</f>
        <v>0</v>
      </c>
      <c r="E379" s="106">
        <f>E167/E$211</f>
        <v>0</v>
      </c>
      <c r="F379" s="106">
        <f>F167/F$211</f>
        <v>0</v>
      </c>
      <c r="G379" s="106">
        <f>G167/G$211</f>
        <v>0</v>
      </c>
      <c r="H379" s="106">
        <f>H167/H$211</f>
        <v>0</v>
      </c>
      <c r="I379" s="137">
        <f>I167/I$211</f>
        <v>0</v>
      </c>
      <c r="J379" s="137">
        <f>J167/J$211</f>
        <v>0</v>
      </c>
      <c r="K379" s="137">
        <f>K167/K$211</f>
        <v>0</v>
      </c>
      <c r="L379" s="137">
        <f>L167/L$211</f>
        <v>0</v>
      </c>
      <c r="M379" s="137">
        <f>M167/M$211</f>
        <v>0</v>
      </c>
      <c r="N379" s="137">
        <f>N167/N$211</f>
        <v>0</v>
      </c>
      <c r="O379" s="137">
        <f>O167/O$211</f>
        <v>0</v>
      </c>
      <c r="P379" s="137">
        <f>P167/P$211</f>
        <v>0</v>
      </c>
      <c r="Q379" s="137">
        <f>Q167/Q$211</f>
        <v>0</v>
      </c>
      <c r="R379" s="137">
        <f>R167/R$211</f>
        <v>0</v>
      </c>
      <c r="S379" s="137">
        <f>S167/S$211</f>
        <v>0</v>
      </c>
      <c r="T379" s="137">
        <f>T167/T$211</f>
        <v>0</v>
      </c>
      <c r="U379" s="137">
        <f>U167/U$211</f>
        <v>0</v>
      </c>
      <c r="V379" s="137">
        <f>V167/V$211</f>
        <v>0</v>
      </c>
      <c r="W379" s="107"/>
      <c r="X379" s="106">
        <f>X167/X$211</f>
        <v>0</v>
      </c>
      <c r="Y379" s="106">
        <f>Y167/Y$211</f>
        <v>0</v>
      </c>
      <c r="Z379" s="106">
        <f>Z167/Z$211</f>
        <v>0</v>
      </c>
      <c r="AA379" s="107"/>
      <c r="AB379" s="106"/>
      <c r="AC379" s="107">
        <f>AC167/AC$211</f>
        <v>0</v>
      </c>
      <c r="AD379" s="106">
        <f>AD167/AD$211</f>
        <v>0</v>
      </c>
    </row>
    <row r="380" spans="1:30">
      <c r="A380" s="141" t="s">
        <v>337</v>
      </c>
      <c r="B380" s="146" t="e">
        <f>#REF!/B168-1</f>
        <v>#REF!</v>
      </c>
      <c r="C380" s="106">
        <f>C168/C$211</f>
        <v>0</v>
      </c>
      <c r="D380" s="106">
        <f>D168/D$211</f>
        <v>0</v>
      </c>
      <c r="E380" s="106">
        <f>E168/E$211</f>
        <v>0</v>
      </c>
      <c r="F380" s="106">
        <f>F168/F$211</f>
        <v>0</v>
      </c>
      <c r="G380" s="106">
        <f>G168/G$211</f>
        <v>0</v>
      </c>
      <c r="H380" s="106">
        <f>H168/H$211</f>
        <v>0</v>
      </c>
      <c r="I380" s="137">
        <f>I168/I$211</f>
        <v>0</v>
      </c>
      <c r="J380" s="137">
        <f>J168/J$211</f>
        <v>0</v>
      </c>
      <c r="K380" s="137">
        <f>K168/K$211</f>
        <v>0</v>
      </c>
      <c r="L380" s="137">
        <f>L168/L$211</f>
        <v>0</v>
      </c>
      <c r="M380" s="137">
        <f>M168/M$211</f>
        <v>0</v>
      </c>
      <c r="N380" s="137">
        <f>N168/N$211</f>
        <v>0</v>
      </c>
      <c r="O380" s="137">
        <f>O168/O$211</f>
        <v>0</v>
      </c>
      <c r="P380" s="137">
        <f>P168/P$211</f>
        <v>0</v>
      </c>
      <c r="Q380" s="137">
        <f>Q168/Q$211</f>
        <v>0</v>
      </c>
      <c r="R380" s="137">
        <f>R168/R$211</f>
        <v>0</v>
      </c>
      <c r="S380" s="137">
        <f>S168/S$211</f>
        <v>0</v>
      </c>
      <c r="T380" s="137">
        <f>T168/T$211</f>
        <v>0</v>
      </c>
      <c r="U380" s="137">
        <f>U168/U$211</f>
        <v>0</v>
      </c>
      <c r="V380" s="137">
        <f>V168/V$211</f>
        <v>0</v>
      </c>
      <c r="W380" s="107"/>
      <c r="X380" s="106">
        <f>X168/X$211</f>
        <v>0</v>
      </c>
      <c r="Y380" s="106">
        <f>Y168/Y$211</f>
        <v>0</v>
      </c>
      <c r="Z380" s="106">
        <f>Z168/Z$211</f>
        <v>0</v>
      </c>
      <c r="AA380" s="107"/>
      <c r="AB380" s="106"/>
      <c r="AC380" s="107">
        <f>AC168/AC$211</f>
        <v>0</v>
      </c>
      <c r="AD380" s="106">
        <f>AD168/AD$211</f>
        <v>0</v>
      </c>
    </row>
    <row r="381" spans="1:30">
      <c r="A381" s="141" t="s">
        <v>338</v>
      </c>
      <c r="B381" s="146" t="e">
        <f>#REF!/B169-1</f>
        <v>#REF!</v>
      </c>
      <c r="C381" s="106">
        <f>C169/C$211</f>
        <v>0.000395951999508456</v>
      </c>
      <c r="D381" s="106">
        <f>D169/D$211</f>
        <v>0.00031167537028302</v>
      </c>
      <c r="E381" s="106">
        <f>E169/E$211</f>
        <v>0.000595801767026684</v>
      </c>
      <c r="F381" s="106">
        <f>F169/F$211</f>
        <v>0.000467220288770626</v>
      </c>
      <c r="G381" s="106">
        <f>G169/G$211</f>
        <v>0</v>
      </c>
      <c r="H381" s="106">
        <f>H169/H$211</f>
        <v>0</v>
      </c>
      <c r="I381" s="137">
        <f>I169/I$211</f>
        <v>0.000599311784960676</v>
      </c>
      <c r="J381" s="137">
        <f>J169/J$211</f>
        <v>0.000174134615236437</v>
      </c>
      <c r="K381" s="137">
        <f>K169/K$211</f>
        <v>0.000696704533280941</v>
      </c>
      <c r="L381" s="137">
        <f>L169/L$211</f>
        <v>0.000489974748820177</v>
      </c>
      <c r="M381" s="137">
        <f>M169/M$211</f>
        <v>0</v>
      </c>
      <c r="N381" s="137">
        <f>N169/N$211</f>
        <v>0</v>
      </c>
      <c r="O381" s="137">
        <f>O169/O$211</f>
        <v>0</v>
      </c>
      <c r="P381" s="137">
        <f>P169/P$211</f>
        <v>0</v>
      </c>
      <c r="Q381" s="137">
        <f>Q169/Q$211</f>
        <v>0.000212911459869318</v>
      </c>
      <c r="R381" s="137">
        <f>R169/R$211</f>
        <v>0.000143498742139158</v>
      </c>
      <c r="S381" s="137">
        <f>S169/S$211</f>
        <v>0.000143351158981269</v>
      </c>
      <c r="T381" s="137">
        <f>T169/T$211</f>
        <v>0.00143046020540109</v>
      </c>
      <c r="U381" s="137">
        <f>U169/U$211</f>
        <v>0.00148758012980368</v>
      </c>
      <c r="V381" s="137">
        <f>V169/V$211</f>
        <v>0.00171727990715366</v>
      </c>
      <c r="W381" s="107"/>
      <c r="X381" s="106">
        <f>X169/X$211</f>
        <v>0</v>
      </c>
      <c r="Y381" s="106">
        <f>Y169/Y$211</f>
        <v>1.5321636255871e-5</v>
      </c>
      <c r="Z381" s="106">
        <f>Z169/Z$211</f>
        <v>0.000482686750015375</v>
      </c>
      <c r="AA381" s="107"/>
      <c r="AB381" s="106"/>
      <c r="AC381" s="107">
        <f>AC169/AC$211</f>
        <v>0.000351961882228533</v>
      </c>
      <c r="AD381" s="106">
        <f>AD169/AD$211</f>
        <v>0.000155767486777648</v>
      </c>
    </row>
    <row r="382" spans="1:30">
      <c r="A382" s="141" t="s">
        <v>339</v>
      </c>
      <c r="B382" s="146" t="e">
        <f>#REF!/B170-1</f>
        <v>#REF!</v>
      </c>
      <c r="C382" s="106">
        <f>C170/C$211</f>
        <v>0</v>
      </c>
      <c r="D382" s="106">
        <f>D170/D$211</f>
        <v>0</v>
      </c>
      <c r="E382" s="106">
        <f>E170/E$211</f>
        <v>0</v>
      </c>
      <c r="F382" s="106">
        <f>F170/F$211</f>
        <v>0</v>
      </c>
      <c r="G382" s="106">
        <f>G170/G$211</f>
        <v>0</v>
      </c>
      <c r="H382" s="106">
        <f>H170/H$211</f>
        <v>0</v>
      </c>
      <c r="I382" s="137">
        <f>I170/I$211</f>
        <v>0</v>
      </c>
      <c r="J382" s="137">
        <f>J170/J$211</f>
        <v>0</v>
      </c>
      <c r="K382" s="137">
        <f>K170/K$211</f>
        <v>0</v>
      </c>
      <c r="L382" s="137">
        <f>L170/L$211</f>
        <v>0</v>
      </c>
      <c r="M382" s="137">
        <f>M170/M$211</f>
        <v>0</v>
      </c>
      <c r="N382" s="137">
        <f>N170/N$211</f>
        <v>0</v>
      </c>
      <c r="O382" s="137">
        <f>O170/O$211</f>
        <v>0</v>
      </c>
      <c r="P382" s="137">
        <f>P170/P$211</f>
        <v>0</v>
      </c>
      <c r="Q382" s="137">
        <f>Q170/Q$211</f>
        <v>0</v>
      </c>
      <c r="R382" s="137">
        <f>R170/R$211</f>
        <v>0</v>
      </c>
      <c r="S382" s="137">
        <f>S170/S$211</f>
        <v>0</v>
      </c>
      <c r="T382" s="137">
        <f>T170/T$211</f>
        <v>0</v>
      </c>
      <c r="U382" s="137">
        <f>U170/U$211</f>
        <v>0</v>
      </c>
      <c r="V382" s="137">
        <f>V170/V$211</f>
        <v>0</v>
      </c>
      <c r="W382" s="107"/>
      <c r="X382" s="106">
        <f>X170/X$211</f>
        <v>0</v>
      </c>
      <c r="Y382" s="106">
        <f>Y170/Y$211</f>
        <v>0</v>
      </c>
      <c r="Z382" s="106">
        <f>Z170/Z$211</f>
        <v>0</v>
      </c>
      <c r="AA382" s="107"/>
      <c r="AB382" s="106"/>
      <c r="AC382" s="107">
        <f>AC170/AC$211</f>
        <v>0</v>
      </c>
      <c r="AD382" s="106">
        <f>AD170/AD$211</f>
        <v>0</v>
      </c>
    </row>
    <row r="383" spans="1:30">
      <c r="A383" s="141" t="s">
        <v>340</v>
      </c>
      <c r="B383" s="146" t="e">
        <f>#REF!/B171-1</f>
        <v>#REF!</v>
      </c>
      <c r="C383" s="106">
        <f>C171/C$211</f>
        <v>0.00156161454529788</v>
      </c>
      <c r="D383" s="106">
        <f>D171/D$211</f>
        <v>0.000459838547966591</v>
      </c>
      <c r="E383" s="106">
        <f>E171/E$211</f>
        <v>0</v>
      </c>
      <c r="F383" s="106">
        <f>F171/F$211</f>
        <v>0</v>
      </c>
      <c r="G383" s="106">
        <f>G171/G$211</f>
        <v>0</v>
      </c>
      <c r="H383" s="106">
        <f>H171/H$211</f>
        <v>0</v>
      </c>
      <c r="I383" s="137">
        <f>I171/I$211</f>
        <v>0.0022018072550294</v>
      </c>
      <c r="J383" s="137">
        <f>J171/J$211</f>
        <v>0.0017209402783488</v>
      </c>
      <c r="K383" s="137">
        <f>K171/K$211</f>
        <v>0.0033407204336956</v>
      </c>
      <c r="L383" s="137">
        <f>L171/L$211</f>
        <v>0.0018589112998513</v>
      </c>
      <c r="M383" s="137">
        <f>M171/M$211</f>
        <v>0</v>
      </c>
      <c r="N383" s="137">
        <f>N171/N$211</f>
        <v>0</v>
      </c>
      <c r="O383" s="137">
        <f>O171/O$211</f>
        <v>0.00268785959610543</v>
      </c>
      <c r="P383" s="137">
        <f>P171/P$211</f>
        <v>0.00469079400420292</v>
      </c>
      <c r="Q383" s="137">
        <f>Q171/Q$211</f>
        <v>0</v>
      </c>
      <c r="R383" s="137">
        <f>R171/R$211</f>
        <v>0</v>
      </c>
      <c r="S383" s="137">
        <f>S171/S$211</f>
        <v>0</v>
      </c>
      <c r="T383" s="137">
        <f>T171/T$211</f>
        <v>0.0010801381162598</v>
      </c>
      <c r="U383" s="137">
        <f>U171/U$211</f>
        <v>0</v>
      </c>
      <c r="V383" s="137">
        <f>V171/V$211</f>
        <v>0</v>
      </c>
      <c r="W383" s="107"/>
      <c r="X383" s="106">
        <f>X171/X$211</f>
        <v>0</v>
      </c>
      <c r="Y383" s="106">
        <f>Y171/Y$211</f>
        <v>7.6608188267558e-5</v>
      </c>
      <c r="Z383" s="106">
        <f>Z171/Z$211</f>
        <v>0.000793751254340929</v>
      </c>
      <c r="AA383" s="107"/>
      <c r="AB383" s="106"/>
      <c r="AC383" s="107">
        <f>AC171/AC$211</f>
        <v>0.00262432072867426</v>
      </c>
      <c r="AD383" s="106">
        <f>AD171/AD$211</f>
        <v>0.000507820906085245</v>
      </c>
    </row>
    <row r="384" spans="1:30">
      <c r="A384" s="141" t="s">
        <v>341</v>
      </c>
      <c r="B384" s="146" t="e">
        <f>#REF!/B172-1</f>
        <v>#REF!</v>
      </c>
      <c r="C384" s="106">
        <f>C172/C$211</f>
        <v>0</v>
      </c>
      <c r="D384" s="106">
        <f>D172/D$211</f>
        <v>0.000159664413458013</v>
      </c>
      <c r="E384" s="106">
        <f>E172/E$211</f>
        <v>0</v>
      </c>
      <c r="F384" s="106">
        <f>F172/F$211</f>
        <v>0</v>
      </c>
      <c r="G384" s="106">
        <f>G172/G$211</f>
        <v>0</v>
      </c>
      <c r="H384" s="106">
        <f>H172/H$211</f>
        <v>0</v>
      </c>
      <c r="I384" s="137">
        <f>I172/I$211</f>
        <v>0</v>
      </c>
      <c r="J384" s="137">
        <f>J172/J$211</f>
        <v>0</v>
      </c>
      <c r="K384" s="137">
        <f>K172/K$211</f>
        <v>0</v>
      </c>
      <c r="L384" s="137">
        <f>L172/L$211</f>
        <v>0.00195145167302404</v>
      </c>
      <c r="M384" s="137">
        <f>M172/M$211</f>
        <v>0</v>
      </c>
      <c r="N384" s="137">
        <f>N172/N$211</f>
        <v>0</v>
      </c>
      <c r="O384" s="137">
        <f>O172/O$211</f>
        <v>0</v>
      </c>
      <c r="P384" s="137">
        <f>P172/P$211</f>
        <v>0</v>
      </c>
      <c r="Q384" s="137">
        <f>Q172/Q$211</f>
        <v>0</v>
      </c>
      <c r="R384" s="137">
        <f>R172/R$211</f>
        <v>0</v>
      </c>
      <c r="S384" s="137">
        <f>S172/S$211</f>
        <v>0</v>
      </c>
      <c r="T384" s="137">
        <f>T172/T$211</f>
        <v>0</v>
      </c>
      <c r="U384" s="137">
        <f>U172/U$211</f>
        <v>0</v>
      </c>
      <c r="V384" s="137">
        <f>V172/V$211</f>
        <v>0</v>
      </c>
      <c r="W384" s="107"/>
      <c r="X384" s="106">
        <f>X172/X$211</f>
        <v>0</v>
      </c>
      <c r="Y384" s="106">
        <f>Y172/Y$211</f>
        <v>0</v>
      </c>
      <c r="Z384" s="106">
        <f>Z172/Z$211</f>
        <v>0</v>
      </c>
      <c r="AA384" s="107"/>
      <c r="AB384" s="106"/>
      <c r="AC384" s="107">
        <f>AC172/AC$211</f>
        <v>0</v>
      </c>
      <c r="AD384" s="106">
        <f>AD172/AD$211</f>
        <v>0</v>
      </c>
    </row>
    <row r="385" spans="1:30">
      <c r="A385" s="141" t="s">
        <v>342</v>
      </c>
      <c r="B385" s="146" t="e">
        <f>#REF!/B173-1</f>
        <v>#REF!</v>
      </c>
      <c r="C385" s="106">
        <f>C173/C$211</f>
        <v>0</v>
      </c>
      <c r="D385" s="106">
        <f>D173/D$211</f>
        <v>0</v>
      </c>
      <c r="E385" s="106">
        <f>E173/E$211</f>
        <v>0</v>
      </c>
      <c r="F385" s="106">
        <f>F173/F$211</f>
        <v>0</v>
      </c>
      <c r="G385" s="106">
        <f>G173/G$211</f>
        <v>0</v>
      </c>
      <c r="H385" s="106">
        <f>H173/H$211</f>
        <v>0</v>
      </c>
      <c r="I385" s="137">
        <f>I173/I$211</f>
        <v>0</v>
      </c>
      <c r="J385" s="137">
        <f>J173/J$211</f>
        <v>0</v>
      </c>
      <c r="K385" s="137">
        <f>K173/K$211</f>
        <v>0</v>
      </c>
      <c r="L385" s="137">
        <f>L173/L$211</f>
        <v>0</v>
      </c>
      <c r="M385" s="137">
        <f>M173/M$211</f>
        <v>0</v>
      </c>
      <c r="N385" s="137">
        <f>N173/N$211</f>
        <v>0</v>
      </c>
      <c r="O385" s="137">
        <f>O173/O$211</f>
        <v>0</v>
      </c>
      <c r="P385" s="137">
        <f>P173/P$211</f>
        <v>0</v>
      </c>
      <c r="Q385" s="137">
        <f>Q173/Q$211</f>
        <v>0</v>
      </c>
      <c r="R385" s="137">
        <f>R173/R$211</f>
        <v>0</v>
      </c>
      <c r="S385" s="137">
        <f>S173/S$211</f>
        <v>0</v>
      </c>
      <c r="T385" s="137">
        <f>T173/T$211</f>
        <v>0</v>
      </c>
      <c r="U385" s="137">
        <f>U173/U$211</f>
        <v>0</v>
      </c>
      <c r="V385" s="137">
        <f>V173/V$211</f>
        <v>0</v>
      </c>
      <c r="W385" s="107"/>
      <c r="X385" s="106">
        <f>X173/X$211</f>
        <v>0</v>
      </c>
      <c r="Y385" s="106">
        <f>Y173/Y$211</f>
        <v>0</v>
      </c>
      <c r="Z385" s="106">
        <f>Z173/Z$211</f>
        <v>0</v>
      </c>
      <c r="AA385" s="107"/>
      <c r="AB385" s="106"/>
      <c r="AC385" s="107">
        <f>AC173/AC$211</f>
        <v>0</v>
      </c>
      <c r="AD385" s="106">
        <f>AD173/AD$211</f>
        <v>0</v>
      </c>
    </row>
    <row r="386" spans="1:30">
      <c r="A386" s="141" t="s">
        <v>343</v>
      </c>
      <c r="B386" s="146" t="e">
        <f>#REF!/B174-1</f>
        <v>#REF!</v>
      </c>
      <c r="C386" s="106">
        <f>C174/C$211</f>
        <v>0.00133642646523472</v>
      </c>
      <c r="D386" s="106">
        <f>D174/D$211</f>
        <v>0.00166827273029325</v>
      </c>
      <c r="E386" s="106">
        <f>E174/E$211</f>
        <v>0.00226369161945264</v>
      </c>
      <c r="F386" s="106">
        <f>F174/F$211</f>
        <v>0.00300621904401913</v>
      </c>
      <c r="G386" s="106">
        <f>G174/G$211</f>
        <v>0.00407187391958877</v>
      </c>
      <c r="H386" s="106">
        <f>H174/H$211</f>
        <v>0.0081019227761095</v>
      </c>
      <c r="I386" s="137">
        <f>I174/I$211</f>
        <v>0</v>
      </c>
      <c r="J386" s="137">
        <f>J174/J$211</f>
        <v>0</v>
      </c>
      <c r="K386" s="137">
        <f>K174/K$211</f>
        <v>0</v>
      </c>
      <c r="L386" s="137">
        <f>L174/L$211</f>
        <v>0</v>
      </c>
      <c r="M386" s="137">
        <f>M174/M$211</f>
        <v>0</v>
      </c>
      <c r="N386" s="137">
        <f>N174/N$211</f>
        <v>0</v>
      </c>
      <c r="O386" s="137">
        <f>O174/O$211</f>
        <v>0</v>
      </c>
      <c r="P386" s="137">
        <f>P174/P$211</f>
        <v>0</v>
      </c>
      <c r="Q386" s="137">
        <f>Q174/Q$211</f>
        <v>0.00132694067045485</v>
      </c>
      <c r="R386" s="137">
        <f>R174/R$211</f>
        <v>8.56213789086333e-5</v>
      </c>
      <c r="S386" s="137">
        <f>S174/S$211</f>
        <v>0</v>
      </c>
      <c r="T386" s="137">
        <f>T174/T$211</f>
        <v>0.0028747872823674</v>
      </c>
      <c r="U386" s="137">
        <f>U174/U$211</f>
        <v>0.00300915370900183</v>
      </c>
      <c r="V386" s="137">
        <f>V174/V$211</f>
        <v>0.00555471342289337</v>
      </c>
      <c r="W386" s="107"/>
      <c r="X386" s="106">
        <f>X174/X$211</f>
        <v>0</v>
      </c>
      <c r="Y386" s="106">
        <f>Y174/Y$211</f>
        <v>0.000997900716336053</v>
      </c>
      <c r="Z386" s="106">
        <f>Z174/Z$211</f>
        <v>0.00180855272994717</v>
      </c>
      <c r="AA386" s="107"/>
      <c r="AB386" s="106"/>
      <c r="AC386" s="107">
        <f>AC174/AC$211</f>
        <v>0.00169500211398331</v>
      </c>
      <c r="AD386" s="106">
        <f>AD174/AD$211</f>
        <v>0.00114237450139477</v>
      </c>
    </row>
    <row r="387" spans="1:30">
      <c r="A387" s="141" t="s">
        <v>344</v>
      </c>
      <c r="B387" s="146" t="e">
        <f>#REF!/B175-1</f>
        <v>#REF!</v>
      </c>
      <c r="C387" s="106">
        <f>C175/C$211</f>
        <v>0</v>
      </c>
      <c r="D387" s="106">
        <f>D175/D$211</f>
        <v>0</v>
      </c>
      <c r="E387" s="106">
        <f>E175/E$211</f>
        <v>0</v>
      </c>
      <c r="F387" s="106">
        <f>F175/F$211</f>
        <v>0</v>
      </c>
      <c r="G387" s="106">
        <f>G175/G$211</f>
        <v>0</v>
      </c>
      <c r="H387" s="106">
        <f>H175/H$211</f>
        <v>0</v>
      </c>
      <c r="I387" s="137">
        <f>I175/I$211</f>
        <v>0</v>
      </c>
      <c r="J387" s="137">
        <f>J175/J$211</f>
        <v>0</v>
      </c>
      <c r="K387" s="137">
        <f>K175/K$211</f>
        <v>0</v>
      </c>
      <c r="L387" s="137">
        <f>L175/L$211</f>
        <v>0</v>
      </c>
      <c r="M387" s="137">
        <f>M175/M$211</f>
        <v>0</v>
      </c>
      <c r="N387" s="137">
        <f>N175/N$211</f>
        <v>0</v>
      </c>
      <c r="O387" s="137">
        <f>O175/O$211</f>
        <v>0</v>
      </c>
      <c r="P387" s="137">
        <f>P175/P$211</f>
        <v>0</v>
      </c>
      <c r="Q387" s="137">
        <f>Q175/Q$211</f>
        <v>0</v>
      </c>
      <c r="R387" s="137">
        <f>R175/R$211</f>
        <v>0</v>
      </c>
      <c r="S387" s="137">
        <f>S175/S$211</f>
        <v>0</v>
      </c>
      <c r="T387" s="137">
        <f>T175/T$211</f>
        <v>0</v>
      </c>
      <c r="U387" s="137">
        <f>U175/U$211</f>
        <v>0</v>
      </c>
      <c r="V387" s="137">
        <f>V175/V$211</f>
        <v>0</v>
      </c>
      <c r="W387" s="107"/>
      <c r="X387" s="106">
        <f>X175/X$211</f>
        <v>0</v>
      </c>
      <c r="Y387" s="106">
        <f>Y175/Y$211</f>
        <v>0</v>
      </c>
      <c r="Z387" s="106">
        <f>Z175/Z$211</f>
        <v>0</v>
      </c>
      <c r="AA387" s="107"/>
      <c r="AB387" s="106"/>
      <c r="AC387" s="107">
        <f>AC175/AC$211</f>
        <v>0</v>
      </c>
      <c r="AD387" s="106">
        <f>AD175/AD$211</f>
        <v>0</v>
      </c>
    </row>
    <row r="388" spans="1:30">
      <c r="A388" s="141" t="s">
        <v>345</v>
      </c>
      <c r="B388" s="146" t="e">
        <f>#REF!/B176-1</f>
        <v>#REF!</v>
      </c>
      <c r="C388" s="106">
        <f>C176/C$211</f>
        <v>0.000127291632464102</v>
      </c>
      <c r="D388" s="106">
        <f>D176/D$211</f>
        <v>0.00212604895706772</v>
      </c>
      <c r="E388" s="106">
        <f>E176/E$211</f>
        <v>0</v>
      </c>
      <c r="F388" s="106">
        <f>F176/F$211</f>
        <v>0</v>
      </c>
      <c r="G388" s="106">
        <f>G176/G$211</f>
        <v>0</v>
      </c>
      <c r="H388" s="106">
        <f>H176/H$211</f>
        <v>0.0167642431922898</v>
      </c>
      <c r="I388" s="137">
        <f>I176/I$211</f>
        <v>0</v>
      </c>
      <c r="J388" s="137">
        <f>J176/J$211</f>
        <v>0.00296207627897829</v>
      </c>
      <c r="K388" s="137">
        <f>K176/K$211</f>
        <v>0</v>
      </c>
      <c r="L388" s="137">
        <f>L176/L$211</f>
        <v>0</v>
      </c>
      <c r="M388" s="137">
        <f>M176/M$211</f>
        <v>0</v>
      </c>
      <c r="N388" s="137">
        <f>N176/N$211</f>
        <v>0</v>
      </c>
      <c r="O388" s="137">
        <f>O176/O$211</f>
        <v>0</v>
      </c>
      <c r="P388" s="137">
        <f>P176/P$211</f>
        <v>0.000978547715217922</v>
      </c>
      <c r="Q388" s="137">
        <f>Q176/Q$211</f>
        <v>0.000199221119652251</v>
      </c>
      <c r="R388" s="137">
        <f>R176/R$211</f>
        <v>0.00196859025966941</v>
      </c>
      <c r="S388" s="137">
        <f>S176/S$211</f>
        <v>0</v>
      </c>
      <c r="T388" s="137">
        <f>T176/T$211</f>
        <v>0</v>
      </c>
      <c r="U388" s="137">
        <f>U176/U$211</f>
        <v>0</v>
      </c>
      <c r="V388" s="137">
        <f>V176/V$211</f>
        <v>0</v>
      </c>
      <c r="W388" s="107"/>
      <c r="X388" s="106">
        <f>X176/X$211</f>
        <v>0</v>
      </c>
      <c r="Y388" s="106">
        <f>Y176/Y$211</f>
        <v>0.00744081383451846</v>
      </c>
      <c r="Z388" s="106">
        <f>Z176/Z$211</f>
        <v>0.0041642257092103</v>
      </c>
      <c r="AA388" s="107"/>
      <c r="AB388" s="106"/>
      <c r="AC388" s="107">
        <f>AC176/AC$211</f>
        <v>4.52684279331179e-5</v>
      </c>
      <c r="AD388" s="106">
        <f>AD176/AD$211</f>
        <v>0.00218023736456494</v>
      </c>
    </row>
    <row r="389" spans="1:30">
      <c r="A389" s="141" t="s">
        <v>346</v>
      </c>
      <c r="B389" s="146" t="e">
        <f>#REF!/B177-1</f>
        <v>#REF!</v>
      </c>
      <c r="C389" s="106">
        <f>C177/C$211</f>
        <v>0</v>
      </c>
      <c r="D389" s="106">
        <f>D177/D$211</f>
        <v>0</v>
      </c>
      <c r="E389" s="106">
        <f>E177/E$211</f>
        <v>0</v>
      </c>
      <c r="F389" s="106">
        <f>F177/F$211</f>
        <v>0</v>
      </c>
      <c r="G389" s="106">
        <f>G177/G$211</f>
        <v>0</v>
      </c>
      <c r="H389" s="106">
        <f>H177/H$211</f>
        <v>0</v>
      </c>
      <c r="I389" s="137">
        <f>I177/I$211</f>
        <v>0</v>
      </c>
      <c r="J389" s="137">
        <f>J177/J$211</f>
        <v>0</v>
      </c>
      <c r="K389" s="137">
        <f>K177/K$211</f>
        <v>0</v>
      </c>
      <c r="L389" s="137">
        <f>L177/L$211</f>
        <v>0</v>
      </c>
      <c r="M389" s="137">
        <f>M177/M$211</f>
        <v>0</v>
      </c>
      <c r="N389" s="137">
        <f>N177/N$211</f>
        <v>0</v>
      </c>
      <c r="O389" s="137">
        <f>O177/O$211</f>
        <v>0</v>
      </c>
      <c r="P389" s="137">
        <f>P177/P$211</f>
        <v>0</v>
      </c>
      <c r="Q389" s="137">
        <f>Q177/Q$211</f>
        <v>0</v>
      </c>
      <c r="R389" s="137">
        <f>R177/R$211</f>
        <v>0</v>
      </c>
      <c r="S389" s="137">
        <f>S177/S$211</f>
        <v>0</v>
      </c>
      <c r="T389" s="137">
        <f>T177/T$211</f>
        <v>0</v>
      </c>
      <c r="U389" s="137">
        <f>U177/U$211</f>
        <v>0</v>
      </c>
      <c r="V389" s="137">
        <f>V177/V$211</f>
        <v>0</v>
      </c>
      <c r="W389" s="107"/>
      <c r="X389" s="106">
        <f>X177/X$211</f>
        <v>0</v>
      </c>
      <c r="Y389" s="106">
        <f>Y177/Y$211</f>
        <v>0</v>
      </c>
      <c r="Z389" s="106">
        <f>Z177/Z$211</f>
        <v>0</v>
      </c>
      <c r="AA389" s="107"/>
      <c r="AB389" s="106"/>
      <c r="AC389" s="107">
        <f>AC177/AC$211</f>
        <v>0</v>
      </c>
      <c r="AD389" s="106">
        <f>AD177/AD$211</f>
        <v>0</v>
      </c>
    </row>
    <row r="390" spans="1:30">
      <c r="A390" s="141" t="s">
        <v>347</v>
      </c>
      <c r="B390" s="146" t="e">
        <f>#REF!/B178-1</f>
        <v>#REF!</v>
      </c>
      <c r="C390" s="106">
        <f>C178/C$211</f>
        <v>9.79783773237608e-5</v>
      </c>
      <c r="D390" s="106">
        <f>D178/D$211</f>
        <v>0.0001374289442189</v>
      </c>
      <c r="E390" s="106">
        <f>E178/E$211</f>
        <v>9.64071409666783e-5</v>
      </c>
      <c r="F390" s="106">
        <f>F178/F$211</f>
        <v>0.000342178812986845</v>
      </c>
      <c r="G390" s="106">
        <f>G178/G$211</f>
        <v>0</v>
      </c>
      <c r="H390" s="106">
        <f>H178/H$211</f>
        <v>0</v>
      </c>
      <c r="I390" s="137">
        <f>I178/I$211</f>
        <v>0.000230183333702202</v>
      </c>
      <c r="J390" s="137">
        <f>J178/J$211</f>
        <v>0.000623777598613314</v>
      </c>
      <c r="K390" s="137">
        <f>K178/K$211</f>
        <v>0</v>
      </c>
      <c r="L390" s="137">
        <f>L178/L$211</f>
        <v>0</v>
      </c>
      <c r="M390" s="137">
        <f>M178/M$211</f>
        <v>0</v>
      </c>
      <c r="N390" s="137">
        <f>N178/N$211</f>
        <v>0</v>
      </c>
      <c r="O390" s="137">
        <f>O178/O$211</f>
        <v>0</v>
      </c>
      <c r="P390" s="137">
        <f>P178/P$211</f>
        <v>0</v>
      </c>
      <c r="Q390" s="137">
        <f>Q178/Q$211</f>
        <v>0</v>
      </c>
      <c r="R390" s="137">
        <f>R178/R$211</f>
        <v>0</v>
      </c>
      <c r="S390" s="137">
        <f>S178/S$211</f>
        <v>0</v>
      </c>
      <c r="T390" s="137">
        <f>T178/T$211</f>
        <v>8.01061688866172e-5</v>
      </c>
      <c r="U390" s="137">
        <f>U178/U$211</f>
        <v>0</v>
      </c>
      <c r="V390" s="137">
        <f>V178/V$211</f>
        <v>0.0004965922020248</v>
      </c>
      <c r="W390" s="107"/>
      <c r="X390" s="106">
        <f>X178/X$211</f>
        <v>0</v>
      </c>
      <c r="Y390" s="106">
        <f>Y178/Y$211</f>
        <v>0</v>
      </c>
      <c r="Z390" s="106">
        <f>Z178/Z$211</f>
        <v>0</v>
      </c>
      <c r="AA390" s="107"/>
      <c r="AB390" s="106"/>
      <c r="AC390" s="107">
        <f>AC178/AC$211</f>
        <v>0.000272329490933141</v>
      </c>
      <c r="AD390" s="106">
        <f>AD178/AD$211</f>
        <v>9.23303116124219e-5</v>
      </c>
    </row>
    <row r="391" spans="1:30">
      <c r="A391" s="141" t="s">
        <v>348</v>
      </c>
      <c r="B391" s="146" t="e">
        <f>#REF!/B179-1</f>
        <v>#REF!</v>
      </c>
      <c r="C391" s="106">
        <f>C179/C$211</f>
        <v>0.000605958719083053</v>
      </c>
      <c r="D391" s="106">
        <f>D179/D$211</f>
        <v>0.000240189714822417</v>
      </c>
      <c r="E391" s="106">
        <f>E179/E$211</f>
        <v>0</v>
      </c>
      <c r="F391" s="106">
        <f>F179/F$211</f>
        <v>0</v>
      </c>
      <c r="G391" s="106">
        <f>G179/G$211</f>
        <v>0</v>
      </c>
      <c r="H391" s="106">
        <f>H179/H$211</f>
        <v>0</v>
      </c>
      <c r="I391" s="137">
        <f>I179/I$211</f>
        <v>0.00025619919968682</v>
      </c>
      <c r="J391" s="137">
        <f>J179/J$211</f>
        <v>0</v>
      </c>
      <c r="K391" s="137">
        <f>K179/K$211</f>
        <v>0.000781868221828343</v>
      </c>
      <c r="L391" s="137">
        <f>L179/L$211</f>
        <v>0.000397861910635265</v>
      </c>
      <c r="M391" s="137">
        <f>M179/M$211</f>
        <v>0</v>
      </c>
      <c r="N391" s="137">
        <f>N179/N$211</f>
        <v>0</v>
      </c>
      <c r="O391" s="137">
        <f>O179/O$211</f>
        <v>3.23367884751363e-5</v>
      </c>
      <c r="P391" s="137">
        <f>P179/P$211</f>
        <v>6.89340944527011e-5</v>
      </c>
      <c r="Q391" s="137">
        <f>Q179/Q$211</f>
        <v>0.000726810383309636</v>
      </c>
      <c r="R391" s="137">
        <f>R179/R$211</f>
        <v>0.000298381518101463</v>
      </c>
      <c r="S391" s="137">
        <f>S179/S$211</f>
        <v>0.00021470171025743</v>
      </c>
      <c r="T391" s="137">
        <f>T179/T$211</f>
        <v>0.00640705338756401</v>
      </c>
      <c r="U391" s="137">
        <f>U179/U$211</f>
        <v>0.000515641775897928</v>
      </c>
      <c r="V391" s="137">
        <f>V179/V$211</f>
        <v>0.000869758559887518</v>
      </c>
      <c r="W391" s="107"/>
      <c r="X391" s="106">
        <f>X179/X$211</f>
        <v>0</v>
      </c>
      <c r="Y391" s="106">
        <f>Y179/Y$211</f>
        <v>0.00137830687555109</v>
      </c>
      <c r="Z391" s="106">
        <f>Z179/Z$211</f>
        <v>0.000307797308521701</v>
      </c>
      <c r="AA391" s="107"/>
      <c r="AB391" s="106"/>
      <c r="AC391" s="107">
        <f>AC179/AC$211</f>
        <v>0.00157102112251483</v>
      </c>
      <c r="AD391" s="106">
        <f>AD179/AD$211</f>
        <v>0.000139889885319225</v>
      </c>
    </row>
    <row r="392" spans="1:30">
      <c r="A392" s="141" t="s">
        <v>349</v>
      </c>
      <c r="B392" s="146" t="e">
        <f>#REF!/B180-1</f>
        <v>#REF!</v>
      </c>
      <c r="C392" s="106">
        <f>C180/C$211</f>
        <v>0</v>
      </c>
      <c r="D392" s="106">
        <f>D180/D$211</f>
        <v>0</v>
      </c>
      <c r="E392" s="106">
        <f>E180/E$211</f>
        <v>0</v>
      </c>
      <c r="F392" s="106">
        <f>F180/F$211</f>
        <v>0</v>
      </c>
      <c r="G392" s="106">
        <f>G180/G$211</f>
        <v>0</v>
      </c>
      <c r="H392" s="106">
        <f>H180/H$211</f>
        <v>0</v>
      </c>
      <c r="I392" s="137">
        <f>I180/I$211</f>
        <v>0</v>
      </c>
      <c r="J392" s="137">
        <f>J180/J$211</f>
        <v>0</v>
      </c>
      <c r="K392" s="137">
        <f>K180/K$211</f>
        <v>0</v>
      </c>
      <c r="L392" s="137">
        <f>L180/L$211</f>
        <v>0</v>
      </c>
      <c r="M392" s="137">
        <f>M180/M$211</f>
        <v>0</v>
      </c>
      <c r="N392" s="137">
        <f>N180/N$211</f>
        <v>0</v>
      </c>
      <c r="O392" s="137">
        <f>O180/O$211</f>
        <v>0</v>
      </c>
      <c r="P392" s="137">
        <f>P180/P$211</f>
        <v>0</v>
      </c>
      <c r="Q392" s="137">
        <f>Q180/Q$211</f>
        <v>0</v>
      </c>
      <c r="R392" s="137">
        <f>R180/R$211</f>
        <v>0</v>
      </c>
      <c r="S392" s="137">
        <f>S180/S$211</f>
        <v>0</v>
      </c>
      <c r="T392" s="137">
        <f>T180/T$211</f>
        <v>0</v>
      </c>
      <c r="U392" s="137">
        <f>U180/U$211</f>
        <v>0</v>
      </c>
      <c r="V392" s="137">
        <f>V180/V$211</f>
        <v>0</v>
      </c>
      <c r="W392" s="107"/>
      <c r="X392" s="106">
        <f>X180/X$211</f>
        <v>0</v>
      </c>
      <c r="Y392" s="106">
        <f>Y180/Y$211</f>
        <v>0</v>
      </c>
      <c r="Z392" s="106">
        <f>Z180/Z$211</f>
        <v>0</v>
      </c>
      <c r="AA392" s="107"/>
      <c r="AB392" s="106"/>
      <c r="AC392" s="107">
        <f>AC180/AC$211</f>
        <v>0</v>
      </c>
      <c r="AD392" s="106">
        <f>AD180/AD$211</f>
        <v>0</v>
      </c>
    </row>
    <row r="393" spans="1:30">
      <c r="A393" s="141" t="s">
        <v>350</v>
      </c>
      <c r="B393" s="146" t="e">
        <f>#REF!/B181-1</f>
        <v>#REF!</v>
      </c>
      <c r="C393" s="106">
        <f>C181/C$211</f>
        <v>0</v>
      </c>
      <c r="D393" s="106">
        <f>D181/D$211</f>
        <v>0</v>
      </c>
      <c r="E393" s="106">
        <f>E181/E$211</f>
        <v>0</v>
      </c>
      <c r="F393" s="106">
        <f>F181/F$211</f>
        <v>0</v>
      </c>
      <c r="G393" s="106">
        <f>G181/G$211</f>
        <v>0</v>
      </c>
      <c r="H393" s="106">
        <f>H181/H$211</f>
        <v>0</v>
      </c>
      <c r="I393" s="137">
        <f>I181/I$211</f>
        <v>0</v>
      </c>
      <c r="J393" s="137">
        <f>J181/J$211</f>
        <v>0</v>
      </c>
      <c r="K393" s="137">
        <f>K181/K$211</f>
        <v>0</v>
      </c>
      <c r="L393" s="137">
        <f>L181/L$211</f>
        <v>0</v>
      </c>
      <c r="M393" s="137">
        <f>M181/M$211</f>
        <v>0</v>
      </c>
      <c r="N393" s="137">
        <f>N181/N$211</f>
        <v>0</v>
      </c>
      <c r="O393" s="137">
        <f>O181/O$211</f>
        <v>0</v>
      </c>
      <c r="P393" s="137">
        <f>P181/P$211</f>
        <v>0</v>
      </c>
      <c r="Q393" s="137">
        <f>Q181/Q$211</f>
        <v>0</v>
      </c>
      <c r="R393" s="137">
        <f>R181/R$211</f>
        <v>0</v>
      </c>
      <c r="S393" s="137">
        <f>S181/S$211</f>
        <v>0</v>
      </c>
      <c r="T393" s="137">
        <f>T181/T$211</f>
        <v>0</v>
      </c>
      <c r="U393" s="137">
        <f>U181/U$211</f>
        <v>0</v>
      </c>
      <c r="V393" s="137">
        <f>V181/V$211</f>
        <v>0</v>
      </c>
      <c r="W393" s="107"/>
      <c r="X393" s="106">
        <f>X181/X$211</f>
        <v>0</v>
      </c>
      <c r="Y393" s="106">
        <f>Y181/Y$211</f>
        <v>0</v>
      </c>
      <c r="Z393" s="106">
        <f>Z181/Z$211</f>
        <v>0</v>
      </c>
      <c r="AA393" s="107"/>
      <c r="AB393" s="106"/>
      <c r="AC393" s="107">
        <f>AC181/AC$211</f>
        <v>0</v>
      </c>
      <c r="AD393" s="106">
        <f>AD181/AD$211</f>
        <v>0</v>
      </c>
    </row>
    <row r="394" spans="1:30">
      <c r="A394" s="141" t="s">
        <v>351</v>
      </c>
      <c r="B394" s="146" t="e">
        <f>#REF!/B182-1</f>
        <v>#REF!</v>
      </c>
      <c r="C394" s="106">
        <f>C182/C$211</f>
        <v>0</v>
      </c>
      <c r="D394" s="106">
        <f>D182/D$211</f>
        <v>0</v>
      </c>
      <c r="E394" s="106">
        <f>E182/E$211</f>
        <v>0</v>
      </c>
      <c r="F394" s="106">
        <f>F182/F$211</f>
        <v>0</v>
      </c>
      <c r="G394" s="106">
        <f>G182/G$211</f>
        <v>0</v>
      </c>
      <c r="H394" s="106">
        <f>H182/H$211</f>
        <v>0</v>
      </c>
      <c r="I394" s="137">
        <f>I182/I$211</f>
        <v>0</v>
      </c>
      <c r="J394" s="137">
        <f>J182/J$211</f>
        <v>0</v>
      </c>
      <c r="K394" s="137">
        <f>K182/K$211</f>
        <v>0</v>
      </c>
      <c r="L394" s="137">
        <f>L182/L$211</f>
        <v>0</v>
      </c>
      <c r="M394" s="137">
        <f>M182/M$211</f>
        <v>0</v>
      </c>
      <c r="N394" s="137">
        <f>N182/N$211</f>
        <v>0</v>
      </c>
      <c r="O394" s="137">
        <f>O182/O$211</f>
        <v>0</v>
      </c>
      <c r="P394" s="137">
        <f>P182/P$211</f>
        <v>0</v>
      </c>
      <c r="Q394" s="137">
        <f>Q182/Q$211</f>
        <v>0</v>
      </c>
      <c r="R394" s="137">
        <f>R182/R$211</f>
        <v>0</v>
      </c>
      <c r="S394" s="137">
        <f>S182/S$211</f>
        <v>0</v>
      </c>
      <c r="T394" s="137">
        <f>T182/T$211</f>
        <v>0</v>
      </c>
      <c r="U394" s="137">
        <f>U182/U$211</f>
        <v>0</v>
      </c>
      <c r="V394" s="137">
        <f>V182/V$211</f>
        <v>0</v>
      </c>
      <c r="W394" s="107"/>
      <c r="X394" s="106">
        <f>X182/X$211</f>
        <v>0</v>
      </c>
      <c r="Y394" s="106">
        <f>Y182/Y$211</f>
        <v>0</v>
      </c>
      <c r="Z394" s="106">
        <f>Z182/Z$211</f>
        <v>0</v>
      </c>
      <c r="AA394" s="107"/>
      <c r="AB394" s="106"/>
      <c r="AC394" s="107">
        <f>AC182/AC$211</f>
        <v>0</v>
      </c>
      <c r="AD394" s="106">
        <f>AD182/AD$211</f>
        <v>0</v>
      </c>
    </row>
    <row r="395" spans="1:30">
      <c r="A395" s="141" t="s">
        <v>352</v>
      </c>
      <c r="B395" s="146" t="e">
        <f>#REF!/B183-1</f>
        <v>#REF!</v>
      </c>
      <c r="C395" s="106">
        <f>C183/C$211</f>
        <v>6.42113374136151e-5</v>
      </c>
      <c r="D395" s="106">
        <f>D183/D$211</f>
        <v>1.19345008044056e-5</v>
      </c>
      <c r="E395" s="106">
        <f>E183/E$211</f>
        <v>0</v>
      </c>
      <c r="F395" s="106">
        <f>F183/F$211</f>
        <v>0</v>
      </c>
      <c r="G395" s="106">
        <f>G183/G$211</f>
        <v>0.000593937631487859</v>
      </c>
      <c r="H395" s="106">
        <f>H183/H$211</f>
        <v>0</v>
      </c>
      <c r="I395" s="137">
        <f>I183/I$211</f>
        <v>0</v>
      </c>
      <c r="J395" s="137">
        <f>J183/J$211</f>
        <v>0</v>
      </c>
      <c r="K395" s="137">
        <f>K183/K$211</f>
        <v>0</v>
      </c>
      <c r="L395" s="137">
        <f>L183/L$211</f>
        <v>0</v>
      </c>
      <c r="M395" s="137">
        <f>M183/M$211</f>
        <v>0</v>
      </c>
      <c r="N395" s="137">
        <f>N183/N$211</f>
        <v>0</v>
      </c>
      <c r="O395" s="137">
        <f>O183/O$211</f>
        <v>0</v>
      </c>
      <c r="P395" s="137">
        <f>P183/P$211</f>
        <v>0</v>
      </c>
      <c r="Q395" s="137">
        <f>Q183/Q$211</f>
        <v>0</v>
      </c>
      <c r="R395" s="137">
        <f>R183/R$211</f>
        <v>0</v>
      </c>
      <c r="S395" s="137">
        <f>S183/S$211</f>
        <v>0</v>
      </c>
      <c r="T395" s="137">
        <f>T183/T$211</f>
        <v>0</v>
      </c>
      <c r="U395" s="137">
        <f>U183/U$211</f>
        <v>0</v>
      </c>
      <c r="V395" s="137">
        <f>V183/V$211</f>
        <v>0</v>
      </c>
      <c r="W395" s="107"/>
      <c r="X395" s="106">
        <f>X183/X$211</f>
        <v>0</v>
      </c>
      <c r="Y395" s="106">
        <f>Y183/Y$211</f>
        <v>0</v>
      </c>
      <c r="Z395" s="106">
        <f>Z183/Z$211</f>
        <v>0</v>
      </c>
      <c r="AA395" s="107"/>
      <c r="AB395" s="106"/>
      <c r="AC395" s="107">
        <f>AC183/AC$211</f>
        <v>0.000107364140294034</v>
      </c>
      <c r="AD395" s="106">
        <f>AD183/AD$211</f>
        <v>4.90850621327167e-5</v>
      </c>
    </row>
    <row r="396" spans="1:30">
      <c r="A396" s="141" t="s">
        <v>353</v>
      </c>
      <c r="B396" s="146" t="e">
        <f>#REF!/B184-1</f>
        <v>#REF!</v>
      </c>
      <c r="C396" s="106">
        <f>C184/C$211</f>
        <v>0.00843038136438969</v>
      </c>
      <c r="D396" s="106">
        <f>D184/D$211</f>
        <v>0</v>
      </c>
      <c r="E396" s="106">
        <f>E184/E$211</f>
        <v>0</v>
      </c>
      <c r="F396" s="106">
        <f>F184/F$211</f>
        <v>0</v>
      </c>
      <c r="G396" s="106">
        <f>G184/G$211</f>
        <v>0</v>
      </c>
      <c r="H396" s="106">
        <f>H184/H$211</f>
        <v>0</v>
      </c>
      <c r="I396" s="137">
        <f>I184/I$211</f>
        <v>0</v>
      </c>
      <c r="J396" s="137">
        <f>J184/J$211</f>
        <v>0</v>
      </c>
      <c r="K396" s="137">
        <f>K184/K$211</f>
        <v>0</v>
      </c>
      <c r="L396" s="137">
        <f>L184/L$211</f>
        <v>0</v>
      </c>
      <c r="M396" s="137">
        <f>M184/M$211</f>
        <v>0.0403891146490492</v>
      </c>
      <c r="N396" s="137">
        <f>N184/N$211</f>
        <v>0</v>
      </c>
      <c r="O396" s="137">
        <f>O184/O$211</f>
        <v>0</v>
      </c>
      <c r="P396" s="137">
        <f>P184/P$211</f>
        <v>0</v>
      </c>
      <c r="Q396" s="137">
        <f>Q184/Q$211</f>
        <v>0</v>
      </c>
      <c r="R396" s="137">
        <f>R184/R$211</f>
        <v>0</v>
      </c>
      <c r="S396" s="137">
        <f>S184/S$211</f>
        <v>0</v>
      </c>
      <c r="T396" s="137">
        <f>T184/T$211</f>
        <v>0</v>
      </c>
      <c r="U396" s="137">
        <f>U184/U$211</f>
        <v>0</v>
      </c>
      <c r="V396" s="137">
        <f>V184/V$211</f>
        <v>0</v>
      </c>
      <c r="W396" s="107"/>
      <c r="X396" s="106">
        <f>X184/X$211</f>
        <v>0</v>
      </c>
      <c r="Y396" s="106">
        <f>Y184/Y$211</f>
        <v>0</v>
      </c>
      <c r="Z396" s="106">
        <f>Z184/Z$211</f>
        <v>0</v>
      </c>
      <c r="AA396" s="107"/>
      <c r="AB396" s="106"/>
      <c r="AC396" s="107">
        <f>AC184/AC$211</f>
        <v>0</v>
      </c>
      <c r="AD396" s="106">
        <f>AD184/AD$211</f>
        <v>0</v>
      </c>
    </row>
    <row r="397" spans="1:30">
      <c r="A397" s="141" t="s">
        <v>354</v>
      </c>
      <c r="B397" s="146" t="e">
        <f>#REF!/B185-1</f>
        <v>#REF!</v>
      </c>
      <c r="C397" s="106">
        <f>C185/C$211</f>
        <v>0</v>
      </c>
      <c r="D397" s="106">
        <f>D185/D$211</f>
        <v>0</v>
      </c>
      <c r="E397" s="106">
        <f>E185/E$211</f>
        <v>0</v>
      </c>
      <c r="F397" s="106">
        <f>F185/F$211</f>
        <v>0</v>
      </c>
      <c r="G397" s="106">
        <f>G185/G$211</f>
        <v>0</v>
      </c>
      <c r="H397" s="106">
        <f>H185/H$211</f>
        <v>0</v>
      </c>
      <c r="I397" s="137">
        <f>I185/I$211</f>
        <v>0</v>
      </c>
      <c r="J397" s="137">
        <f>J185/J$211</f>
        <v>0</v>
      </c>
      <c r="K397" s="137">
        <f>K185/K$211</f>
        <v>0</v>
      </c>
      <c r="L397" s="137">
        <f>L185/L$211</f>
        <v>0</v>
      </c>
      <c r="M397" s="137">
        <f>M185/M$211</f>
        <v>0</v>
      </c>
      <c r="N397" s="137">
        <f>N185/N$211</f>
        <v>0</v>
      </c>
      <c r="O397" s="137">
        <f>O185/O$211</f>
        <v>0</v>
      </c>
      <c r="P397" s="137">
        <f>P185/P$211</f>
        <v>0</v>
      </c>
      <c r="Q397" s="137">
        <f>Q185/Q$211</f>
        <v>0</v>
      </c>
      <c r="R397" s="137">
        <f>R185/R$211</f>
        <v>0</v>
      </c>
      <c r="S397" s="137">
        <f>S185/S$211</f>
        <v>0</v>
      </c>
      <c r="T397" s="137">
        <f>T185/T$211</f>
        <v>0</v>
      </c>
      <c r="U397" s="137">
        <f>U185/U$211</f>
        <v>0</v>
      </c>
      <c r="V397" s="137">
        <f>V185/V$211</f>
        <v>0</v>
      </c>
      <c r="W397" s="107"/>
      <c r="X397" s="106">
        <f>X185/X$211</f>
        <v>0</v>
      </c>
      <c r="Y397" s="106">
        <f>Y185/Y$211</f>
        <v>0</v>
      </c>
      <c r="Z397" s="106">
        <f>Z185/Z$211</f>
        <v>0</v>
      </c>
      <c r="AA397" s="107"/>
      <c r="AB397" s="106"/>
      <c r="AC397" s="107">
        <f>AC185/AC$211</f>
        <v>0</v>
      </c>
      <c r="AD397" s="106">
        <f>AD185/AD$211</f>
        <v>0</v>
      </c>
    </row>
    <row r="398" spans="1:30">
      <c r="A398" s="141" t="s">
        <v>355</v>
      </c>
      <c r="B398" s="146" t="e">
        <f>#REF!/B186-1</f>
        <v>#REF!</v>
      </c>
      <c r="C398" s="106">
        <f>C186/C$211</f>
        <v>0</v>
      </c>
      <c r="D398" s="106">
        <f>D186/D$211</f>
        <v>7.91767634304539e-5</v>
      </c>
      <c r="E398" s="106">
        <f>E186/E$211</f>
        <v>0</v>
      </c>
      <c r="F398" s="106">
        <f>F186/F$211</f>
        <v>0</v>
      </c>
      <c r="G398" s="106">
        <f>G186/G$211</f>
        <v>0</v>
      </c>
      <c r="H398" s="106">
        <f>H186/H$211</f>
        <v>0</v>
      </c>
      <c r="I398" s="137">
        <f>I186/I$211</f>
        <v>0</v>
      </c>
      <c r="J398" s="137">
        <f>J186/J$211</f>
        <v>0</v>
      </c>
      <c r="K398" s="137">
        <f>K186/K$211</f>
        <v>0</v>
      </c>
      <c r="L398" s="137">
        <f>L186/L$211</f>
        <v>0</v>
      </c>
      <c r="M398" s="137">
        <f>M186/M$211</f>
        <v>0</v>
      </c>
      <c r="N398" s="137">
        <f>N186/N$211</f>
        <v>0</v>
      </c>
      <c r="O398" s="137">
        <f>O186/O$211</f>
        <v>0</v>
      </c>
      <c r="P398" s="137">
        <f>P186/P$211</f>
        <v>0</v>
      </c>
      <c r="Q398" s="137">
        <f>Q186/Q$211</f>
        <v>0</v>
      </c>
      <c r="R398" s="137">
        <f>R186/R$211</f>
        <v>0</v>
      </c>
      <c r="S398" s="137">
        <f>S186/S$211</f>
        <v>0</v>
      </c>
      <c r="T398" s="137">
        <f>T186/T$211</f>
        <v>0</v>
      </c>
      <c r="U398" s="137">
        <f>U186/U$211</f>
        <v>0</v>
      </c>
      <c r="V398" s="137">
        <f>V186/V$211</f>
        <v>0</v>
      </c>
      <c r="W398" s="107"/>
      <c r="X398" s="106">
        <f>X186/X$211</f>
        <v>0</v>
      </c>
      <c r="Y398" s="106">
        <f>Y186/Y$211</f>
        <v>0</v>
      </c>
      <c r="Z398" s="106">
        <f>Z186/Z$211</f>
        <v>0.0032938441619939</v>
      </c>
      <c r="AA398" s="107"/>
      <c r="AB398" s="106"/>
      <c r="AC398" s="107">
        <f>AC186/AC$211</f>
        <v>0</v>
      </c>
      <c r="AD398" s="106">
        <f>AD186/AD$211</f>
        <v>0</v>
      </c>
    </row>
    <row r="399" spans="1:30">
      <c r="A399" s="141" t="s">
        <v>356</v>
      </c>
      <c r="B399" s="146" t="e">
        <f>#REF!/B187-1</f>
        <v>#REF!</v>
      </c>
      <c r="C399" s="106">
        <f>C187/C$211</f>
        <v>0.00636981638798321</v>
      </c>
      <c r="D399" s="106">
        <f>D187/D$211</f>
        <v>0.00678837335305677</v>
      </c>
      <c r="E399" s="106">
        <f>E187/E$211</f>
        <v>0</v>
      </c>
      <c r="F399" s="106">
        <f>F187/F$211</f>
        <v>0</v>
      </c>
      <c r="G399" s="106">
        <f>G187/G$211</f>
        <v>0.0151234877586681</v>
      </c>
      <c r="H399" s="106">
        <f>H187/H$211</f>
        <v>0.0149284462594499</v>
      </c>
      <c r="I399" s="137">
        <f>I187/I$211</f>
        <v>0.00866852544382237</v>
      </c>
      <c r="J399" s="137">
        <f>J187/J$211</f>
        <v>0.0132844962846485</v>
      </c>
      <c r="K399" s="137">
        <f>K187/K$211</f>
        <v>0.00762313900744386</v>
      </c>
      <c r="L399" s="137">
        <f>L187/L$211</f>
        <v>0.00676468526711986</v>
      </c>
      <c r="M399" s="137">
        <f>M187/M$211</f>
        <v>0.00725209318126841</v>
      </c>
      <c r="N399" s="137">
        <f>N187/N$211</f>
        <v>0.00853603371916997</v>
      </c>
      <c r="O399" s="137">
        <f>O187/O$211</f>
        <v>0</v>
      </c>
      <c r="P399" s="137">
        <f>P187/P$211</f>
        <v>0.00813643542344449</v>
      </c>
      <c r="Q399" s="137">
        <f>Q187/Q$211</f>
        <v>0.00781709536563204</v>
      </c>
      <c r="R399" s="137">
        <f>R187/R$211</f>
        <v>0.00499138004685392</v>
      </c>
      <c r="S399" s="137">
        <f>S187/S$211</f>
        <v>0.0124536493939606</v>
      </c>
      <c r="T399" s="137">
        <f>T187/T$211</f>
        <v>0.00870316718438784</v>
      </c>
      <c r="U399" s="137">
        <f>U187/U$211</f>
        <v>0.0100952458086715</v>
      </c>
      <c r="V399" s="137">
        <f>V187/V$211</f>
        <v>0.0115675128854614</v>
      </c>
      <c r="W399" s="107"/>
      <c r="X399" s="106">
        <f>X187/X$211</f>
        <v>0</v>
      </c>
      <c r="Y399" s="106">
        <f>Y187/Y$211</f>
        <v>0.0110380472131989</v>
      </c>
      <c r="Z399" s="106">
        <f>Z187/Z$211</f>
        <v>0.0143713995125057</v>
      </c>
      <c r="AA399" s="107"/>
      <c r="AB399" s="106"/>
      <c r="AC399" s="107">
        <f>AC187/AC$211</f>
        <v>0.0044317596748678</v>
      </c>
      <c r="AD399" s="106">
        <f>AD187/AD$211</f>
        <v>0.00298425231566945</v>
      </c>
    </row>
    <row r="400" spans="1:30">
      <c r="A400" s="141" t="s">
        <v>357</v>
      </c>
      <c r="B400" s="146" t="e">
        <f>#REF!/B188-1</f>
        <v>#REF!</v>
      </c>
      <c r="C400" s="106">
        <f>C188/C$211</f>
        <v>0</v>
      </c>
      <c r="D400" s="106">
        <f>D188/D$211</f>
        <v>0</v>
      </c>
      <c r="E400" s="106">
        <f>E188/E$211</f>
        <v>0</v>
      </c>
      <c r="F400" s="106">
        <f>F188/F$211</f>
        <v>0</v>
      </c>
      <c r="G400" s="106">
        <f>G188/G$211</f>
        <v>0</v>
      </c>
      <c r="H400" s="106">
        <f>H188/H$211</f>
        <v>0</v>
      </c>
      <c r="I400" s="137">
        <f>I188/I$211</f>
        <v>0</v>
      </c>
      <c r="J400" s="137">
        <f>J188/J$211</f>
        <v>0</v>
      </c>
      <c r="K400" s="137">
        <f>K188/K$211</f>
        <v>0</v>
      </c>
      <c r="L400" s="137">
        <f>L188/L$211</f>
        <v>0</v>
      </c>
      <c r="M400" s="137">
        <f>M188/M$211</f>
        <v>0</v>
      </c>
      <c r="N400" s="137">
        <f>N188/N$211</f>
        <v>0</v>
      </c>
      <c r="O400" s="137">
        <f>O188/O$211</f>
        <v>0</v>
      </c>
      <c r="P400" s="137">
        <f>P188/P$211</f>
        <v>0</v>
      </c>
      <c r="Q400" s="137">
        <f>Q188/Q$211</f>
        <v>0</v>
      </c>
      <c r="R400" s="137">
        <f>R188/R$211</f>
        <v>0</v>
      </c>
      <c r="S400" s="137">
        <f>S188/S$211</f>
        <v>0</v>
      </c>
      <c r="T400" s="137">
        <f>T188/T$211</f>
        <v>0</v>
      </c>
      <c r="U400" s="137">
        <f>U188/U$211</f>
        <v>0</v>
      </c>
      <c r="V400" s="137">
        <f>V188/V$211</f>
        <v>0</v>
      </c>
      <c r="W400" s="107"/>
      <c r="X400" s="106">
        <f>X188/X$211</f>
        <v>0</v>
      </c>
      <c r="Y400" s="106">
        <f>Y188/Y$211</f>
        <v>0</v>
      </c>
      <c r="Z400" s="106">
        <f>Z188/Z$211</f>
        <v>0</v>
      </c>
      <c r="AA400" s="107"/>
      <c r="AB400" s="106"/>
      <c r="AC400" s="107">
        <f>AC188/AC$211</f>
        <v>0</v>
      </c>
      <c r="AD400" s="106">
        <f>AD188/AD$211</f>
        <v>0</v>
      </c>
    </row>
    <row r="401" spans="1:30">
      <c r="A401" s="141" t="s">
        <v>358</v>
      </c>
      <c r="B401" s="146" t="e">
        <f>#REF!/B189-1</f>
        <v>#REF!</v>
      </c>
      <c r="C401" s="106">
        <f>C189/C$211</f>
        <v>0</v>
      </c>
      <c r="D401" s="106">
        <f>D189/D$211</f>
        <v>0</v>
      </c>
      <c r="E401" s="106">
        <f>E189/E$211</f>
        <v>0</v>
      </c>
      <c r="F401" s="106">
        <f>F189/F$211</f>
        <v>0</v>
      </c>
      <c r="G401" s="106">
        <f>G189/G$211</f>
        <v>0</v>
      </c>
      <c r="H401" s="106">
        <f>H189/H$211</f>
        <v>0</v>
      </c>
      <c r="I401" s="137">
        <f>I189/I$211</f>
        <v>0</v>
      </c>
      <c r="J401" s="137">
        <f>J189/J$211</f>
        <v>0</v>
      </c>
      <c r="K401" s="137">
        <f>K189/K$211</f>
        <v>0</v>
      </c>
      <c r="L401" s="137">
        <f>L189/L$211</f>
        <v>0</v>
      </c>
      <c r="M401" s="137">
        <f>M189/M$211</f>
        <v>0</v>
      </c>
      <c r="N401" s="137">
        <f>N189/N$211</f>
        <v>0</v>
      </c>
      <c r="O401" s="137">
        <f>O189/O$211</f>
        <v>0</v>
      </c>
      <c r="P401" s="137">
        <f>P189/P$211</f>
        <v>0</v>
      </c>
      <c r="Q401" s="137">
        <f>Q189/Q$211</f>
        <v>0</v>
      </c>
      <c r="R401" s="137">
        <f>R189/R$211</f>
        <v>0</v>
      </c>
      <c r="S401" s="137">
        <f>S189/S$211</f>
        <v>0</v>
      </c>
      <c r="T401" s="137">
        <f>T189/T$211</f>
        <v>0</v>
      </c>
      <c r="U401" s="137">
        <f>U189/U$211</f>
        <v>0</v>
      </c>
      <c r="V401" s="137">
        <f>V189/V$211</f>
        <v>0</v>
      </c>
      <c r="W401" s="107"/>
      <c r="X401" s="106">
        <f>X189/X$211</f>
        <v>0</v>
      </c>
      <c r="Y401" s="106">
        <f>Y189/Y$211</f>
        <v>0</v>
      </c>
      <c r="Z401" s="106">
        <f>Z189/Z$211</f>
        <v>0</v>
      </c>
      <c r="AA401" s="107"/>
      <c r="AB401" s="106"/>
      <c r="AC401" s="107">
        <f>AC189/AC$211</f>
        <v>0</v>
      </c>
      <c r="AD401" s="106">
        <f>AD189/AD$211</f>
        <v>0</v>
      </c>
    </row>
    <row r="402" spans="1:30">
      <c r="A402" s="141" t="s">
        <v>359</v>
      </c>
      <c r="B402" s="146" t="e">
        <f>#REF!/B190-1</f>
        <v>#REF!</v>
      </c>
      <c r="C402" s="106">
        <f>C190/C$211</f>
        <v>0</v>
      </c>
      <c r="D402" s="106">
        <f>D190/D$211</f>
        <v>0</v>
      </c>
      <c r="E402" s="106">
        <f>E190/E$211</f>
        <v>0</v>
      </c>
      <c r="F402" s="106">
        <f>F190/F$211</f>
        <v>0</v>
      </c>
      <c r="G402" s="106">
        <f>G190/G$211</f>
        <v>0</v>
      </c>
      <c r="H402" s="106">
        <f>H190/H$211</f>
        <v>0</v>
      </c>
      <c r="I402" s="137">
        <f>I190/I$211</f>
        <v>0</v>
      </c>
      <c r="J402" s="137">
        <f>J190/J$211</f>
        <v>0</v>
      </c>
      <c r="K402" s="137">
        <f>K190/K$211</f>
        <v>0</v>
      </c>
      <c r="L402" s="137">
        <f>L190/L$211</f>
        <v>0</v>
      </c>
      <c r="M402" s="137">
        <f>M190/M$211</f>
        <v>0</v>
      </c>
      <c r="N402" s="137">
        <f>N190/N$211</f>
        <v>0</v>
      </c>
      <c r="O402" s="137">
        <f>O190/O$211</f>
        <v>0</v>
      </c>
      <c r="P402" s="137">
        <f>P190/P$211</f>
        <v>0</v>
      </c>
      <c r="Q402" s="137">
        <f>Q190/Q$211</f>
        <v>0</v>
      </c>
      <c r="R402" s="137">
        <f>R190/R$211</f>
        <v>0</v>
      </c>
      <c r="S402" s="137">
        <f>S190/S$211</f>
        <v>0</v>
      </c>
      <c r="T402" s="137">
        <f>T190/T$211</f>
        <v>0</v>
      </c>
      <c r="U402" s="137">
        <f>U190/U$211</f>
        <v>0</v>
      </c>
      <c r="V402" s="137">
        <f>V190/V$211</f>
        <v>0</v>
      </c>
      <c r="W402" s="107"/>
      <c r="X402" s="106">
        <f>X190/X$211</f>
        <v>0</v>
      </c>
      <c r="Y402" s="106">
        <f>Y190/Y$211</f>
        <v>0</v>
      </c>
      <c r="Z402" s="106">
        <f>Z190/Z$211</f>
        <v>0</v>
      </c>
      <c r="AA402" s="107"/>
      <c r="AB402" s="106"/>
      <c r="AC402" s="107">
        <f>AC190/AC$211</f>
        <v>0</v>
      </c>
      <c r="AD402" s="106">
        <f>AD190/AD$211</f>
        <v>0</v>
      </c>
    </row>
    <row r="403" spans="1:30">
      <c r="A403" s="141" t="s">
        <v>360</v>
      </c>
      <c r="B403" s="146" t="e">
        <f>#REF!/B191-1</f>
        <v>#REF!</v>
      </c>
      <c r="C403" s="106">
        <f>C191/C$211</f>
        <v>0</v>
      </c>
      <c r="D403" s="106">
        <f>D191/D$211</f>
        <v>0</v>
      </c>
      <c r="E403" s="106">
        <f>E191/E$211</f>
        <v>0</v>
      </c>
      <c r="F403" s="106">
        <f>F191/F$211</f>
        <v>0</v>
      </c>
      <c r="G403" s="106">
        <f>G191/G$211</f>
        <v>0</v>
      </c>
      <c r="H403" s="106">
        <f>H191/H$211</f>
        <v>0</v>
      </c>
      <c r="I403" s="137">
        <f>I191/I$211</f>
        <v>0</v>
      </c>
      <c r="J403" s="137">
        <f>J191/J$211</f>
        <v>0</v>
      </c>
      <c r="K403" s="137">
        <f>K191/K$211</f>
        <v>0</v>
      </c>
      <c r="L403" s="137">
        <f>L191/L$211</f>
        <v>0</v>
      </c>
      <c r="M403" s="137">
        <f>M191/M$211</f>
        <v>0</v>
      </c>
      <c r="N403" s="137">
        <f>N191/N$211</f>
        <v>0</v>
      </c>
      <c r="O403" s="137">
        <f>O191/O$211</f>
        <v>0</v>
      </c>
      <c r="P403" s="137">
        <f>P191/P$211</f>
        <v>0</v>
      </c>
      <c r="Q403" s="137">
        <f>Q191/Q$211</f>
        <v>0</v>
      </c>
      <c r="R403" s="137">
        <f>R191/R$211</f>
        <v>0</v>
      </c>
      <c r="S403" s="137">
        <f>S191/S$211</f>
        <v>0</v>
      </c>
      <c r="T403" s="137">
        <f>T191/T$211</f>
        <v>0</v>
      </c>
      <c r="U403" s="137">
        <f>U191/U$211</f>
        <v>0</v>
      </c>
      <c r="V403" s="137">
        <f>V191/V$211</f>
        <v>0</v>
      </c>
      <c r="W403" s="107"/>
      <c r="X403" s="106">
        <f>X191/X$211</f>
        <v>0</v>
      </c>
      <c r="Y403" s="106">
        <f>Y191/Y$211</f>
        <v>0</v>
      </c>
      <c r="Z403" s="106">
        <f>Z191/Z$211</f>
        <v>0</v>
      </c>
      <c r="AA403" s="107"/>
      <c r="AB403" s="106"/>
      <c r="AC403" s="107">
        <f>AC191/AC$211</f>
        <v>0</v>
      </c>
      <c r="AD403" s="106">
        <f>AD191/AD$211</f>
        <v>0</v>
      </c>
    </row>
    <row r="404" spans="1:30">
      <c r="A404" s="141" t="s">
        <v>361</v>
      </c>
      <c r="B404" s="146" t="e">
        <f>#REF!/B192-1</f>
        <v>#REF!</v>
      </c>
      <c r="C404" s="106">
        <f>C192/C$211</f>
        <v>0</v>
      </c>
      <c r="D404" s="106">
        <f>D192/D$211</f>
        <v>0</v>
      </c>
      <c r="E404" s="106">
        <f>E192/E$211</f>
        <v>0</v>
      </c>
      <c r="F404" s="106">
        <f>F192/F$211</f>
        <v>0</v>
      </c>
      <c r="G404" s="106">
        <f>G192/G$211</f>
        <v>0</v>
      </c>
      <c r="H404" s="106">
        <f>H192/H$211</f>
        <v>0</v>
      </c>
      <c r="I404" s="137">
        <f>I192/I$211</f>
        <v>0</v>
      </c>
      <c r="J404" s="137">
        <f>J192/J$211</f>
        <v>0</v>
      </c>
      <c r="K404" s="137">
        <f>K192/K$211</f>
        <v>0</v>
      </c>
      <c r="L404" s="137">
        <f>L192/L$211</f>
        <v>0</v>
      </c>
      <c r="M404" s="137">
        <f>M192/M$211</f>
        <v>0</v>
      </c>
      <c r="N404" s="137">
        <f>N192/N$211</f>
        <v>0</v>
      </c>
      <c r="O404" s="137">
        <f>O192/O$211</f>
        <v>0</v>
      </c>
      <c r="P404" s="137">
        <f>P192/P$211</f>
        <v>0</v>
      </c>
      <c r="Q404" s="137">
        <f>Q192/Q$211</f>
        <v>0</v>
      </c>
      <c r="R404" s="137">
        <f>R192/R$211</f>
        <v>0</v>
      </c>
      <c r="S404" s="137">
        <f>S192/S$211</f>
        <v>0</v>
      </c>
      <c r="T404" s="137">
        <f>T192/T$211</f>
        <v>0</v>
      </c>
      <c r="U404" s="137">
        <f>U192/U$211</f>
        <v>0</v>
      </c>
      <c r="V404" s="137">
        <f>V192/V$211</f>
        <v>0</v>
      </c>
      <c r="W404" s="107"/>
      <c r="X404" s="106">
        <f>X192/X$211</f>
        <v>0</v>
      </c>
      <c r="Y404" s="106">
        <f>Y192/Y$211</f>
        <v>0</v>
      </c>
      <c r="Z404" s="106">
        <f>Z192/Z$211</f>
        <v>0</v>
      </c>
      <c r="AA404" s="107"/>
      <c r="AB404" s="106"/>
      <c r="AC404" s="107">
        <f>AC192/AC$211</f>
        <v>0</v>
      </c>
      <c r="AD404" s="106">
        <f>AD192/AD$211</f>
        <v>0</v>
      </c>
    </row>
    <row r="405" spans="1:30">
      <c r="A405" s="141" t="s">
        <v>362</v>
      </c>
      <c r="B405" s="146" t="e">
        <f>#REF!/B193-1</f>
        <v>#REF!</v>
      </c>
      <c r="C405" s="106">
        <f>C193/C$211</f>
        <v>0</v>
      </c>
      <c r="D405" s="106">
        <f>D193/D$211</f>
        <v>0</v>
      </c>
      <c r="E405" s="106">
        <f>E193/E$211</f>
        <v>0</v>
      </c>
      <c r="F405" s="106">
        <f>F193/F$211</f>
        <v>0</v>
      </c>
      <c r="G405" s="106">
        <f>G193/G$211</f>
        <v>0</v>
      </c>
      <c r="H405" s="106">
        <f>H193/H$211</f>
        <v>0</v>
      </c>
      <c r="I405" s="137">
        <f>I193/I$211</f>
        <v>0</v>
      </c>
      <c r="J405" s="137">
        <f>J193/J$211</f>
        <v>0</v>
      </c>
      <c r="K405" s="137">
        <f>K193/K$211</f>
        <v>0</v>
      </c>
      <c r="L405" s="137">
        <f>L193/L$211</f>
        <v>0</v>
      </c>
      <c r="M405" s="137">
        <f>M193/M$211</f>
        <v>0</v>
      </c>
      <c r="N405" s="137">
        <f>N193/N$211</f>
        <v>0</v>
      </c>
      <c r="O405" s="137">
        <f>O193/O$211</f>
        <v>0</v>
      </c>
      <c r="P405" s="137">
        <f>P193/P$211</f>
        <v>0</v>
      </c>
      <c r="Q405" s="137">
        <f>Q193/Q$211</f>
        <v>0</v>
      </c>
      <c r="R405" s="137">
        <f>R193/R$211</f>
        <v>0</v>
      </c>
      <c r="S405" s="137">
        <f>S193/S$211</f>
        <v>0</v>
      </c>
      <c r="T405" s="137">
        <f>T193/T$211</f>
        <v>0</v>
      </c>
      <c r="U405" s="137">
        <f>U193/U$211</f>
        <v>0</v>
      </c>
      <c r="V405" s="137">
        <f>V193/V$211</f>
        <v>0</v>
      </c>
      <c r="W405" s="107"/>
      <c r="X405" s="106">
        <f>X193/X$211</f>
        <v>0</v>
      </c>
      <c r="Y405" s="106">
        <f>Y193/Y$211</f>
        <v>0</v>
      </c>
      <c r="Z405" s="106">
        <f>Z193/Z$211</f>
        <v>0</v>
      </c>
      <c r="AA405" s="107"/>
      <c r="AB405" s="106"/>
      <c r="AC405" s="107">
        <f>AC193/AC$211</f>
        <v>0</v>
      </c>
      <c r="AD405" s="106">
        <f>AD193/AD$211</f>
        <v>0</v>
      </c>
    </row>
    <row r="406" spans="1:30">
      <c r="A406" s="141" t="s">
        <v>363</v>
      </c>
      <c r="B406" s="146" t="e">
        <f>#REF!/B194-1</f>
        <v>#REF!</v>
      </c>
      <c r="C406" s="106">
        <f>C194/C$211</f>
        <v>0</v>
      </c>
      <c r="D406" s="106">
        <f>D194/D$211</f>
        <v>0</v>
      </c>
      <c r="E406" s="106">
        <f>E194/E$211</f>
        <v>0</v>
      </c>
      <c r="F406" s="106">
        <f>F194/F$211</f>
        <v>0</v>
      </c>
      <c r="G406" s="106">
        <f>G194/G$211</f>
        <v>0</v>
      </c>
      <c r="H406" s="106">
        <f>H194/H$211</f>
        <v>0</v>
      </c>
      <c r="I406" s="137">
        <f>I194/I$211</f>
        <v>0</v>
      </c>
      <c r="J406" s="137">
        <f>J194/J$211</f>
        <v>0</v>
      </c>
      <c r="K406" s="137">
        <f>K194/K$211</f>
        <v>0</v>
      </c>
      <c r="L406" s="137">
        <f>L194/L$211</f>
        <v>0</v>
      </c>
      <c r="M406" s="137">
        <f>M194/M$211</f>
        <v>0</v>
      </c>
      <c r="N406" s="137">
        <f>N194/N$211</f>
        <v>0</v>
      </c>
      <c r="O406" s="137">
        <f>O194/O$211</f>
        <v>0</v>
      </c>
      <c r="P406" s="137">
        <f>P194/P$211</f>
        <v>0</v>
      </c>
      <c r="Q406" s="137">
        <f>Q194/Q$211</f>
        <v>0</v>
      </c>
      <c r="R406" s="137">
        <f>R194/R$211</f>
        <v>0</v>
      </c>
      <c r="S406" s="137">
        <f>S194/S$211</f>
        <v>0</v>
      </c>
      <c r="T406" s="137">
        <f>T194/T$211</f>
        <v>0</v>
      </c>
      <c r="U406" s="137">
        <f>U194/U$211</f>
        <v>0</v>
      </c>
      <c r="V406" s="137">
        <f>V194/V$211</f>
        <v>0</v>
      </c>
      <c r="W406" s="107"/>
      <c r="X406" s="106">
        <f>X194/X$211</f>
        <v>0</v>
      </c>
      <c r="Y406" s="106">
        <f>Y194/Y$211</f>
        <v>0</v>
      </c>
      <c r="Z406" s="106">
        <f>Z194/Z$211</f>
        <v>0</v>
      </c>
      <c r="AA406" s="107"/>
      <c r="AB406" s="106"/>
      <c r="AC406" s="107">
        <f>AC194/AC$211</f>
        <v>0</v>
      </c>
      <c r="AD406" s="106">
        <f>AD194/AD$211</f>
        <v>0</v>
      </c>
    </row>
    <row r="407" spans="1:30">
      <c r="A407" s="141" t="s">
        <v>364</v>
      </c>
      <c r="B407" s="146" t="e">
        <f>#REF!/B195-1</f>
        <v>#REF!</v>
      </c>
      <c r="C407" s="106">
        <f>C195/C$211</f>
        <v>0</v>
      </c>
      <c r="D407" s="106">
        <f>D195/D$211</f>
        <v>0</v>
      </c>
      <c r="E407" s="106">
        <f>E195/E$211</f>
        <v>0</v>
      </c>
      <c r="F407" s="106">
        <f>F195/F$211</f>
        <v>0</v>
      </c>
      <c r="G407" s="106">
        <f>G195/G$211</f>
        <v>0</v>
      </c>
      <c r="H407" s="106">
        <f>H195/H$211</f>
        <v>0</v>
      </c>
      <c r="I407" s="137">
        <f>I195/I$211</f>
        <v>0</v>
      </c>
      <c r="J407" s="137">
        <f>J195/J$211</f>
        <v>0</v>
      </c>
      <c r="K407" s="137">
        <f>K195/K$211</f>
        <v>0</v>
      </c>
      <c r="L407" s="137">
        <f>L195/L$211</f>
        <v>0</v>
      </c>
      <c r="M407" s="137">
        <f>M195/M$211</f>
        <v>0</v>
      </c>
      <c r="N407" s="137">
        <f>N195/N$211</f>
        <v>0</v>
      </c>
      <c r="O407" s="137">
        <f>O195/O$211</f>
        <v>0</v>
      </c>
      <c r="P407" s="137">
        <f>P195/P$211</f>
        <v>0</v>
      </c>
      <c r="Q407" s="137">
        <f>Q195/Q$211</f>
        <v>0</v>
      </c>
      <c r="R407" s="137">
        <f>R195/R$211</f>
        <v>0</v>
      </c>
      <c r="S407" s="137">
        <f>S195/S$211</f>
        <v>0</v>
      </c>
      <c r="T407" s="137">
        <f>T195/T$211</f>
        <v>0</v>
      </c>
      <c r="U407" s="137">
        <f>U195/U$211</f>
        <v>0</v>
      </c>
      <c r="V407" s="137">
        <f>V195/V$211</f>
        <v>0</v>
      </c>
      <c r="W407" s="107"/>
      <c r="X407" s="106">
        <f>X195/X$211</f>
        <v>0</v>
      </c>
      <c r="Y407" s="106">
        <f>Y195/Y$211</f>
        <v>0</v>
      </c>
      <c r="Z407" s="106">
        <f>Z195/Z$211</f>
        <v>0</v>
      </c>
      <c r="AA407" s="107"/>
      <c r="AB407" s="106"/>
      <c r="AC407" s="107">
        <f>AC195/AC$211</f>
        <v>0</v>
      </c>
      <c r="AD407" s="106">
        <f>AD195/AD$211</f>
        <v>0</v>
      </c>
    </row>
    <row r="408" spans="1:30">
      <c r="A408" s="141" t="s">
        <v>365</v>
      </c>
      <c r="B408" s="146" t="e">
        <f>#REF!/B196-1</f>
        <v>#REF!</v>
      </c>
      <c r="C408" s="106">
        <f>C196/C$211</f>
        <v>0</v>
      </c>
      <c r="D408" s="106">
        <f>D196/D$211</f>
        <v>0</v>
      </c>
      <c r="E408" s="106">
        <f>E196/E$211</f>
        <v>0</v>
      </c>
      <c r="F408" s="106">
        <f>F196/F$211</f>
        <v>0</v>
      </c>
      <c r="G408" s="106">
        <f>G196/G$211</f>
        <v>0</v>
      </c>
      <c r="H408" s="106">
        <f>H196/H$211</f>
        <v>0</v>
      </c>
      <c r="I408" s="137">
        <f>I196/I$211</f>
        <v>0</v>
      </c>
      <c r="J408" s="137">
        <f>J196/J$211</f>
        <v>0</v>
      </c>
      <c r="K408" s="137">
        <f>K196/K$211</f>
        <v>0</v>
      </c>
      <c r="L408" s="137">
        <f>L196/L$211</f>
        <v>0</v>
      </c>
      <c r="M408" s="137">
        <f>M196/M$211</f>
        <v>0</v>
      </c>
      <c r="N408" s="137">
        <f>N196/N$211</f>
        <v>0</v>
      </c>
      <c r="O408" s="137">
        <f>O196/O$211</f>
        <v>0</v>
      </c>
      <c r="P408" s="137">
        <f>P196/P$211</f>
        <v>0</v>
      </c>
      <c r="Q408" s="137">
        <f>Q196/Q$211</f>
        <v>0</v>
      </c>
      <c r="R408" s="137">
        <f>R196/R$211</f>
        <v>0</v>
      </c>
      <c r="S408" s="137">
        <f>S196/S$211</f>
        <v>0</v>
      </c>
      <c r="T408" s="137">
        <f>T196/T$211</f>
        <v>0</v>
      </c>
      <c r="U408" s="137">
        <f>U196/U$211</f>
        <v>0</v>
      </c>
      <c r="V408" s="137">
        <f>V196/V$211</f>
        <v>0</v>
      </c>
      <c r="W408" s="107"/>
      <c r="X408" s="106">
        <f>X196/X$211</f>
        <v>0</v>
      </c>
      <c r="Y408" s="106">
        <f>Y196/Y$211</f>
        <v>0</v>
      </c>
      <c r="Z408" s="106">
        <f>Z196/Z$211</f>
        <v>0</v>
      </c>
      <c r="AA408" s="107"/>
      <c r="AB408" s="106"/>
      <c r="AC408" s="107">
        <f>AC196/AC$211</f>
        <v>0</v>
      </c>
      <c r="AD408" s="106">
        <f>AD196/AD$211</f>
        <v>0</v>
      </c>
    </row>
    <row r="409" spans="1:30">
      <c r="A409" s="141" t="s">
        <v>366</v>
      </c>
      <c r="B409" s="146" t="e">
        <f>#REF!/B197-1</f>
        <v>#REF!</v>
      </c>
      <c r="C409" s="106">
        <f>C197/C$211</f>
        <v>0</v>
      </c>
      <c r="D409" s="106">
        <f>D197/D$211</f>
        <v>0</v>
      </c>
      <c r="E409" s="106">
        <f>E197/E$211</f>
        <v>0</v>
      </c>
      <c r="F409" s="106">
        <f>F197/F$211</f>
        <v>0</v>
      </c>
      <c r="G409" s="106">
        <f>G197/G$211</f>
        <v>0</v>
      </c>
      <c r="H409" s="106">
        <f>H197/H$211</f>
        <v>0</v>
      </c>
      <c r="I409" s="137">
        <f>I197/I$211</f>
        <v>0</v>
      </c>
      <c r="J409" s="137">
        <f>J197/J$211</f>
        <v>0</v>
      </c>
      <c r="K409" s="137">
        <f>K197/K$211</f>
        <v>0</v>
      </c>
      <c r="L409" s="137">
        <f>L197/L$211</f>
        <v>0</v>
      </c>
      <c r="M409" s="137">
        <f>M197/M$211</f>
        <v>0</v>
      </c>
      <c r="N409" s="137">
        <f>N197/N$211</f>
        <v>0</v>
      </c>
      <c r="O409" s="137">
        <f>O197/O$211</f>
        <v>0</v>
      </c>
      <c r="P409" s="137">
        <f>P197/P$211</f>
        <v>0</v>
      </c>
      <c r="Q409" s="137">
        <f>Q197/Q$211</f>
        <v>0</v>
      </c>
      <c r="R409" s="137">
        <f>R197/R$211</f>
        <v>0</v>
      </c>
      <c r="S409" s="137">
        <f>S197/S$211</f>
        <v>0</v>
      </c>
      <c r="T409" s="137">
        <f>T197/T$211</f>
        <v>0</v>
      </c>
      <c r="U409" s="137">
        <f>U197/U$211</f>
        <v>0</v>
      </c>
      <c r="V409" s="137">
        <f>V197/V$211</f>
        <v>0</v>
      </c>
      <c r="W409" s="107"/>
      <c r="X409" s="106">
        <f>X197/X$211</f>
        <v>0</v>
      </c>
      <c r="Y409" s="106">
        <f>Y197/Y$211</f>
        <v>0</v>
      </c>
      <c r="Z409" s="106">
        <f>Z197/Z$211</f>
        <v>0</v>
      </c>
      <c r="AA409" s="107"/>
      <c r="AB409" s="106"/>
      <c r="AC409" s="107">
        <f>AC197/AC$211</f>
        <v>0</v>
      </c>
      <c r="AD409" s="106">
        <f>AD197/AD$211</f>
        <v>0</v>
      </c>
    </row>
    <row r="410" spans="1:30">
      <c r="A410" s="141" t="s">
        <v>367</v>
      </c>
      <c r="B410" s="146" t="e">
        <f>#REF!/B198-1</f>
        <v>#REF!</v>
      </c>
      <c r="C410" s="106">
        <f>C198/C$211</f>
        <v>0</v>
      </c>
      <c r="D410" s="106">
        <f>D198/D$211</f>
        <v>0</v>
      </c>
      <c r="E410" s="106">
        <f>E198/E$211</f>
        <v>0</v>
      </c>
      <c r="F410" s="106">
        <f>F198/F$211</f>
        <v>0</v>
      </c>
      <c r="G410" s="106">
        <f>G198/G$211</f>
        <v>0</v>
      </c>
      <c r="H410" s="106">
        <f>H198/H$211</f>
        <v>0</v>
      </c>
      <c r="I410" s="137">
        <f>I198/I$211</f>
        <v>0</v>
      </c>
      <c r="J410" s="137">
        <f>J198/J$211</f>
        <v>0</v>
      </c>
      <c r="K410" s="137">
        <f>K198/K$211</f>
        <v>0</v>
      </c>
      <c r="L410" s="137">
        <f>L198/L$211</f>
        <v>0</v>
      </c>
      <c r="M410" s="137">
        <f>M198/M$211</f>
        <v>0</v>
      </c>
      <c r="N410" s="137">
        <f>N198/N$211</f>
        <v>0</v>
      </c>
      <c r="O410" s="137">
        <f>O198/O$211</f>
        <v>0</v>
      </c>
      <c r="P410" s="137">
        <f>P198/P$211</f>
        <v>0</v>
      </c>
      <c r="Q410" s="137">
        <f>Q198/Q$211</f>
        <v>0</v>
      </c>
      <c r="R410" s="137">
        <f>R198/R$211</f>
        <v>0</v>
      </c>
      <c r="S410" s="137">
        <f>S198/S$211</f>
        <v>0</v>
      </c>
      <c r="T410" s="137">
        <f>T198/T$211</f>
        <v>0</v>
      </c>
      <c r="U410" s="137">
        <f>U198/U$211</f>
        <v>0</v>
      </c>
      <c r="V410" s="137">
        <f>V198/V$211</f>
        <v>0</v>
      </c>
      <c r="W410" s="107"/>
      <c r="X410" s="106">
        <f>X198/X$211</f>
        <v>0</v>
      </c>
      <c r="Y410" s="106">
        <f>Y198/Y$211</f>
        <v>0</v>
      </c>
      <c r="Z410" s="106">
        <f>Z198/Z$211</f>
        <v>0</v>
      </c>
      <c r="AA410" s="107"/>
      <c r="AB410" s="106"/>
      <c r="AC410" s="107">
        <f>AC198/AC$211</f>
        <v>0</v>
      </c>
      <c r="AD410" s="106">
        <f>AD198/AD$211</f>
        <v>0</v>
      </c>
    </row>
    <row r="411" spans="1:30">
      <c r="A411" s="141" t="s">
        <v>368</v>
      </c>
      <c r="B411" s="146" t="e">
        <f>#REF!/B199-1</f>
        <v>#REF!</v>
      </c>
      <c r="C411" s="106">
        <f>C199/C$211</f>
        <v>0</v>
      </c>
      <c r="D411" s="106">
        <f>D199/D$211</f>
        <v>0</v>
      </c>
      <c r="E411" s="106">
        <f>E199/E$211</f>
        <v>0</v>
      </c>
      <c r="F411" s="106">
        <f>F199/F$211</f>
        <v>0</v>
      </c>
      <c r="G411" s="106">
        <f>G199/G$211</f>
        <v>0</v>
      </c>
      <c r="H411" s="106">
        <f>H199/H$211</f>
        <v>0</v>
      </c>
      <c r="I411" s="137">
        <f>I199/I$211</f>
        <v>0</v>
      </c>
      <c r="J411" s="137">
        <f>J199/J$211</f>
        <v>0</v>
      </c>
      <c r="K411" s="137">
        <f>K199/K$211</f>
        <v>0</v>
      </c>
      <c r="L411" s="137">
        <f>L199/L$211</f>
        <v>0</v>
      </c>
      <c r="M411" s="137">
        <f>M199/M$211</f>
        <v>0</v>
      </c>
      <c r="N411" s="137">
        <f>N199/N$211</f>
        <v>0</v>
      </c>
      <c r="O411" s="137">
        <f>O199/O$211</f>
        <v>0</v>
      </c>
      <c r="P411" s="137">
        <f>P199/P$211</f>
        <v>0</v>
      </c>
      <c r="Q411" s="137">
        <f>Q199/Q$211</f>
        <v>0</v>
      </c>
      <c r="R411" s="137">
        <f>R199/R$211</f>
        <v>0</v>
      </c>
      <c r="S411" s="137">
        <f>S199/S$211</f>
        <v>0</v>
      </c>
      <c r="T411" s="137">
        <f>T199/T$211</f>
        <v>0</v>
      </c>
      <c r="U411" s="137">
        <f>U199/U$211</f>
        <v>0</v>
      </c>
      <c r="V411" s="137">
        <f>V199/V$211</f>
        <v>0</v>
      </c>
      <c r="W411" s="107"/>
      <c r="X411" s="106">
        <f>X199/X$211</f>
        <v>0</v>
      </c>
      <c r="Y411" s="106">
        <f>Y199/Y$211</f>
        <v>0</v>
      </c>
      <c r="Z411" s="106">
        <f>Z199/Z$211</f>
        <v>0</v>
      </c>
      <c r="AA411" s="107"/>
      <c r="AB411" s="106"/>
      <c r="AC411" s="107">
        <f>AC199/AC$211</f>
        <v>0</v>
      </c>
      <c r="AD411" s="106">
        <f>AD199/AD$211</f>
        <v>0</v>
      </c>
    </row>
    <row r="412" spans="1:30">
      <c r="A412" s="141" t="s">
        <v>369</v>
      </c>
      <c r="B412" s="146" t="e">
        <f>#REF!/B200-1</f>
        <v>#REF!</v>
      </c>
      <c r="C412" s="106">
        <f>C200/C$211</f>
        <v>0</v>
      </c>
      <c r="D412" s="106">
        <f>D200/D$211</f>
        <v>0</v>
      </c>
      <c r="E412" s="106">
        <f>E200/E$211</f>
        <v>0</v>
      </c>
      <c r="F412" s="106">
        <f>F200/F$211</f>
        <v>0</v>
      </c>
      <c r="G412" s="106">
        <f>G200/G$211</f>
        <v>0</v>
      </c>
      <c r="H412" s="106">
        <f>H200/H$211</f>
        <v>0</v>
      </c>
      <c r="I412" s="137">
        <f>I200/I$211</f>
        <v>0</v>
      </c>
      <c r="J412" s="137">
        <f>J200/J$211</f>
        <v>0</v>
      </c>
      <c r="K412" s="137">
        <f>K200/K$211</f>
        <v>0</v>
      </c>
      <c r="L412" s="137">
        <f>L200/L$211</f>
        <v>0</v>
      </c>
      <c r="M412" s="137">
        <f>M200/M$211</f>
        <v>0</v>
      </c>
      <c r="N412" s="137">
        <f>N200/N$211</f>
        <v>0</v>
      </c>
      <c r="O412" s="137">
        <f>O200/O$211</f>
        <v>0</v>
      </c>
      <c r="P412" s="137">
        <f>P200/P$211</f>
        <v>0</v>
      </c>
      <c r="Q412" s="137">
        <f>Q200/Q$211</f>
        <v>0</v>
      </c>
      <c r="R412" s="137">
        <f>R200/R$211</f>
        <v>0</v>
      </c>
      <c r="S412" s="137">
        <f>S200/S$211</f>
        <v>0</v>
      </c>
      <c r="T412" s="137">
        <f>T200/T$211</f>
        <v>0</v>
      </c>
      <c r="U412" s="137">
        <f>U200/U$211</f>
        <v>0</v>
      </c>
      <c r="V412" s="137">
        <f>V200/V$211</f>
        <v>0</v>
      </c>
      <c r="W412" s="107"/>
      <c r="X412" s="106">
        <f>X200/X$211</f>
        <v>0</v>
      </c>
      <c r="Y412" s="106">
        <f>Y200/Y$211</f>
        <v>0</v>
      </c>
      <c r="Z412" s="106">
        <f>Z200/Z$211</f>
        <v>0</v>
      </c>
      <c r="AA412" s="107"/>
      <c r="AB412" s="106"/>
      <c r="AC412" s="107">
        <f>AC200/AC$211</f>
        <v>0</v>
      </c>
      <c r="AD412" s="106">
        <f>AD200/AD$211</f>
        <v>0</v>
      </c>
    </row>
    <row r="413" spans="1:30">
      <c r="A413" s="141" t="s">
        <v>370</v>
      </c>
      <c r="B413" s="146" t="e">
        <f>#REF!/B201-1</f>
        <v>#REF!</v>
      </c>
      <c r="C413" s="106">
        <f>C201/C$211</f>
        <v>0</v>
      </c>
      <c r="D413" s="106">
        <f>D201/D$211</f>
        <v>0</v>
      </c>
      <c r="E413" s="106">
        <f>E201/E$211</f>
        <v>0</v>
      </c>
      <c r="F413" s="106">
        <f>F201/F$211</f>
        <v>0</v>
      </c>
      <c r="G413" s="106">
        <f>G201/G$211</f>
        <v>0</v>
      </c>
      <c r="H413" s="106">
        <f>H201/H$211</f>
        <v>0</v>
      </c>
      <c r="I413" s="137">
        <f>I201/I$211</f>
        <v>0</v>
      </c>
      <c r="J413" s="137">
        <f>J201/J$211</f>
        <v>0</v>
      </c>
      <c r="K413" s="137">
        <f>K201/K$211</f>
        <v>0</v>
      </c>
      <c r="L413" s="137">
        <f>L201/L$211</f>
        <v>0</v>
      </c>
      <c r="M413" s="137">
        <f>M201/M$211</f>
        <v>0</v>
      </c>
      <c r="N413" s="137">
        <f>N201/N$211</f>
        <v>0</v>
      </c>
      <c r="O413" s="137">
        <f>O201/O$211</f>
        <v>0</v>
      </c>
      <c r="P413" s="137">
        <f>P201/P$211</f>
        <v>0</v>
      </c>
      <c r="Q413" s="137">
        <f>Q201/Q$211</f>
        <v>0</v>
      </c>
      <c r="R413" s="137">
        <f>R201/R$211</f>
        <v>0</v>
      </c>
      <c r="S413" s="137">
        <f>S201/S$211</f>
        <v>0</v>
      </c>
      <c r="T413" s="137">
        <f>T201/T$211</f>
        <v>0</v>
      </c>
      <c r="U413" s="137">
        <f>U201/U$211</f>
        <v>0</v>
      </c>
      <c r="V413" s="137">
        <f>V201/V$211</f>
        <v>0</v>
      </c>
      <c r="W413" s="107"/>
      <c r="X413" s="106">
        <f>X201/X$211</f>
        <v>0</v>
      </c>
      <c r="Y413" s="106">
        <f>Y201/Y$211</f>
        <v>0</v>
      </c>
      <c r="Z413" s="106">
        <f>Z201/Z$211</f>
        <v>0</v>
      </c>
      <c r="AA413" s="107"/>
      <c r="AB413" s="106"/>
      <c r="AC413" s="107">
        <f>AC201/AC$211</f>
        <v>0</v>
      </c>
      <c r="AD413" s="106">
        <f>AD201/AD$211</f>
        <v>0</v>
      </c>
    </row>
    <row r="414" spans="1:30">
      <c r="A414" s="141" t="s">
        <v>371</v>
      </c>
      <c r="B414" s="146" t="e">
        <f>#REF!/B202-1</f>
        <v>#REF!</v>
      </c>
      <c r="C414" s="106">
        <f>C202/C$211</f>
        <v>0</v>
      </c>
      <c r="D414" s="106">
        <f>D202/D$211</f>
        <v>0</v>
      </c>
      <c r="E414" s="106">
        <f>E202/E$211</f>
        <v>0</v>
      </c>
      <c r="F414" s="106">
        <f>F202/F$211</f>
        <v>0</v>
      </c>
      <c r="G414" s="106">
        <f>G202/G$211</f>
        <v>0</v>
      </c>
      <c r="H414" s="106">
        <f>H202/H$211</f>
        <v>0</v>
      </c>
      <c r="I414" s="137">
        <f>I202/I$211</f>
        <v>0</v>
      </c>
      <c r="J414" s="137">
        <f>J202/J$211</f>
        <v>0</v>
      </c>
      <c r="K414" s="137">
        <f>K202/K$211</f>
        <v>0</v>
      </c>
      <c r="L414" s="137">
        <f>L202/L$211</f>
        <v>0</v>
      </c>
      <c r="M414" s="137">
        <f>M202/M$211</f>
        <v>0</v>
      </c>
      <c r="N414" s="137">
        <f>N202/N$211</f>
        <v>0</v>
      </c>
      <c r="O414" s="137">
        <f>O202/O$211</f>
        <v>0</v>
      </c>
      <c r="P414" s="137">
        <f>P202/P$211</f>
        <v>0</v>
      </c>
      <c r="Q414" s="137">
        <f>Q202/Q$211</f>
        <v>0</v>
      </c>
      <c r="R414" s="137">
        <f>R202/R$211</f>
        <v>0</v>
      </c>
      <c r="S414" s="137">
        <f>S202/S$211</f>
        <v>0</v>
      </c>
      <c r="T414" s="137">
        <f>T202/T$211</f>
        <v>0</v>
      </c>
      <c r="U414" s="137">
        <f>U202/U$211</f>
        <v>0</v>
      </c>
      <c r="V414" s="137">
        <f>V202/V$211</f>
        <v>0</v>
      </c>
      <c r="W414" s="107"/>
      <c r="X414" s="106">
        <f>X202/X$211</f>
        <v>0</v>
      </c>
      <c r="Y414" s="106">
        <f>Y202/Y$211</f>
        <v>0</v>
      </c>
      <c r="Z414" s="106">
        <f>Z202/Z$211</f>
        <v>0</v>
      </c>
      <c r="AA414" s="107"/>
      <c r="AB414" s="106"/>
      <c r="AC414" s="107">
        <f>AC202/AC$211</f>
        <v>0</v>
      </c>
      <c r="AD414" s="106">
        <f>AD202/AD$211</f>
        <v>0</v>
      </c>
    </row>
    <row r="415" spans="1:30">
      <c r="A415" s="141" t="s">
        <v>372</v>
      </c>
      <c r="B415" s="146" t="e">
        <f>#REF!/B203-1</f>
        <v>#REF!</v>
      </c>
      <c r="C415" s="106">
        <f>C203/C$211</f>
        <v>0</v>
      </c>
      <c r="D415" s="106">
        <f>D203/D$211</f>
        <v>0</v>
      </c>
      <c r="E415" s="106">
        <f>E203/E$211</f>
        <v>0</v>
      </c>
      <c r="F415" s="106">
        <f>F203/F$211</f>
        <v>0</v>
      </c>
      <c r="G415" s="106">
        <f>G203/G$211</f>
        <v>0</v>
      </c>
      <c r="H415" s="106">
        <f>H203/H$211</f>
        <v>0</v>
      </c>
      <c r="I415" s="137">
        <f>I203/I$211</f>
        <v>0</v>
      </c>
      <c r="J415" s="137">
        <f>J203/J$211</f>
        <v>0</v>
      </c>
      <c r="K415" s="137">
        <f>K203/K$211</f>
        <v>0</v>
      </c>
      <c r="L415" s="137">
        <f>L203/L$211</f>
        <v>0</v>
      </c>
      <c r="M415" s="137">
        <f>M203/M$211</f>
        <v>0</v>
      </c>
      <c r="N415" s="137">
        <f>N203/N$211</f>
        <v>0</v>
      </c>
      <c r="O415" s="137">
        <f>O203/O$211</f>
        <v>0</v>
      </c>
      <c r="P415" s="137">
        <f>P203/P$211</f>
        <v>0</v>
      </c>
      <c r="Q415" s="137">
        <f>Q203/Q$211</f>
        <v>0</v>
      </c>
      <c r="R415" s="137">
        <f>R203/R$211</f>
        <v>0</v>
      </c>
      <c r="S415" s="137">
        <f>S203/S$211</f>
        <v>0</v>
      </c>
      <c r="T415" s="137">
        <f>T203/T$211</f>
        <v>0</v>
      </c>
      <c r="U415" s="137">
        <f>U203/U$211</f>
        <v>0</v>
      </c>
      <c r="V415" s="137">
        <f>V203/V$211</f>
        <v>0</v>
      </c>
      <c r="W415" s="107"/>
      <c r="X415" s="106">
        <f>X203/X$211</f>
        <v>0</v>
      </c>
      <c r="Y415" s="106">
        <f>Y203/Y$211</f>
        <v>0</v>
      </c>
      <c r="Z415" s="106">
        <f>Z203/Z$211</f>
        <v>0</v>
      </c>
      <c r="AA415" s="107"/>
      <c r="AB415" s="106"/>
      <c r="AC415" s="107">
        <f>AC203/AC$211</f>
        <v>0</v>
      </c>
      <c r="AD415" s="106">
        <f>AD203/AD$211</f>
        <v>0</v>
      </c>
    </row>
    <row r="416" spans="1:30">
      <c r="A416" s="141" t="s">
        <v>373</v>
      </c>
      <c r="B416" s="146" t="e">
        <f>#REF!/B204-1</f>
        <v>#REF!</v>
      </c>
      <c r="C416" s="106">
        <f>C204/C$211</f>
        <v>0</v>
      </c>
      <c r="D416" s="106">
        <f>D204/D$211</f>
        <v>0</v>
      </c>
      <c r="E416" s="106">
        <f>E204/E$211</f>
        <v>0</v>
      </c>
      <c r="F416" s="106">
        <f>F204/F$211</f>
        <v>0</v>
      </c>
      <c r="G416" s="106">
        <f>G204/G$211</f>
        <v>0</v>
      </c>
      <c r="H416" s="106">
        <f>H204/H$211</f>
        <v>0</v>
      </c>
      <c r="I416" s="137">
        <f>I204/I$211</f>
        <v>0</v>
      </c>
      <c r="J416" s="137">
        <f>J204/J$211</f>
        <v>0</v>
      </c>
      <c r="K416" s="137">
        <f>K204/K$211</f>
        <v>0</v>
      </c>
      <c r="L416" s="137">
        <f>L204/L$211</f>
        <v>0</v>
      </c>
      <c r="M416" s="137">
        <f>M204/M$211</f>
        <v>0</v>
      </c>
      <c r="N416" s="137">
        <f>N204/N$211</f>
        <v>0</v>
      </c>
      <c r="O416" s="137">
        <f>O204/O$211</f>
        <v>0</v>
      </c>
      <c r="P416" s="137">
        <f>P204/P$211</f>
        <v>0</v>
      </c>
      <c r="Q416" s="137">
        <f>Q204/Q$211</f>
        <v>0</v>
      </c>
      <c r="R416" s="137">
        <f>R204/R$211</f>
        <v>0</v>
      </c>
      <c r="S416" s="137">
        <f>S204/S$211</f>
        <v>0</v>
      </c>
      <c r="T416" s="137">
        <f>T204/T$211</f>
        <v>0</v>
      </c>
      <c r="U416" s="137">
        <f>U204/U$211</f>
        <v>0</v>
      </c>
      <c r="V416" s="137">
        <f>V204/V$211</f>
        <v>0</v>
      </c>
      <c r="W416" s="107"/>
      <c r="X416" s="106">
        <f>X204/X$211</f>
        <v>0</v>
      </c>
      <c r="Y416" s="106">
        <f>Y204/Y$211</f>
        <v>0</v>
      </c>
      <c r="Z416" s="106">
        <f>Z204/Z$211</f>
        <v>0</v>
      </c>
      <c r="AA416" s="107"/>
      <c r="AB416" s="106"/>
      <c r="AC416" s="107">
        <f>AC204/AC$211</f>
        <v>0</v>
      </c>
      <c r="AD416" s="106">
        <f>AD204/AD$211</f>
        <v>0</v>
      </c>
    </row>
    <row r="417" spans="1:30">
      <c r="A417" s="141" t="s">
        <v>374</v>
      </c>
      <c r="B417" s="146" t="e">
        <f>#REF!/B205-1</f>
        <v>#REF!</v>
      </c>
      <c r="C417" s="106">
        <f>C205/C$211</f>
        <v>0</v>
      </c>
      <c r="D417" s="106">
        <f>D205/D$211</f>
        <v>0</v>
      </c>
      <c r="E417" s="106">
        <f>E205/E$211</f>
        <v>0</v>
      </c>
      <c r="F417" s="106">
        <f>F205/F$211</f>
        <v>0</v>
      </c>
      <c r="G417" s="106">
        <f>G205/G$211</f>
        <v>0</v>
      </c>
      <c r="H417" s="106">
        <f>H205/H$211</f>
        <v>0</v>
      </c>
      <c r="I417" s="137">
        <f>I205/I$211</f>
        <v>0</v>
      </c>
      <c r="J417" s="137">
        <f>J205/J$211</f>
        <v>0</v>
      </c>
      <c r="K417" s="137">
        <f>K205/K$211</f>
        <v>0</v>
      </c>
      <c r="L417" s="137">
        <f>L205/L$211</f>
        <v>0</v>
      </c>
      <c r="M417" s="137">
        <f>M205/M$211</f>
        <v>0</v>
      </c>
      <c r="N417" s="137">
        <f>N205/N$211</f>
        <v>0</v>
      </c>
      <c r="O417" s="137">
        <f>O205/O$211</f>
        <v>0</v>
      </c>
      <c r="P417" s="137">
        <f>P205/P$211</f>
        <v>0</v>
      </c>
      <c r="Q417" s="137">
        <f>Q205/Q$211</f>
        <v>0</v>
      </c>
      <c r="R417" s="137">
        <f>R205/R$211</f>
        <v>0</v>
      </c>
      <c r="S417" s="137">
        <f>S205/S$211</f>
        <v>0</v>
      </c>
      <c r="T417" s="137">
        <f>T205/T$211</f>
        <v>0</v>
      </c>
      <c r="U417" s="137">
        <f>U205/U$211</f>
        <v>0</v>
      </c>
      <c r="V417" s="137">
        <f>V205/V$211</f>
        <v>0</v>
      </c>
      <c r="W417" s="107"/>
      <c r="X417" s="106">
        <f>X205/X$211</f>
        <v>0</v>
      </c>
      <c r="Y417" s="106">
        <f>Y205/Y$211</f>
        <v>0</v>
      </c>
      <c r="Z417" s="106">
        <f>Z205/Z$211</f>
        <v>0</v>
      </c>
      <c r="AA417" s="107"/>
      <c r="AB417" s="106"/>
      <c r="AC417" s="107">
        <f>AC205/AC$211</f>
        <v>0</v>
      </c>
      <c r="AD417" s="106">
        <f>AD205/AD$211</f>
        <v>0</v>
      </c>
    </row>
    <row r="418" spans="1:30">
      <c r="A418" s="141" t="s">
        <v>375</v>
      </c>
      <c r="B418" s="146" t="e">
        <f>#REF!/B206-1</f>
        <v>#REF!</v>
      </c>
      <c r="C418" s="106">
        <f>C206/C$211</f>
        <v>0</v>
      </c>
      <c r="D418" s="106">
        <f>D206/D$211</f>
        <v>0</v>
      </c>
      <c r="E418" s="106">
        <f>E206/E$211</f>
        <v>0</v>
      </c>
      <c r="F418" s="106">
        <f>F206/F$211</f>
        <v>0</v>
      </c>
      <c r="G418" s="106">
        <f>G206/G$211</f>
        <v>0</v>
      </c>
      <c r="H418" s="106">
        <f>H206/H$211</f>
        <v>0</v>
      </c>
      <c r="I418" s="137">
        <f>I206/I$211</f>
        <v>0</v>
      </c>
      <c r="J418" s="137">
        <f>J206/J$211</f>
        <v>0</v>
      </c>
      <c r="K418" s="137">
        <f>K206/K$211</f>
        <v>0</v>
      </c>
      <c r="L418" s="137">
        <f>L206/L$211</f>
        <v>0</v>
      </c>
      <c r="M418" s="137">
        <f>M206/M$211</f>
        <v>0</v>
      </c>
      <c r="N418" s="137">
        <f>N206/N$211</f>
        <v>0</v>
      </c>
      <c r="O418" s="137">
        <f>O206/O$211</f>
        <v>0</v>
      </c>
      <c r="P418" s="137">
        <f>P206/P$211</f>
        <v>0</v>
      </c>
      <c r="Q418" s="137">
        <f>Q206/Q$211</f>
        <v>0</v>
      </c>
      <c r="R418" s="137">
        <f>R206/R$211</f>
        <v>0</v>
      </c>
      <c r="S418" s="137">
        <f>S206/S$211</f>
        <v>0</v>
      </c>
      <c r="T418" s="137">
        <f>T206/T$211</f>
        <v>0</v>
      </c>
      <c r="U418" s="137">
        <f>U206/U$211</f>
        <v>0</v>
      </c>
      <c r="V418" s="137">
        <f>V206/V$211</f>
        <v>0</v>
      </c>
      <c r="W418" s="107"/>
      <c r="X418" s="106">
        <f>X206/X$211</f>
        <v>0</v>
      </c>
      <c r="Y418" s="106">
        <f>Y206/Y$211</f>
        <v>0</v>
      </c>
      <c r="Z418" s="106">
        <f>Z206/Z$211</f>
        <v>0</v>
      </c>
      <c r="AA418" s="107"/>
      <c r="AB418" s="106"/>
      <c r="AC418" s="107">
        <f>AC206/AC$211</f>
        <v>0</v>
      </c>
      <c r="AD418" s="106">
        <f>AD206/AD$211</f>
        <v>0</v>
      </c>
    </row>
    <row r="419" spans="1:30">
      <c r="A419" s="141" t="s">
        <v>376</v>
      </c>
      <c r="B419" s="146" t="e">
        <f>#REF!/B207-1</f>
        <v>#REF!</v>
      </c>
      <c r="C419" s="106">
        <f>C207/C$211</f>
        <v>0</v>
      </c>
      <c r="D419" s="106">
        <f>D207/D$211</f>
        <v>0</v>
      </c>
      <c r="E419" s="106">
        <f>E207/E$211</f>
        <v>0</v>
      </c>
      <c r="F419" s="106">
        <f>F207/F$211</f>
        <v>0</v>
      </c>
      <c r="G419" s="106">
        <f>G207/G$211</f>
        <v>0</v>
      </c>
      <c r="H419" s="106">
        <f>H207/H$211</f>
        <v>0</v>
      </c>
      <c r="I419" s="137">
        <f>I207/I$211</f>
        <v>0</v>
      </c>
      <c r="J419" s="137">
        <f>J207/J$211</f>
        <v>0</v>
      </c>
      <c r="K419" s="137">
        <f>K207/K$211</f>
        <v>0</v>
      </c>
      <c r="L419" s="137">
        <f>L207/L$211</f>
        <v>0</v>
      </c>
      <c r="M419" s="137">
        <f>M207/M$211</f>
        <v>0</v>
      </c>
      <c r="N419" s="137">
        <f>N207/N$211</f>
        <v>0</v>
      </c>
      <c r="O419" s="137">
        <f>O207/O$211</f>
        <v>0</v>
      </c>
      <c r="P419" s="137">
        <f>P207/P$211</f>
        <v>0</v>
      </c>
      <c r="Q419" s="137">
        <f>Q207/Q$211</f>
        <v>0</v>
      </c>
      <c r="R419" s="137">
        <f>R207/R$211</f>
        <v>0</v>
      </c>
      <c r="S419" s="137">
        <f>S207/S$211</f>
        <v>0</v>
      </c>
      <c r="T419" s="137">
        <f>T207/T$211</f>
        <v>0</v>
      </c>
      <c r="U419" s="137">
        <f>U207/U$211</f>
        <v>0</v>
      </c>
      <c r="V419" s="137">
        <f>V207/V$211</f>
        <v>0</v>
      </c>
      <c r="W419" s="107"/>
      <c r="X419" s="106">
        <f>X207/X$211</f>
        <v>0</v>
      </c>
      <c r="Y419" s="106">
        <f>Y207/Y$211</f>
        <v>0</v>
      </c>
      <c r="Z419" s="106">
        <f>Z207/Z$211</f>
        <v>0</v>
      </c>
      <c r="AA419" s="107"/>
      <c r="AB419" s="106"/>
      <c r="AC419" s="107">
        <f>AC207/AC$211</f>
        <v>0</v>
      </c>
      <c r="AD419" s="106">
        <f>AD207/AD$211</f>
        <v>0</v>
      </c>
    </row>
    <row r="420" spans="1:30">
      <c r="A420" s="141" t="s">
        <v>377</v>
      </c>
      <c r="B420" s="146" t="e">
        <f>#REF!/B208-1</f>
        <v>#REF!</v>
      </c>
      <c r="C420" s="106">
        <f>C208/C$211</f>
        <v>0</v>
      </c>
      <c r="D420" s="106">
        <f>D208/D$211</f>
        <v>0</v>
      </c>
      <c r="E420" s="106">
        <f>E208/E$211</f>
        <v>0</v>
      </c>
      <c r="F420" s="106">
        <f>F208/F$211</f>
        <v>0</v>
      </c>
      <c r="G420" s="106">
        <f>G208/G$211</f>
        <v>0</v>
      </c>
      <c r="H420" s="106">
        <f>H208/H$211</f>
        <v>0</v>
      </c>
      <c r="I420" s="137">
        <f>I208/I$211</f>
        <v>0</v>
      </c>
      <c r="J420" s="137">
        <f>J208/J$211</f>
        <v>0</v>
      </c>
      <c r="K420" s="137">
        <f>K208/K$211</f>
        <v>0</v>
      </c>
      <c r="L420" s="137">
        <f>L208/L$211</f>
        <v>0</v>
      </c>
      <c r="M420" s="137">
        <f>M208/M$211</f>
        <v>0</v>
      </c>
      <c r="N420" s="137">
        <f>N208/N$211</f>
        <v>0</v>
      </c>
      <c r="O420" s="137">
        <f>O208/O$211</f>
        <v>0</v>
      </c>
      <c r="P420" s="137">
        <f>P208/P$211</f>
        <v>0</v>
      </c>
      <c r="Q420" s="137">
        <f>Q208/Q$211</f>
        <v>0</v>
      </c>
      <c r="R420" s="137">
        <f>R208/R$211</f>
        <v>0</v>
      </c>
      <c r="S420" s="137">
        <f>S208/S$211</f>
        <v>0</v>
      </c>
      <c r="T420" s="137">
        <f>T208/T$211</f>
        <v>0</v>
      </c>
      <c r="U420" s="137">
        <f>U208/U$211</f>
        <v>0</v>
      </c>
      <c r="V420" s="137">
        <f>V208/V$211</f>
        <v>0</v>
      </c>
      <c r="W420" s="107"/>
      <c r="X420" s="106">
        <f>X208/X$211</f>
        <v>0</v>
      </c>
      <c r="Y420" s="106">
        <f>Y208/Y$211</f>
        <v>0</v>
      </c>
      <c r="Z420" s="106">
        <f>Z208/Z$211</f>
        <v>0</v>
      </c>
      <c r="AA420" s="107"/>
      <c r="AB420" s="106"/>
      <c r="AC420" s="107">
        <f>AC208/AC$211</f>
        <v>0</v>
      </c>
      <c r="AD420" s="106">
        <f>AD208/AD$211</f>
        <v>0</v>
      </c>
    </row>
    <row r="421" spans="1:30">
      <c r="A421" s="141" t="s">
        <v>378</v>
      </c>
      <c r="B421" s="146" t="e">
        <f>#REF!/B209-1</f>
        <v>#REF!</v>
      </c>
      <c r="C421" s="106">
        <f>C209/C$211</f>
        <v>0</v>
      </c>
      <c r="D421" s="106">
        <f>D209/D$211</f>
        <v>0</v>
      </c>
      <c r="E421" s="106">
        <f>E209/E$211</f>
        <v>0</v>
      </c>
      <c r="F421" s="106">
        <f>F209/F$211</f>
        <v>0</v>
      </c>
      <c r="G421" s="106">
        <f>G209/G$211</f>
        <v>0</v>
      </c>
      <c r="H421" s="106">
        <f>H209/H$211</f>
        <v>0</v>
      </c>
      <c r="I421" s="137">
        <f>I209/I$211</f>
        <v>0</v>
      </c>
      <c r="J421" s="137">
        <f>J209/J$211</f>
        <v>0</v>
      </c>
      <c r="K421" s="137">
        <f>K209/K$211</f>
        <v>0</v>
      </c>
      <c r="L421" s="137">
        <f>L209/L$211</f>
        <v>0</v>
      </c>
      <c r="M421" s="137">
        <f>M209/M$211</f>
        <v>0</v>
      </c>
      <c r="N421" s="137">
        <f>N209/N$211</f>
        <v>0</v>
      </c>
      <c r="O421" s="137">
        <f>O209/O$211</f>
        <v>0</v>
      </c>
      <c r="P421" s="137">
        <f>P209/P$211</f>
        <v>0</v>
      </c>
      <c r="Q421" s="137">
        <f>Q209/Q$211</f>
        <v>0</v>
      </c>
      <c r="R421" s="137">
        <f>R209/R$211</f>
        <v>0</v>
      </c>
      <c r="S421" s="137">
        <f>S209/S$211</f>
        <v>0</v>
      </c>
      <c r="T421" s="137">
        <f>T209/T$211</f>
        <v>0</v>
      </c>
      <c r="U421" s="137">
        <f>U209/U$211</f>
        <v>0</v>
      </c>
      <c r="V421" s="137">
        <f>V209/V$211</f>
        <v>0</v>
      </c>
      <c r="W421" s="107"/>
      <c r="X421" s="106">
        <f>X209/X$211</f>
        <v>0</v>
      </c>
      <c r="Y421" s="106">
        <f>Y209/Y$211</f>
        <v>0</v>
      </c>
      <c r="Z421" s="106">
        <f>Z209/Z$211</f>
        <v>0</v>
      </c>
      <c r="AA421" s="107"/>
      <c r="AB421" s="106"/>
      <c r="AC421" s="107">
        <f>AC209/AC$211</f>
        <v>0</v>
      </c>
      <c r="AD421" s="106">
        <f>AD209/AD$211</f>
        <v>0</v>
      </c>
    </row>
    <row r="422" spans="1:30">
      <c r="A422" s="141" t="s">
        <v>297</v>
      </c>
      <c r="B422" s="146" t="e">
        <f>#REF!/B210-1</f>
        <v>#REF!</v>
      </c>
      <c r="C422" s="106">
        <f>C210/C$211</f>
        <v>0</v>
      </c>
      <c r="D422" s="106">
        <f>D210/D$211</f>
        <v>0</v>
      </c>
      <c r="E422" s="106">
        <f>E210/E$211</f>
        <v>0</v>
      </c>
      <c r="F422" s="106">
        <f>F210/F$211</f>
        <v>0</v>
      </c>
      <c r="G422" s="106">
        <f>G210/G$211</f>
        <v>0</v>
      </c>
      <c r="H422" s="106">
        <f>H210/H$211</f>
        <v>0</v>
      </c>
      <c r="I422" s="137">
        <f>I210/I$211</f>
        <v>0</v>
      </c>
      <c r="J422" s="137">
        <f>J210/J$211</f>
        <v>0</v>
      </c>
      <c r="K422" s="137">
        <f>K210/K$211</f>
        <v>0</v>
      </c>
      <c r="L422" s="137">
        <f>L210/L$211</f>
        <v>0</v>
      </c>
      <c r="M422" s="137">
        <f>M210/M$211</f>
        <v>0</v>
      </c>
      <c r="N422" s="137">
        <f>N210/N$211</f>
        <v>0</v>
      </c>
      <c r="O422" s="137">
        <f>O210/O$211</f>
        <v>0</v>
      </c>
      <c r="P422" s="137">
        <f>P210/P$211</f>
        <v>0</v>
      </c>
      <c r="Q422" s="137">
        <f>Q210/Q$211</f>
        <v>0</v>
      </c>
      <c r="R422" s="137">
        <f>R210/R$211</f>
        <v>0</v>
      </c>
      <c r="S422" s="137">
        <f>S210/S$211</f>
        <v>0</v>
      </c>
      <c r="T422" s="137">
        <f>T210/T$211</f>
        <v>0</v>
      </c>
      <c r="U422" s="137">
        <f>U210/U$211</f>
        <v>0</v>
      </c>
      <c r="V422" s="137">
        <f>V210/V$211</f>
        <v>0</v>
      </c>
      <c r="W422" s="107"/>
      <c r="X422" s="106">
        <f>X210/X$211</f>
        <v>0</v>
      </c>
      <c r="Y422" s="106">
        <f>Y210/Y$211</f>
        <v>0</v>
      </c>
      <c r="Z422" s="106">
        <f>Z210/Z$211</f>
        <v>0</v>
      </c>
      <c r="AA422" s="107"/>
      <c r="AB422" s="106"/>
      <c r="AC422" s="107">
        <f>AC210/AC$211</f>
        <v>0</v>
      </c>
      <c r="AD422" s="106">
        <f>AD210/AD$211</f>
        <v>0</v>
      </c>
    </row>
    <row r="423" ht="16.5" spans="1:30">
      <c r="A423" s="142" t="s">
        <v>382</v>
      </c>
      <c r="B423" s="113" t="e">
        <f>#REF!/B211-1</f>
        <v>#REF!</v>
      </c>
      <c r="C423" s="114">
        <f t="shared" ref="C423:D423" si="30">C211/C$211</f>
        <v>1</v>
      </c>
      <c r="D423" s="114">
        <f t="shared" si="30"/>
        <v>1</v>
      </c>
      <c r="E423" s="114">
        <f>E211/E$211</f>
        <v>1</v>
      </c>
      <c r="F423" s="114">
        <f>F211/F$211</f>
        <v>1</v>
      </c>
      <c r="G423" s="114">
        <f>G211/G$211</f>
        <v>1</v>
      </c>
      <c r="H423" s="114">
        <f>H211/H$211</f>
        <v>1</v>
      </c>
      <c r="I423" s="114">
        <f>I211/I$211</f>
        <v>1</v>
      </c>
      <c r="J423" s="114">
        <f>J211/J$211</f>
        <v>1</v>
      </c>
      <c r="K423" s="114">
        <f>K211/K$211</f>
        <v>1</v>
      </c>
      <c r="L423" s="114">
        <f>L211/L$211</f>
        <v>1</v>
      </c>
      <c r="M423" s="114">
        <f>M211/M$211</f>
        <v>1</v>
      </c>
      <c r="N423" s="114">
        <f>N211/N$211</f>
        <v>1</v>
      </c>
      <c r="O423" s="114">
        <f>O211/O$211</f>
        <v>1</v>
      </c>
      <c r="P423" s="114">
        <f>P211/P$211</f>
        <v>1</v>
      </c>
      <c r="Q423" s="114">
        <f>Q211/Q$211</f>
        <v>1</v>
      </c>
      <c r="R423" s="114">
        <f>R211/R$211</f>
        <v>1</v>
      </c>
      <c r="S423" s="114">
        <f>S211/S$211</f>
        <v>1</v>
      </c>
      <c r="T423" s="114">
        <f>T211/T$211</f>
        <v>1</v>
      </c>
      <c r="U423" s="114">
        <f>U211/U$211</f>
        <v>1</v>
      </c>
      <c r="V423" s="114">
        <f>V211/V$211</f>
        <v>1</v>
      </c>
      <c r="W423" s="115"/>
      <c r="X423" s="114">
        <f>X211/X$211</f>
        <v>1</v>
      </c>
      <c r="Y423" s="114">
        <f>Y211/Y$211</f>
        <v>1</v>
      </c>
      <c r="Z423" s="114">
        <f>Z211/Z$211</f>
        <v>1</v>
      </c>
      <c r="AA423" s="115"/>
      <c r="AB423" s="114"/>
      <c r="AC423" s="115">
        <f>AC211/AC$211</f>
        <v>1</v>
      </c>
      <c r="AD423" s="114">
        <f>AD211/AD$211</f>
        <v>1</v>
      </c>
    </row>
  </sheetData>
  <autoFilter xmlns:etc="http://www.wps.cn/officeDocument/2017/etCustomData" ref="A2:AF211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275"/>
  <sheetViews>
    <sheetView zoomScale="85" zoomScaleNormal="85" workbookViewId="0">
      <pane xSplit="1" ySplit="4" topLeftCell="B114" activePane="bottomRight" state="frozen"/>
      <selection/>
      <selection pane="topRight"/>
      <selection pane="bottomLeft"/>
      <selection pane="bottomRight" activeCell="I128" sqref="I128"/>
    </sheetView>
  </sheetViews>
  <sheetFormatPr defaultColWidth="9" defaultRowHeight="15.75"/>
  <cols>
    <col min="1" max="1" width="17.2035398230088" style="56" customWidth="1"/>
    <col min="2" max="5" width="14.1327433628319" style="1" customWidth="1" outlineLevel="1"/>
    <col min="6" max="6" width="16.2654867256637" style="1" customWidth="1"/>
    <col min="7" max="10" width="15.2035398230088" style="1" customWidth="1" outlineLevel="3"/>
    <col min="11" max="11" width="15.2654867256637" style="1" customWidth="1" outlineLevel="2"/>
    <col min="12" max="15" width="15.2035398230088" style="1" customWidth="1" outlineLevel="3"/>
    <col min="16" max="16" width="15.2654867256637" style="1" customWidth="1" outlineLevel="2"/>
    <col min="17" max="20" width="15.2035398230088" style="1" customWidth="1" outlineLevel="2"/>
    <col min="21" max="21" width="14.070796460177" style="1" customWidth="1" outlineLevel="1"/>
    <col min="22" max="25" width="15.2035398230088" style="1" customWidth="1" outlineLevel="2"/>
    <col min="26" max="26" width="15.2035398230088" style="1" customWidth="1" outlineLevel="1"/>
    <col min="27" max="30" width="15.2035398230088" style="1" customWidth="1" outlineLevel="2"/>
    <col min="31" max="31" width="15.2035398230088" style="1" customWidth="1" outlineLevel="1"/>
    <col min="32" max="35" width="15.2035398230088" style="1" customWidth="1" outlineLevel="2"/>
    <col min="36" max="36" width="15.2035398230088" style="1" customWidth="1" outlineLevel="1"/>
    <col min="37" max="40" width="15.2035398230088" style="1" customWidth="1" outlineLevel="2"/>
    <col min="41" max="41" width="15.2035398230088" style="1" customWidth="1" outlineLevel="1"/>
    <col min="42" max="42" width="10.6017699115044" style="1" customWidth="1" outlineLevel="2"/>
    <col min="43" max="45" width="11.7345132743363" style="1" customWidth="1" outlineLevel="2"/>
    <col min="46" max="46" width="14" style="1" customWidth="1" outlineLevel="1"/>
    <col min="47" max="47" width="11.7964601769912" style="1" customWidth="1" outlineLevel="2"/>
    <col min="48" max="50" width="12.929203539823" style="1" customWidth="1" outlineLevel="2"/>
    <col min="51" max="51" width="16.7345132743363" style="1" customWidth="1" outlineLevel="1"/>
    <col min="53" max="16384" width="9" style="1"/>
  </cols>
  <sheetData>
    <row r="1" s="55" customFormat="1" ht="16.5" spans="1:51">
      <c r="A1" s="59" t="s">
        <v>383</v>
      </c>
      <c r="B1" s="60" t="s">
        <v>2</v>
      </c>
      <c r="C1" s="60"/>
      <c r="D1" s="60"/>
      <c r="E1" s="60"/>
      <c r="F1" s="119"/>
      <c r="G1" s="61" t="s">
        <v>3</v>
      </c>
      <c r="H1" s="61"/>
      <c r="I1" s="61"/>
      <c r="J1" s="61"/>
      <c r="K1" s="120"/>
      <c r="L1" s="61" t="s">
        <v>4</v>
      </c>
      <c r="M1" s="61"/>
      <c r="N1" s="61"/>
      <c r="O1" s="61"/>
      <c r="P1" s="120"/>
      <c r="Q1" s="61" t="s">
        <v>5</v>
      </c>
      <c r="R1" s="61"/>
      <c r="S1" s="61"/>
      <c r="T1" s="61"/>
      <c r="U1" s="120"/>
      <c r="V1" s="61" t="s">
        <v>6</v>
      </c>
      <c r="W1" s="61"/>
      <c r="X1" s="61"/>
      <c r="Y1" s="61"/>
      <c r="Z1" s="120"/>
      <c r="AA1" s="61" t="s">
        <v>7</v>
      </c>
      <c r="AB1" s="61"/>
      <c r="AC1" s="61"/>
      <c r="AD1" s="61"/>
      <c r="AE1" s="120"/>
      <c r="AF1" s="61" t="s">
        <v>8</v>
      </c>
      <c r="AG1" s="61"/>
      <c r="AH1" s="61"/>
      <c r="AI1" s="61"/>
      <c r="AJ1" s="120"/>
      <c r="AK1" s="61" t="s">
        <v>9</v>
      </c>
      <c r="AL1" s="61"/>
      <c r="AM1" s="61"/>
      <c r="AN1" s="61"/>
      <c r="AO1" s="120"/>
      <c r="AP1" s="61" t="s">
        <v>10</v>
      </c>
      <c r="AQ1" s="61"/>
      <c r="AR1" s="61"/>
      <c r="AS1" s="61"/>
      <c r="AT1" s="120"/>
      <c r="AU1" s="61" t="s">
        <v>11</v>
      </c>
      <c r="AV1" s="61"/>
      <c r="AW1" s="61"/>
      <c r="AX1" s="61"/>
      <c r="AY1" s="61"/>
    </row>
    <row r="2" s="55" customFormat="1" ht="16.5" spans="1:51">
      <c r="A2" s="121" t="s">
        <v>18</v>
      </c>
      <c r="B2" s="124" t="s">
        <v>20</v>
      </c>
      <c r="C2" s="124" t="s">
        <v>21</v>
      </c>
      <c r="D2" s="124">
        <v>45717</v>
      </c>
      <c r="E2" s="124">
        <v>45748</v>
      </c>
      <c r="F2" s="125" t="s">
        <v>384</v>
      </c>
      <c r="G2" s="67" t="s">
        <v>20</v>
      </c>
      <c r="H2" s="67" t="s">
        <v>21</v>
      </c>
      <c r="I2" s="67">
        <v>45717</v>
      </c>
      <c r="J2" s="67">
        <v>45748</v>
      </c>
      <c r="K2" s="126" t="s">
        <v>384</v>
      </c>
      <c r="L2" s="67" t="s">
        <v>20</v>
      </c>
      <c r="M2" s="67" t="s">
        <v>21</v>
      </c>
      <c r="N2" s="67">
        <v>45717</v>
      </c>
      <c r="O2" s="67">
        <v>45748</v>
      </c>
      <c r="P2" s="126" t="s">
        <v>384</v>
      </c>
      <c r="Q2" s="67" t="s">
        <v>20</v>
      </c>
      <c r="R2" s="67" t="s">
        <v>21</v>
      </c>
      <c r="S2" s="67">
        <v>45717</v>
      </c>
      <c r="T2" s="67">
        <v>45748</v>
      </c>
      <c r="U2" s="126" t="s">
        <v>384</v>
      </c>
      <c r="V2" s="67" t="s">
        <v>20</v>
      </c>
      <c r="W2" s="67" t="s">
        <v>21</v>
      </c>
      <c r="X2" s="67">
        <v>45717</v>
      </c>
      <c r="Y2" s="67">
        <v>45748</v>
      </c>
      <c r="Z2" s="126" t="s">
        <v>384</v>
      </c>
      <c r="AA2" s="67" t="s">
        <v>20</v>
      </c>
      <c r="AB2" s="67" t="s">
        <v>21</v>
      </c>
      <c r="AC2" s="67">
        <v>45717</v>
      </c>
      <c r="AD2" s="67">
        <v>45748</v>
      </c>
      <c r="AE2" s="126" t="s">
        <v>384</v>
      </c>
      <c r="AF2" s="67" t="s">
        <v>20</v>
      </c>
      <c r="AG2" s="67" t="s">
        <v>21</v>
      </c>
      <c r="AH2" s="67">
        <v>45717</v>
      </c>
      <c r="AI2" s="67">
        <v>45748</v>
      </c>
      <c r="AJ2" s="126" t="s">
        <v>384</v>
      </c>
      <c r="AK2" s="67" t="s">
        <v>20</v>
      </c>
      <c r="AL2" s="67" t="s">
        <v>21</v>
      </c>
      <c r="AM2" s="67">
        <v>45717</v>
      </c>
      <c r="AN2" s="67">
        <v>45748</v>
      </c>
      <c r="AO2" s="126" t="s">
        <v>384</v>
      </c>
      <c r="AP2" s="67" t="s">
        <v>20</v>
      </c>
      <c r="AQ2" s="67" t="s">
        <v>21</v>
      </c>
      <c r="AR2" s="67">
        <v>45717</v>
      </c>
      <c r="AS2" s="67">
        <v>45748</v>
      </c>
      <c r="AT2" s="126" t="s">
        <v>384</v>
      </c>
      <c r="AU2" s="67" t="s">
        <v>20</v>
      </c>
      <c r="AV2" s="67" t="s">
        <v>21</v>
      </c>
      <c r="AW2" s="67">
        <v>45717</v>
      </c>
      <c r="AX2" s="67">
        <v>45748</v>
      </c>
      <c r="AY2" s="127" t="s">
        <v>384</v>
      </c>
    </row>
    <row r="3" spans="1:51">
      <c r="A3" s="128" t="s">
        <v>25</v>
      </c>
      <c r="B3" s="129"/>
      <c r="C3" s="129"/>
      <c r="D3" s="129"/>
      <c r="E3" s="129"/>
      <c r="F3" s="130"/>
      <c r="G3" s="129"/>
      <c r="H3" s="129"/>
      <c r="I3" s="129"/>
      <c r="J3" s="129"/>
      <c r="K3" s="130"/>
      <c r="L3" s="129"/>
      <c r="M3" s="129"/>
      <c r="N3" s="129"/>
      <c r="O3" s="129"/>
      <c r="P3" s="130"/>
      <c r="Q3" s="129"/>
      <c r="R3" s="129"/>
      <c r="S3" s="129"/>
      <c r="T3" s="129"/>
      <c r="U3" s="130"/>
      <c r="V3" s="129"/>
      <c r="W3" s="129"/>
      <c r="X3" s="129"/>
      <c r="Y3" s="129"/>
      <c r="Z3" s="130"/>
      <c r="AA3" s="129"/>
      <c r="AB3" s="129"/>
      <c r="AC3" s="129"/>
      <c r="AD3" s="129"/>
      <c r="AE3" s="130"/>
      <c r="AF3" s="129"/>
      <c r="AG3" s="129"/>
      <c r="AH3" s="129"/>
      <c r="AI3" s="129"/>
      <c r="AJ3" s="130"/>
      <c r="AK3" s="129"/>
      <c r="AL3" s="129"/>
      <c r="AM3" s="129"/>
      <c r="AN3" s="129"/>
      <c r="AO3" s="130"/>
      <c r="AP3" s="129"/>
      <c r="AQ3" s="129"/>
      <c r="AR3" s="129"/>
      <c r="AS3" s="129"/>
      <c r="AT3" s="130"/>
      <c r="AU3" s="129"/>
      <c r="AV3" s="129"/>
      <c r="AW3" s="129"/>
      <c r="AX3" s="129"/>
      <c r="AY3" s="78"/>
    </row>
    <row r="4" spans="1:51">
      <c r="A4" s="128" t="s">
        <v>31</v>
      </c>
      <c r="B4" s="129"/>
      <c r="C4" s="129"/>
      <c r="D4" s="129"/>
      <c r="E4" s="129"/>
      <c r="F4" s="130"/>
      <c r="G4" s="129"/>
      <c r="H4" s="129"/>
      <c r="I4" s="129"/>
      <c r="J4" s="129"/>
      <c r="K4" s="130"/>
      <c r="L4" s="129"/>
      <c r="M4" s="129"/>
      <c r="N4" s="129"/>
      <c r="O4" s="129"/>
      <c r="P4" s="130"/>
      <c r="Q4" s="129"/>
      <c r="R4" s="129"/>
      <c r="S4" s="129"/>
      <c r="T4" s="129"/>
      <c r="U4" s="130"/>
      <c r="V4" s="129"/>
      <c r="W4" s="129"/>
      <c r="X4" s="129"/>
      <c r="Y4" s="129"/>
      <c r="Z4" s="130"/>
      <c r="AA4" s="129"/>
      <c r="AB4" s="129"/>
      <c r="AC4" s="129"/>
      <c r="AD4" s="129"/>
      <c r="AE4" s="130"/>
      <c r="AF4" s="129"/>
      <c r="AG4" s="129"/>
      <c r="AH4" s="129"/>
      <c r="AI4" s="129"/>
      <c r="AJ4" s="130"/>
      <c r="AK4" s="129"/>
      <c r="AL4" s="129"/>
      <c r="AM4" s="129"/>
      <c r="AN4" s="129"/>
      <c r="AO4" s="130"/>
      <c r="AP4" s="129"/>
      <c r="AQ4" s="129"/>
      <c r="AR4" s="129"/>
      <c r="AS4" s="129"/>
      <c r="AT4" s="130"/>
      <c r="AU4" s="129"/>
      <c r="AV4" s="129"/>
      <c r="AW4" s="129"/>
      <c r="AX4" s="129"/>
      <c r="AY4" s="78"/>
    </row>
    <row r="5" spans="1:51">
      <c r="A5" s="128" t="s">
        <v>33</v>
      </c>
      <c r="B5" s="129"/>
      <c r="C5" s="129"/>
      <c r="D5" s="129"/>
      <c r="E5" s="129"/>
      <c r="F5" s="130"/>
      <c r="G5" s="129"/>
      <c r="H5" s="129"/>
      <c r="I5" s="129"/>
      <c r="J5" s="129"/>
      <c r="K5" s="130"/>
      <c r="L5" s="129"/>
      <c r="M5" s="129"/>
      <c r="N5" s="129"/>
      <c r="O5" s="129"/>
      <c r="P5" s="130"/>
      <c r="Q5" s="129"/>
      <c r="R5" s="129"/>
      <c r="S5" s="129"/>
      <c r="T5" s="129"/>
      <c r="U5" s="130"/>
      <c r="V5" s="129"/>
      <c r="W5" s="129"/>
      <c r="X5" s="129"/>
      <c r="Y5" s="129"/>
      <c r="Z5" s="130"/>
      <c r="AA5" s="129"/>
      <c r="AB5" s="129"/>
      <c r="AC5" s="129"/>
      <c r="AD5" s="129"/>
      <c r="AE5" s="130"/>
      <c r="AF5" s="129"/>
      <c r="AG5" s="129"/>
      <c r="AH5" s="129"/>
      <c r="AI5" s="129"/>
      <c r="AJ5" s="130"/>
      <c r="AK5" s="129"/>
      <c r="AL5" s="129"/>
      <c r="AM5" s="129"/>
      <c r="AN5" s="129"/>
      <c r="AO5" s="130"/>
      <c r="AP5" s="129"/>
      <c r="AQ5" s="129"/>
      <c r="AR5" s="129"/>
      <c r="AS5" s="129"/>
      <c r="AT5" s="130"/>
      <c r="AU5" s="129"/>
      <c r="AV5" s="129"/>
      <c r="AW5" s="129"/>
      <c r="AX5" s="129"/>
      <c r="AY5" s="78"/>
    </row>
    <row r="6" spans="1:51">
      <c r="A6" s="128" t="s">
        <v>35</v>
      </c>
      <c r="B6" s="129"/>
      <c r="C6" s="129"/>
      <c r="D6" s="129"/>
      <c r="E6" s="129"/>
      <c r="F6" s="130"/>
      <c r="G6" s="129"/>
      <c r="H6" s="129"/>
      <c r="I6" s="129"/>
      <c r="J6" s="129"/>
      <c r="K6" s="130"/>
      <c r="L6" s="129"/>
      <c r="M6" s="129"/>
      <c r="N6" s="129"/>
      <c r="O6" s="129"/>
      <c r="P6" s="130"/>
      <c r="Q6" s="129"/>
      <c r="R6" s="129"/>
      <c r="S6" s="129"/>
      <c r="T6" s="129"/>
      <c r="U6" s="130"/>
      <c r="V6" s="129"/>
      <c r="W6" s="129"/>
      <c r="X6" s="129"/>
      <c r="Y6" s="129"/>
      <c r="Z6" s="130"/>
      <c r="AA6" s="129"/>
      <c r="AB6" s="129"/>
      <c r="AC6" s="129"/>
      <c r="AD6" s="129"/>
      <c r="AE6" s="130"/>
      <c r="AF6" s="129"/>
      <c r="AG6" s="129"/>
      <c r="AH6" s="129"/>
      <c r="AI6" s="129"/>
      <c r="AJ6" s="130"/>
      <c r="AK6" s="129"/>
      <c r="AL6" s="129"/>
      <c r="AM6" s="129"/>
      <c r="AN6" s="129"/>
      <c r="AO6" s="130"/>
      <c r="AP6" s="129"/>
      <c r="AQ6" s="129"/>
      <c r="AR6" s="129"/>
      <c r="AS6" s="129"/>
      <c r="AT6" s="130"/>
      <c r="AU6" s="129"/>
      <c r="AV6" s="129"/>
      <c r="AW6" s="129"/>
      <c r="AX6" s="129"/>
      <c r="AY6" s="78"/>
    </row>
    <row r="7" spans="1:51">
      <c r="A7" s="128" t="s">
        <v>37</v>
      </c>
      <c r="B7" s="129"/>
      <c r="C7" s="129"/>
      <c r="D7" s="129"/>
      <c r="E7" s="129"/>
      <c r="F7" s="130"/>
      <c r="G7" s="129"/>
      <c r="H7" s="129"/>
      <c r="I7" s="129"/>
      <c r="J7" s="129"/>
      <c r="K7" s="130"/>
      <c r="L7" s="129"/>
      <c r="M7" s="129"/>
      <c r="N7" s="129"/>
      <c r="O7" s="129"/>
      <c r="P7" s="130"/>
      <c r="Q7" s="129"/>
      <c r="R7" s="129"/>
      <c r="S7" s="129"/>
      <c r="T7" s="129"/>
      <c r="U7" s="130"/>
      <c r="V7" s="129"/>
      <c r="W7" s="129"/>
      <c r="X7" s="129"/>
      <c r="Y7" s="129"/>
      <c r="Z7" s="130"/>
      <c r="AA7" s="129"/>
      <c r="AB7" s="129"/>
      <c r="AC7" s="129"/>
      <c r="AD7" s="129"/>
      <c r="AE7" s="130"/>
      <c r="AF7" s="129"/>
      <c r="AG7" s="129"/>
      <c r="AH7" s="129"/>
      <c r="AI7" s="129"/>
      <c r="AJ7" s="130"/>
      <c r="AK7" s="129"/>
      <c r="AL7" s="129"/>
      <c r="AM7" s="129"/>
      <c r="AN7" s="129"/>
      <c r="AO7" s="130"/>
      <c r="AP7" s="129"/>
      <c r="AQ7" s="129"/>
      <c r="AR7" s="129"/>
      <c r="AS7" s="129"/>
      <c r="AT7" s="130"/>
      <c r="AU7" s="129"/>
      <c r="AV7" s="129"/>
      <c r="AW7" s="129"/>
      <c r="AX7" s="129"/>
      <c r="AY7" s="78"/>
    </row>
    <row r="8" spans="1:51">
      <c r="A8" s="128" t="s">
        <v>40</v>
      </c>
      <c r="B8" s="129"/>
      <c r="C8" s="129"/>
      <c r="D8" s="129"/>
      <c r="E8" s="129"/>
      <c r="F8" s="130"/>
      <c r="G8" s="129"/>
      <c r="H8" s="129"/>
      <c r="I8" s="129"/>
      <c r="J8" s="129"/>
      <c r="K8" s="130"/>
      <c r="L8" s="129"/>
      <c r="M8" s="129"/>
      <c r="N8" s="129"/>
      <c r="O8" s="129"/>
      <c r="P8" s="130"/>
      <c r="Q8" s="129"/>
      <c r="R8" s="129"/>
      <c r="S8" s="129"/>
      <c r="T8" s="129"/>
      <c r="U8" s="130"/>
      <c r="V8" s="129"/>
      <c r="W8" s="129"/>
      <c r="X8" s="129"/>
      <c r="Y8" s="129"/>
      <c r="Z8" s="130"/>
      <c r="AA8" s="129"/>
      <c r="AB8" s="129"/>
      <c r="AC8" s="129"/>
      <c r="AD8" s="129"/>
      <c r="AE8" s="130"/>
      <c r="AF8" s="129"/>
      <c r="AG8" s="129"/>
      <c r="AH8" s="129"/>
      <c r="AI8" s="129"/>
      <c r="AJ8" s="130"/>
      <c r="AK8" s="129"/>
      <c r="AL8" s="129"/>
      <c r="AM8" s="129"/>
      <c r="AN8" s="129"/>
      <c r="AO8" s="130"/>
      <c r="AP8" s="129"/>
      <c r="AQ8" s="129"/>
      <c r="AR8" s="129"/>
      <c r="AS8" s="129"/>
      <c r="AT8" s="130"/>
      <c r="AU8" s="129"/>
      <c r="AV8" s="129"/>
      <c r="AW8" s="129"/>
      <c r="AX8" s="129"/>
      <c r="AY8" s="78"/>
    </row>
    <row r="9" spans="1:51">
      <c r="A9" s="128" t="s">
        <v>43</v>
      </c>
      <c r="B9" s="129"/>
      <c r="C9" s="129"/>
      <c r="D9" s="129"/>
      <c r="E9" s="129"/>
      <c r="F9" s="130"/>
      <c r="G9" s="129"/>
      <c r="H9" s="129"/>
      <c r="I9" s="129"/>
      <c r="J9" s="129"/>
      <c r="K9" s="130"/>
      <c r="L9" s="129"/>
      <c r="M9" s="129"/>
      <c r="N9" s="129"/>
      <c r="O9" s="129"/>
      <c r="P9" s="130"/>
      <c r="Q9" s="129"/>
      <c r="R9" s="129"/>
      <c r="S9" s="129"/>
      <c r="T9" s="129"/>
      <c r="U9" s="130"/>
      <c r="V9" s="129"/>
      <c r="W9" s="129"/>
      <c r="X9" s="129"/>
      <c r="Y9" s="129"/>
      <c r="Z9" s="130"/>
      <c r="AA9" s="129"/>
      <c r="AB9" s="129"/>
      <c r="AC9" s="129"/>
      <c r="AD9" s="129"/>
      <c r="AE9" s="130"/>
      <c r="AF9" s="129"/>
      <c r="AG9" s="129"/>
      <c r="AH9" s="129"/>
      <c r="AI9" s="129"/>
      <c r="AJ9" s="130"/>
      <c r="AK9" s="129"/>
      <c r="AL9" s="129"/>
      <c r="AM9" s="129"/>
      <c r="AN9" s="129"/>
      <c r="AO9" s="130"/>
      <c r="AP9" s="129"/>
      <c r="AQ9" s="129"/>
      <c r="AR9" s="129"/>
      <c r="AS9" s="129"/>
      <c r="AT9" s="130"/>
      <c r="AU9" s="129"/>
      <c r="AV9" s="129"/>
      <c r="AW9" s="129"/>
      <c r="AX9" s="129"/>
      <c r="AY9" s="78"/>
    </row>
    <row r="10" spans="1:51">
      <c r="A10" s="128" t="s">
        <v>45</v>
      </c>
      <c r="B10" s="129"/>
      <c r="C10" s="129"/>
      <c r="D10" s="129"/>
      <c r="E10" s="129"/>
      <c r="F10" s="130"/>
      <c r="G10" s="129"/>
      <c r="H10" s="129"/>
      <c r="I10" s="129"/>
      <c r="J10" s="129"/>
      <c r="K10" s="130"/>
      <c r="L10" s="129"/>
      <c r="M10" s="129"/>
      <c r="N10" s="129"/>
      <c r="O10" s="129"/>
      <c r="P10" s="130"/>
      <c r="Q10" s="129"/>
      <c r="R10" s="129"/>
      <c r="S10" s="129"/>
      <c r="T10" s="129"/>
      <c r="U10" s="130"/>
      <c r="V10" s="129"/>
      <c r="W10" s="129"/>
      <c r="X10" s="129"/>
      <c r="Y10" s="129"/>
      <c r="Z10" s="130"/>
      <c r="AA10" s="129"/>
      <c r="AB10" s="129"/>
      <c r="AC10" s="129"/>
      <c r="AD10" s="129"/>
      <c r="AE10" s="130"/>
      <c r="AF10" s="129"/>
      <c r="AG10" s="129"/>
      <c r="AH10" s="129"/>
      <c r="AI10" s="129"/>
      <c r="AJ10" s="130"/>
      <c r="AK10" s="129"/>
      <c r="AL10" s="129"/>
      <c r="AM10" s="129"/>
      <c r="AN10" s="129"/>
      <c r="AO10" s="130"/>
      <c r="AP10" s="129"/>
      <c r="AQ10" s="129"/>
      <c r="AR10" s="129"/>
      <c r="AS10" s="129"/>
      <c r="AT10" s="130"/>
      <c r="AU10" s="129"/>
      <c r="AV10" s="129"/>
      <c r="AW10" s="129"/>
      <c r="AX10" s="129"/>
      <c r="AY10" s="78"/>
    </row>
    <row r="11" spans="1:51">
      <c r="A11" s="128" t="s">
        <v>47</v>
      </c>
      <c r="B11" s="129"/>
      <c r="C11" s="129"/>
      <c r="D11" s="129"/>
      <c r="E11" s="129"/>
      <c r="F11" s="130"/>
      <c r="G11" s="129"/>
      <c r="H11" s="129"/>
      <c r="I11" s="129"/>
      <c r="J11" s="129"/>
      <c r="K11" s="130"/>
      <c r="L11" s="129"/>
      <c r="M11" s="129"/>
      <c r="N11" s="129"/>
      <c r="O11" s="129"/>
      <c r="P11" s="130"/>
      <c r="Q11" s="129"/>
      <c r="R11" s="129"/>
      <c r="S11" s="129"/>
      <c r="T11" s="129"/>
      <c r="U11" s="130"/>
      <c r="V11" s="129"/>
      <c r="W11" s="129"/>
      <c r="X11" s="129"/>
      <c r="Y11" s="129"/>
      <c r="Z11" s="130"/>
      <c r="AA11" s="129"/>
      <c r="AB11" s="129"/>
      <c r="AC11" s="129"/>
      <c r="AD11" s="129"/>
      <c r="AE11" s="130"/>
      <c r="AF11" s="129"/>
      <c r="AG11" s="129"/>
      <c r="AH11" s="129"/>
      <c r="AI11" s="129"/>
      <c r="AJ11" s="130"/>
      <c r="AK11" s="129"/>
      <c r="AL11" s="129"/>
      <c r="AM11" s="129"/>
      <c r="AN11" s="129"/>
      <c r="AO11" s="130"/>
      <c r="AP11" s="129"/>
      <c r="AQ11" s="129"/>
      <c r="AR11" s="129"/>
      <c r="AS11" s="129"/>
      <c r="AT11" s="130"/>
      <c r="AU11" s="129"/>
      <c r="AV11" s="129"/>
      <c r="AW11" s="129"/>
      <c r="AX11" s="129"/>
      <c r="AY11" s="78"/>
    </row>
    <row r="12" spans="1:51">
      <c r="A12" s="128" t="s">
        <v>49</v>
      </c>
      <c r="B12" s="129"/>
      <c r="C12" s="129"/>
      <c r="D12" s="129"/>
      <c r="E12" s="129"/>
      <c r="F12" s="130"/>
      <c r="G12" s="129"/>
      <c r="H12" s="129"/>
      <c r="I12" s="129"/>
      <c r="J12" s="129"/>
      <c r="K12" s="130"/>
      <c r="L12" s="129"/>
      <c r="M12" s="129"/>
      <c r="N12" s="129"/>
      <c r="O12" s="129"/>
      <c r="P12" s="130"/>
      <c r="Q12" s="129"/>
      <c r="R12" s="129"/>
      <c r="S12" s="129"/>
      <c r="T12" s="129"/>
      <c r="U12" s="130"/>
      <c r="V12" s="129"/>
      <c r="W12" s="129"/>
      <c r="X12" s="129"/>
      <c r="Y12" s="129"/>
      <c r="Z12" s="130"/>
      <c r="AA12" s="129"/>
      <c r="AB12" s="129"/>
      <c r="AC12" s="129"/>
      <c r="AD12" s="129"/>
      <c r="AE12" s="130"/>
      <c r="AF12" s="129"/>
      <c r="AG12" s="129"/>
      <c r="AH12" s="129"/>
      <c r="AI12" s="129"/>
      <c r="AJ12" s="130"/>
      <c r="AK12" s="129"/>
      <c r="AL12" s="129"/>
      <c r="AM12" s="129"/>
      <c r="AN12" s="129"/>
      <c r="AO12" s="130"/>
      <c r="AP12" s="129"/>
      <c r="AQ12" s="129"/>
      <c r="AR12" s="129"/>
      <c r="AS12" s="129"/>
      <c r="AT12" s="130"/>
      <c r="AU12" s="129"/>
      <c r="AV12" s="129"/>
      <c r="AW12" s="129"/>
      <c r="AX12" s="129"/>
      <c r="AY12" s="78"/>
    </row>
    <row r="13" spans="1:51">
      <c r="A13" s="128" t="s">
        <v>51</v>
      </c>
      <c r="B13" s="129"/>
      <c r="C13" s="129"/>
      <c r="D13" s="129"/>
      <c r="E13" s="129"/>
      <c r="F13" s="130"/>
      <c r="G13" s="129"/>
      <c r="H13" s="129"/>
      <c r="I13" s="129"/>
      <c r="J13" s="129"/>
      <c r="K13" s="130"/>
      <c r="L13" s="129"/>
      <c r="M13" s="129"/>
      <c r="N13" s="129"/>
      <c r="O13" s="129"/>
      <c r="P13" s="130"/>
      <c r="Q13" s="129"/>
      <c r="R13" s="129"/>
      <c r="S13" s="129"/>
      <c r="T13" s="129"/>
      <c r="U13" s="130"/>
      <c r="V13" s="129"/>
      <c r="W13" s="129"/>
      <c r="X13" s="129"/>
      <c r="Y13" s="129"/>
      <c r="Z13" s="130"/>
      <c r="AA13" s="129"/>
      <c r="AB13" s="129"/>
      <c r="AC13" s="129"/>
      <c r="AD13" s="129"/>
      <c r="AE13" s="130"/>
      <c r="AF13" s="129"/>
      <c r="AG13" s="129"/>
      <c r="AH13" s="129"/>
      <c r="AI13" s="129"/>
      <c r="AJ13" s="130"/>
      <c r="AK13" s="129"/>
      <c r="AL13" s="129"/>
      <c r="AM13" s="129"/>
      <c r="AN13" s="129"/>
      <c r="AO13" s="130"/>
      <c r="AP13" s="129"/>
      <c r="AQ13" s="129"/>
      <c r="AR13" s="129"/>
      <c r="AS13" s="129"/>
      <c r="AT13" s="130"/>
      <c r="AU13" s="129"/>
      <c r="AV13" s="129"/>
      <c r="AW13" s="129"/>
      <c r="AX13" s="129"/>
      <c r="AY13" s="78"/>
    </row>
    <row r="14" spans="1:51">
      <c r="A14" s="128" t="s">
        <v>53</v>
      </c>
      <c r="B14" s="129"/>
      <c r="C14" s="129"/>
      <c r="D14" s="129"/>
      <c r="E14" s="129"/>
      <c r="F14" s="130"/>
      <c r="G14" s="129"/>
      <c r="H14" s="129"/>
      <c r="I14" s="129"/>
      <c r="J14" s="129"/>
      <c r="K14" s="130"/>
      <c r="L14" s="129"/>
      <c r="M14" s="129"/>
      <c r="N14" s="129"/>
      <c r="O14" s="129"/>
      <c r="P14" s="130"/>
      <c r="Q14" s="129"/>
      <c r="R14" s="129"/>
      <c r="S14" s="129"/>
      <c r="T14" s="129"/>
      <c r="U14" s="130"/>
      <c r="V14" s="129"/>
      <c r="W14" s="129"/>
      <c r="X14" s="129"/>
      <c r="Y14" s="129"/>
      <c r="Z14" s="130"/>
      <c r="AA14" s="129"/>
      <c r="AB14" s="129"/>
      <c r="AC14" s="129"/>
      <c r="AD14" s="129"/>
      <c r="AE14" s="130"/>
      <c r="AF14" s="129"/>
      <c r="AG14" s="129"/>
      <c r="AH14" s="129"/>
      <c r="AI14" s="129"/>
      <c r="AJ14" s="130"/>
      <c r="AK14" s="129"/>
      <c r="AL14" s="129"/>
      <c r="AM14" s="129"/>
      <c r="AN14" s="129"/>
      <c r="AO14" s="130"/>
      <c r="AP14" s="129"/>
      <c r="AQ14" s="129"/>
      <c r="AR14" s="129"/>
      <c r="AS14" s="129"/>
      <c r="AT14" s="130"/>
      <c r="AU14" s="129"/>
      <c r="AV14" s="129"/>
      <c r="AW14" s="129"/>
      <c r="AX14" s="129"/>
      <c r="AY14" s="78"/>
    </row>
    <row r="15" spans="1:51">
      <c r="A15" s="128" t="s">
        <v>55</v>
      </c>
      <c r="B15" s="129"/>
      <c r="C15" s="129"/>
      <c r="D15" s="129"/>
      <c r="E15" s="129"/>
      <c r="F15" s="130"/>
      <c r="G15" s="129"/>
      <c r="H15" s="129"/>
      <c r="I15" s="129"/>
      <c r="J15" s="129"/>
      <c r="K15" s="130"/>
      <c r="L15" s="129"/>
      <c r="M15" s="129"/>
      <c r="N15" s="129"/>
      <c r="O15" s="129"/>
      <c r="P15" s="130"/>
      <c r="Q15" s="129"/>
      <c r="R15" s="129"/>
      <c r="S15" s="129"/>
      <c r="T15" s="129"/>
      <c r="U15" s="130"/>
      <c r="V15" s="129"/>
      <c r="W15" s="129"/>
      <c r="X15" s="129"/>
      <c r="Y15" s="129"/>
      <c r="Z15" s="130"/>
      <c r="AA15" s="129"/>
      <c r="AB15" s="129"/>
      <c r="AC15" s="129"/>
      <c r="AD15" s="129"/>
      <c r="AE15" s="130"/>
      <c r="AF15" s="129"/>
      <c r="AG15" s="129"/>
      <c r="AH15" s="129"/>
      <c r="AI15" s="129"/>
      <c r="AJ15" s="130"/>
      <c r="AK15" s="129"/>
      <c r="AL15" s="129"/>
      <c r="AM15" s="129"/>
      <c r="AN15" s="129"/>
      <c r="AO15" s="130"/>
      <c r="AP15" s="129"/>
      <c r="AQ15" s="129"/>
      <c r="AR15" s="129"/>
      <c r="AS15" s="129"/>
      <c r="AT15" s="130"/>
      <c r="AU15" s="129"/>
      <c r="AV15" s="129"/>
      <c r="AW15" s="129"/>
      <c r="AX15" s="129"/>
      <c r="AY15" s="78"/>
    </row>
    <row r="16" spans="1:51">
      <c r="A16" s="128" t="s">
        <v>57</v>
      </c>
      <c r="B16" s="129"/>
      <c r="C16" s="129"/>
      <c r="D16" s="129"/>
      <c r="E16" s="129"/>
      <c r="F16" s="130"/>
      <c r="G16" s="129"/>
      <c r="H16" s="129"/>
      <c r="I16" s="129"/>
      <c r="J16" s="129"/>
      <c r="K16" s="130"/>
      <c r="L16" s="129"/>
      <c r="M16" s="129"/>
      <c r="N16" s="129"/>
      <c r="O16" s="129"/>
      <c r="P16" s="130"/>
      <c r="Q16" s="129"/>
      <c r="R16" s="129"/>
      <c r="S16" s="129"/>
      <c r="T16" s="129"/>
      <c r="U16" s="130"/>
      <c r="V16" s="129"/>
      <c r="W16" s="129"/>
      <c r="X16" s="129"/>
      <c r="Y16" s="129"/>
      <c r="Z16" s="130"/>
      <c r="AA16" s="129"/>
      <c r="AB16" s="129"/>
      <c r="AC16" s="129"/>
      <c r="AD16" s="129"/>
      <c r="AE16" s="130"/>
      <c r="AF16" s="129"/>
      <c r="AG16" s="129"/>
      <c r="AH16" s="129"/>
      <c r="AI16" s="129"/>
      <c r="AJ16" s="130"/>
      <c r="AK16" s="129"/>
      <c r="AL16" s="129"/>
      <c r="AM16" s="129"/>
      <c r="AN16" s="129"/>
      <c r="AO16" s="130"/>
      <c r="AP16" s="129"/>
      <c r="AQ16" s="129"/>
      <c r="AR16" s="129"/>
      <c r="AS16" s="129"/>
      <c r="AT16" s="130"/>
      <c r="AU16" s="129"/>
      <c r="AV16" s="129"/>
      <c r="AW16" s="129"/>
      <c r="AX16" s="129"/>
      <c r="AY16" s="78"/>
    </row>
    <row r="17" spans="1:51">
      <c r="A17" s="128" t="s">
        <v>59</v>
      </c>
      <c r="B17" s="129"/>
      <c r="C17" s="129"/>
      <c r="D17" s="129"/>
      <c r="E17" s="129"/>
      <c r="F17" s="130"/>
      <c r="G17" s="129"/>
      <c r="H17" s="129"/>
      <c r="I17" s="129"/>
      <c r="J17" s="129"/>
      <c r="K17" s="130"/>
      <c r="L17" s="129"/>
      <c r="M17" s="129"/>
      <c r="N17" s="129"/>
      <c r="O17" s="129"/>
      <c r="P17" s="130"/>
      <c r="Q17" s="129"/>
      <c r="R17" s="129"/>
      <c r="S17" s="129"/>
      <c r="T17" s="129"/>
      <c r="U17" s="130"/>
      <c r="V17" s="129"/>
      <c r="W17" s="129"/>
      <c r="X17" s="129"/>
      <c r="Y17" s="129"/>
      <c r="Z17" s="130"/>
      <c r="AA17" s="129"/>
      <c r="AB17" s="129"/>
      <c r="AC17" s="129"/>
      <c r="AD17" s="129"/>
      <c r="AE17" s="130"/>
      <c r="AF17" s="129"/>
      <c r="AG17" s="129"/>
      <c r="AH17" s="129"/>
      <c r="AI17" s="129"/>
      <c r="AJ17" s="130"/>
      <c r="AK17" s="129"/>
      <c r="AL17" s="129"/>
      <c r="AM17" s="129"/>
      <c r="AN17" s="129"/>
      <c r="AO17" s="130"/>
      <c r="AP17" s="129"/>
      <c r="AQ17" s="129"/>
      <c r="AR17" s="129"/>
      <c r="AS17" s="129"/>
      <c r="AT17" s="130"/>
      <c r="AU17" s="129"/>
      <c r="AV17" s="129"/>
      <c r="AW17" s="129"/>
      <c r="AX17" s="129"/>
      <c r="AY17" s="78"/>
    </row>
    <row r="18" spans="1:51">
      <c r="A18" s="128" t="s">
        <v>61</v>
      </c>
      <c r="B18" s="129"/>
      <c r="C18" s="129"/>
      <c r="D18" s="129"/>
      <c r="E18" s="129"/>
      <c r="F18" s="130"/>
      <c r="G18" s="129"/>
      <c r="H18" s="129"/>
      <c r="I18" s="129"/>
      <c r="J18" s="129"/>
      <c r="K18" s="130"/>
      <c r="L18" s="129"/>
      <c r="M18" s="129"/>
      <c r="N18" s="129"/>
      <c r="O18" s="129"/>
      <c r="P18" s="130"/>
      <c r="Q18" s="129"/>
      <c r="R18" s="129"/>
      <c r="S18" s="129"/>
      <c r="T18" s="129"/>
      <c r="U18" s="130"/>
      <c r="V18" s="129"/>
      <c r="W18" s="129"/>
      <c r="X18" s="129"/>
      <c r="Y18" s="129"/>
      <c r="Z18" s="130"/>
      <c r="AA18" s="129"/>
      <c r="AB18" s="129"/>
      <c r="AC18" s="129"/>
      <c r="AD18" s="129"/>
      <c r="AE18" s="130"/>
      <c r="AF18" s="129"/>
      <c r="AG18" s="129"/>
      <c r="AH18" s="129"/>
      <c r="AI18" s="129"/>
      <c r="AJ18" s="130"/>
      <c r="AK18" s="129"/>
      <c r="AL18" s="129"/>
      <c r="AM18" s="129"/>
      <c r="AN18" s="129"/>
      <c r="AO18" s="130"/>
      <c r="AP18" s="129"/>
      <c r="AQ18" s="129"/>
      <c r="AR18" s="129"/>
      <c r="AS18" s="129"/>
      <c r="AT18" s="130"/>
      <c r="AU18" s="129"/>
      <c r="AV18" s="129"/>
      <c r="AW18" s="129"/>
      <c r="AX18" s="129"/>
      <c r="AY18" s="78"/>
    </row>
    <row r="19" spans="1:51">
      <c r="A19" s="128" t="s">
        <v>63</v>
      </c>
      <c r="B19" s="129"/>
      <c r="C19" s="129"/>
      <c r="D19" s="129"/>
      <c r="E19" s="129"/>
      <c r="F19" s="130"/>
      <c r="G19" s="129"/>
      <c r="H19" s="129"/>
      <c r="I19" s="129"/>
      <c r="J19" s="129"/>
      <c r="K19" s="130"/>
      <c r="L19" s="129"/>
      <c r="M19" s="129"/>
      <c r="N19" s="129"/>
      <c r="O19" s="129"/>
      <c r="P19" s="130"/>
      <c r="Q19" s="129"/>
      <c r="R19" s="129"/>
      <c r="S19" s="129"/>
      <c r="T19" s="129"/>
      <c r="U19" s="130"/>
      <c r="V19" s="129"/>
      <c r="W19" s="129"/>
      <c r="X19" s="129"/>
      <c r="Y19" s="129"/>
      <c r="Z19" s="130"/>
      <c r="AA19" s="129"/>
      <c r="AB19" s="129"/>
      <c r="AC19" s="129"/>
      <c r="AD19" s="129"/>
      <c r="AE19" s="130"/>
      <c r="AF19" s="129"/>
      <c r="AG19" s="129"/>
      <c r="AH19" s="129"/>
      <c r="AI19" s="129"/>
      <c r="AJ19" s="130"/>
      <c r="AK19" s="129"/>
      <c r="AL19" s="129"/>
      <c r="AM19" s="129"/>
      <c r="AN19" s="129"/>
      <c r="AO19" s="130"/>
      <c r="AP19" s="129"/>
      <c r="AQ19" s="129"/>
      <c r="AR19" s="129"/>
      <c r="AS19" s="129"/>
      <c r="AT19" s="130"/>
      <c r="AU19" s="129"/>
      <c r="AV19" s="129"/>
      <c r="AW19" s="129"/>
      <c r="AX19" s="129"/>
      <c r="AY19" s="78"/>
    </row>
    <row r="20" spans="1:51">
      <c r="A20" s="128" t="s">
        <v>65</v>
      </c>
      <c r="B20" s="129"/>
      <c r="C20" s="129"/>
      <c r="D20" s="129"/>
      <c r="E20" s="129"/>
      <c r="F20" s="130"/>
      <c r="G20" s="129"/>
      <c r="H20" s="129"/>
      <c r="I20" s="129"/>
      <c r="J20" s="129"/>
      <c r="K20" s="130"/>
      <c r="L20" s="129"/>
      <c r="M20" s="129"/>
      <c r="N20" s="129"/>
      <c r="O20" s="129"/>
      <c r="P20" s="130"/>
      <c r="Q20" s="129"/>
      <c r="R20" s="129"/>
      <c r="S20" s="129"/>
      <c r="T20" s="129"/>
      <c r="U20" s="130"/>
      <c r="V20" s="129"/>
      <c r="W20" s="129"/>
      <c r="X20" s="129"/>
      <c r="Y20" s="129"/>
      <c r="Z20" s="130"/>
      <c r="AA20" s="129"/>
      <c r="AB20" s="129"/>
      <c r="AC20" s="129"/>
      <c r="AD20" s="129"/>
      <c r="AE20" s="130"/>
      <c r="AF20" s="129"/>
      <c r="AG20" s="129"/>
      <c r="AH20" s="129"/>
      <c r="AI20" s="129"/>
      <c r="AJ20" s="130"/>
      <c r="AK20" s="129"/>
      <c r="AL20" s="129"/>
      <c r="AM20" s="129"/>
      <c r="AN20" s="129"/>
      <c r="AO20" s="130"/>
      <c r="AP20" s="129"/>
      <c r="AQ20" s="129"/>
      <c r="AR20" s="129"/>
      <c r="AS20" s="129"/>
      <c r="AT20" s="130"/>
      <c r="AU20" s="129"/>
      <c r="AV20" s="129"/>
      <c r="AW20" s="129"/>
      <c r="AX20" s="129"/>
      <c r="AY20" s="78"/>
    </row>
    <row r="21" spans="1:51">
      <c r="A21" s="128" t="s">
        <v>67</v>
      </c>
      <c r="B21" s="129"/>
      <c r="C21" s="129"/>
      <c r="D21" s="129"/>
      <c r="E21" s="129"/>
      <c r="F21" s="130"/>
      <c r="G21" s="129"/>
      <c r="H21" s="129"/>
      <c r="I21" s="129"/>
      <c r="J21" s="129"/>
      <c r="K21" s="130"/>
      <c r="L21" s="129"/>
      <c r="M21" s="129"/>
      <c r="N21" s="129"/>
      <c r="O21" s="129"/>
      <c r="P21" s="130"/>
      <c r="Q21" s="129"/>
      <c r="R21" s="129"/>
      <c r="S21" s="129"/>
      <c r="T21" s="129"/>
      <c r="U21" s="130"/>
      <c r="V21" s="129"/>
      <c r="W21" s="129"/>
      <c r="X21" s="129"/>
      <c r="Y21" s="129"/>
      <c r="Z21" s="130"/>
      <c r="AA21" s="129"/>
      <c r="AB21" s="129"/>
      <c r="AC21" s="129"/>
      <c r="AD21" s="129"/>
      <c r="AE21" s="130"/>
      <c r="AF21" s="129"/>
      <c r="AG21" s="129"/>
      <c r="AH21" s="129"/>
      <c r="AI21" s="129"/>
      <c r="AJ21" s="130"/>
      <c r="AK21" s="129"/>
      <c r="AL21" s="129"/>
      <c r="AM21" s="129"/>
      <c r="AN21" s="129"/>
      <c r="AO21" s="130"/>
      <c r="AP21" s="129"/>
      <c r="AQ21" s="129"/>
      <c r="AR21" s="129"/>
      <c r="AS21" s="129"/>
      <c r="AT21" s="130"/>
      <c r="AU21" s="129"/>
      <c r="AV21" s="129"/>
      <c r="AW21" s="129"/>
      <c r="AX21" s="129"/>
      <c r="AY21" s="78"/>
    </row>
    <row r="22" spans="1:51">
      <c r="A22" s="128" t="s">
        <v>69</v>
      </c>
      <c r="B22" s="129"/>
      <c r="C22" s="129"/>
      <c r="D22" s="129"/>
      <c r="E22" s="129"/>
      <c r="F22" s="130"/>
      <c r="G22" s="129"/>
      <c r="H22" s="129"/>
      <c r="I22" s="129"/>
      <c r="J22" s="129"/>
      <c r="K22" s="130"/>
      <c r="L22" s="129"/>
      <c r="M22" s="129"/>
      <c r="N22" s="129"/>
      <c r="O22" s="129"/>
      <c r="P22" s="130"/>
      <c r="Q22" s="129"/>
      <c r="R22" s="129"/>
      <c r="S22" s="129"/>
      <c r="T22" s="129"/>
      <c r="U22" s="130"/>
      <c r="V22" s="129"/>
      <c r="W22" s="129"/>
      <c r="X22" s="129"/>
      <c r="Y22" s="129"/>
      <c r="Z22" s="130"/>
      <c r="AA22" s="129"/>
      <c r="AB22" s="129"/>
      <c r="AC22" s="129"/>
      <c r="AD22" s="129"/>
      <c r="AE22" s="130"/>
      <c r="AF22" s="129"/>
      <c r="AG22" s="129"/>
      <c r="AH22" s="129"/>
      <c r="AI22" s="129"/>
      <c r="AJ22" s="130"/>
      <c r="AK22" s="129"/>
      <c r="AL22" s="129"/>
      <c r="AM22" s="129"/>
      <c r="AN22" s="129"/>
      <c r="AO22" s="130"/>
      <c r="AP22" s="129"/>
      <c r="AQ22" s="129"/>
      <c r="AR22" s="129"/>
      <c r="AS22" s="129"/>
      <c r="AT22" s="130"/>
      <c r="AU22" s="129"/>
      <c r="AV22" s="129"/>
      <c r="AW22" s="129"/>
      <c r="AX22" s="129"/>
      <c r="AY22" s="78"/>
    </row>
    <row r="23" spans="1:51">
      <c r="A23" s="128" t="s">
        <v>71</v>
      </c>
      <c r="B23" s="129"/>
      <c r="C23" s="129"/>
      <c r="D23" s="129"/>
      <c r="E23" s="129"/>
      <c r="F23" s="130"/>
      <c r="G23" s="129"/>
      <c r="H23" s="129"/>
      <c r="I23" s="129"/>
      <c r="J23" s="129"/>
      <c r="K23" s="130"/>
      <c r="L23" s="129"/>
      <c r="M23" s="129"/>
      <c r="N23" s="129"/>
      <c r="O23" s="129"/>
      <c r="P23" s="130"/>
      <c r="Q23" s="129"/>
      <c r="R23" s="129"/>
      <c r="S23" s="129"/>
      <c r="T23" s="129"/>
      <c r="U23" s="130"/>
      <c r="V23" s="129"/>
      <c r="W23" s="129"/>
      <c r="X23" s="129"/>
      <c r="Y23" s="129"/>
      <c r="Z23" s="130"/>
      <c r="AA23" s="129"/>
      <c r="AB23" s="129"/>
      <c r="AC23" s="129"/>
      <c r="AD23" s="129"/>
      <c r="AE23" s="130"/>
      <c r="AF23" s="129"/>
      <c r="AG23" s="129"/>
      <c r="AH23" s="129"/>
      <c r="AI23" s="129"/>
      <c r="AJ23" s="130"/>
      <c r="AK23" s="129"/>
      <c r="AL23" s="129"/>
      <c r="AM23" s="129"/>
      <c r="AN23" s="129"/>
      <c r="AO23" s="130"/>
      <c r="AP23" s="129"/>
      <c r="AQ23" s="129"/>
      <c r="AR23" s="129"/>
      <c r="AS23" s="129"/>
      <c r="AT23" s="130"/>
      <c r="AU23" s="129"/>
      <c r="AV23" s="129"/>
      <c r="AW23" s="129"/>
      <c r="AX23" s="129"/>
      <c r="AY23" s="78"/>
    </row>
    <row r="24" spans="1:51">
      <c r="A24" s="128" t="s">
        <v>73</v>
      </c>
      <c r="B24" s="129"/>
      <c r="C24" s="129"/>
      <c r="D24" s="129"/>
      <c r="E24" s="129"/>
      <c r="F24" s="130"/>
      <c r="G24" s="129"/>
      <c r="H24" s="129"/>
      <c r="I24" s="129"/>
      <c r="J24" s="129"/>
      <c r="K24" s="130"/>
      <c r="L24" s="129"/>
      <c r="M24" s="129"/>
      <c r="N24" s="129"/>
      <c r="O24" s="129"/>
      <c r="P24" s="130"/>
      <c r="Q24" s="129"/>
      <c r="R24" s="129"/>
      <c r="S24" s="129"/>
      <c r="T24" s="129"/>
      <c r="U24" s="130"/>
      <c r="V24" s="129"/>
      <c r="W24" s="129"/>
      <c r="X24" s="129"/>
      <c r="Y24" s="129"/>
      <c r="Z24" s="130"/>
      <c r="AA24" s="129"/>
      <c r="AB24" s="129"/>
      <c r="AC24" s="129"/>
      <c r="AD24" s="129"/>
      <c r="AE24" s="130"/>
      <c r="AF24" s="129"/>
      <c r="AG24" s="129"/>
      <c r="AH24" s="129"/>
      <c r="AI24" s="129"/>
      <c r="AJ24" s="130"/>
      <c r="AK24" s="129"/>
      <c r="AL24" s="129"/>
      <c r="AM24" s="129"/>
      <c r="AN24" s="129"/>
      <c r="AO24" s="130"/>
      <c r="AP24" s="129"/>
      <c r="AQ24" s="129"/>
      <c r="AR24" s="129"/>
      <c r="AS24" s="129"/>
      <c r="AT24" s="130"/>
      <c r="AU24" s="129"/>
      <c r="AV24" s="129"/>
      <c r="AW24" s="129"/>
      <c r="AX24" s="129"/>
      <c r="AY24" s="78"/>
    </row>
    <row r="25" spans="1:51">
      <c r="A25" s="128" t="s">
        <v>75</v>
      </c>
      <c r="B25" s="129"/>
      <c r="C25" s="129"/>
      <c r="D25" s="129"/>
      <c r="E25" s="129"/>
      <c r="F25" s="130"/>
      <c r="G25" s="129"/>
      <c r="H25" s="129"/>
      <c r="I25" s="129"/>
      <c r="J25" s="129"/>
      <c r="K25" s="130"/>
      <c r="L25" s="129"/>
      <c r="M25" s="129"/>
      <c r="N25" s="129"/>
      <c r="O25" s="129"/>
      <c r="P25" s="130"/>
      <c r="Q25" s="129"/>
      <c r="R25" s="129"/>
      <c r="S25" s="129"/>
      <c r="T25" s="129"/>
      <c r="U25" s="130"/>
      <c r="V25" s="129"/>
      <c r="W25" s="129"/>
      <c r="X25" s="129"/>
      <c r="Y25" s="129"/>
      <c r="Z25" s="130"/>
      <c r="AA25" s="129"/>
      <c r="AB25" s="129"/>
      <c r="AC25" s="129"/>
      <c r="AD25" s="129"/>
      <c r="AE25" s="130"/>
      <c r="AF25" s="129"/>
      <c r="AG25" s="129"/>
      <c r="AH25" s="129"/>
      <c r="AI25" s="129"/>
      <c r="AJ25" s="130"/>
      <c r="AK25" s="129"/>
      <c r="AL25" s="129"/>
      <c r="AM25" s="129"/>
      <c r="AN25" s="129"/>
      <c r="AO25" s="130"/>
      <c r="AP25" s="129"/>
      <c r="AQ25" s="129"/>
      <c r="AR25" s="129"/>
      <c r="AS25" s="129"/>
      <c r="AT25" s="130"/>
      <c r="AU25" s="129"/>
      <c r="AV25" s="129"/>
      <c r="AW25" s="129"/>
      <c r="AX25" s="129"/>
      <c r="AY25" s="78"/>
    </row>
    <row r="26" spans="1:51">
      <c r="A26" s="128" t="s">
        <v>77</v>
      </c>
      <c r="B26" s="129"/>
      <c r="C26" s="129"/>
      <c r="D26" s="129"/>
      <c r="E26" s="129"/>
      <c r="F26" s="130"/>
      <c r="G26" s="129"/>
      <c r="H26" s="129"/>
      <c r="I26" s="129"/>
      <c r="J26" s="129"/>
      <c r="K26" s="130"/>
      <c r="L26" s="129"/>
      <c r="M26" s="129"/>
      <c r="N26" s="129"/>
      <c r="O26" s="129"/>
      <c r="P26" s="130"/>
      <c r="Q26" s="129"/>
      <c r="R26" s="129"/>
      <c r="S26" s="129"/>
      <c r="T26" s="129"/>
      <c r="U26" s="130"/>
      <c r="V26" s="129"/>
      <c r="W26" s="129"/>
      <c r="X26" s="129"/>
      <c r="Y26" s="129"/>
      <c r="Z26" s="130"/>
      <c r="AA26" s="129"/>
      <c r="AB26" s="129"/>
      <c r="AC26" s="129"/>
      <c r="AD26" s="129"/>
      <c r="AE26" s="130"/>
      <c r="AF26" s="129"/>
      <c r="AG26" s="129"/>
      <c r="AH26" s="129"/>
      <c r="AI26" s="129"/>
      <c r="AJ26" s="130"/>
      <c r="AK26" s="129"/>
      <c r="AL26" s="129"/>
      <c r="AM26" s="129"/>
      <c r="AN26" s="129"/>
      <c r="AO26" s="130"/>
      <c r="AP26" s="129"/>
      <c r="AQ26" s="129"/>
      <c r="AR26" s="129"/>
      <c r="AS26" s="129"/>
      <c r="AT26" s="130"/>
      <c r="AU26" s="129"/>
      <c r="AV26" s="129"/>
      <c r="AW26" s="129"/>
      <c r="AX26" s="129"/>
      <c r="AY26" s="78"/>
    </row>
    <row r="27" spans="1:51">
      <c r="A27" s="128" t="s">
        <v>79</v>
      </c>
      <c r="B27" s="129"/>
      <c r="C27" s="129"/>
      <c r="D27" s="129"/>
      <c r="E27" s="129"/>
      <c r="F27" s="130"/>
      <c r="G27" s="129"/>
      <c r="H27" s="129"/>
      <c r="I27" s="129"/>
      <c r="J27" s="129"/>
      <c r="K27" s="130"/>
      <c r="L27" s="129"/>
      <c r="M27" s="129"/>
      <c r="N27" s="129"/>
      <c r="O27" s="129"/>
      <c r="P27" s="130"/>
      <c r="Q27" s="129"/>
      <c r="R27" s="129"/>
      <c r="S27" s="129"/>
      <c r="T27" s="129"/>
      <c r="U27" s="130"/>
      <c r="V27" s="129"/>
      <c r="W27" s="129"/>
      <c r="X27" s="129"/>
      <c r="Y27" s="129"/>
      <c r="Z27" s="130"/>
      <c r="AA27" s="129"/>
      <c r="AB27" s="129"/>
      <c r="AC27" s="129"/>
      <c r="AD27" s="129"/>
      <c r="AE27" s="130"/>
      <c r="AF27" s="129"/>
      <c r="AG27" s="129"/>
      <c r="AH27" s="129"/>
      <c r="AI27" s="129"/>
      <c r="AJ27" s="130"/>
      <c r="AK27" s="129"/>
      <c r="AL27" s="129"/>
      <c r="AM27" s="129"/>
      <c r="AN27" s="129"/>
      <c r="AO27" s="130"/>
      <c r="AP27" s="129"/>
      <c r="AQ27" s="129"/>
      <c r="AR27" s="129"/>
      <c r="AS27" s="129"/>
      <c r="AT27" s="130"/>
      <c r="AU27" s="129"/>
      <c r="AV27" s="129"/>
      <c r="AW27" s="129"/>
      <c r="AX27" s="129"/>
      <c r="AY27" s="78"/>
    </row>
    <row r="28" spans="1:51">
      <c r="A28" s="128" t="s">
        <v>81</v>
      </c>
      <c r="B28" s="129"/>
      <c r="C28" s="129"/>
      <c r="D28" s="129"/>
      <c r="E28" s="129"/>
      <c r="F28" s="130"/>
      <c r="G28" s="129"/>
      <c r="H28" s="129"/>
      <c r="I28" s="129"/>
      <c r="J28" s="129"/>
      <c r="K28" s="130"/>
      <c r="L28" s="129"/>
      <c r="M28" s="129"/>
      <c r="N28" s="129"/>
      <c r="O28" s="129"/>
      <c r="P28" s="130"/>
      <c r="Q28" s="129"/>
      <c r="R28" s="129"/>
      <c r="S28" s="129"/>
      <c r="T28" s="129"/>
      <c r="U28" s="130"/>
      <c r="V28" s="129"/>
      <c r="W28" s="129"/>
      <c r="X28" s="129"/>
      <c r="Y28" s="129"/>
      <c r="Z28" s="130"/>
      <c r="AA28" s="129"/>
      <c r="AB28" s="129"/>
      <c r="AC28" s="129"/>
      <c r="AD28" s="129"/>
      <c r="AE28" s="130"/>
      <c r="AF28" s="129"/>
      <c r="AG28" s="129"/>
      <c r="AH28" s="129"/>
      <c r="AI28" s="129"/>
      <c r="AJ28" s="130"/>
      <c r="AK28" s="129"/>
      <c r="AL28" s="129"/>
      <c r="AM28" s="129"/>
      <c r="AN28" s="129"/>
      <c r="AO28" s="130"/>
      <c r="AP28" s="129"/>
      <c r="AQ28" s="129"/>
      <c r="AR28" s="129"/>
      <c r="AS28" s="129"/>
      <c r="AT28" s="130"/>
      <c r="AU28" s="129"/>
      <c r="AV28" s="129"/>
      <c r="AW28" s="129"/>
      <c r="AX28" s="129"/>
      <c r="AY28" s="78"/>
    </row>
    <row r="29" spans="1:51">
      <c r="A29" s="128" t="s">
        <v>83</v>
      </c>
      <c r="B29" s="129"/>
      <c r="C29" s="129"/>
      <c r="D29" s="129"/>
      <c r="E29" s="129"/>
      <c r="F29" s="130"/>
      <c r="G29" s="129"/>
      <c r="H29" s="129"/>
      <c r="I29" s="129"/>
      <c r="J29" s="129"/>
      <c r="K29" s="130"/>
      <c r="L29" s="129"/>
      <c r="M29" s="129"/>
      <c r="N29" s="129"/>
      <c r="O29" s="129"/>
      <c r="P29" s="130"/>
      <c r="Q29" s="129"/>
      <c r="R29" s="129"/>
      <c r="S29" s="129"/>
      <c r="T29" s="129"/>
      <c r="U29" s="130"/>
      <c r="V29" s="129"/>
      <c r="W29" s="129"/>
      <c r="X29" s="129"/>
      <c r="Y29" s="129"/>
      <c r="Z29" s="130"/>
      <c r="AA29" s="129"/>
      <c r="AB29" s="129"/>
      <c r="AC29" s="129"/>
      <c r="AD29" s="129"/>
      <c r="AE29" s="130"/>
      <c r="AF29" s="129"/>
      <c r="AG29" s="129"/>
      <c r="AH29" s="129"/>
      <c r="AI29" s="129"/>
      <c r="AJ29" s="130"/>
      <c r="AK29" s="129"/>
      <c r="AL29" s="129"/>
      <c r="AM29" s="129"/>
      <c r="AN29" s="129"/>
      <c r="AO29" s="130"/>
      <c r="AP29" s="129"/>
      <c r="AQ29" s="129"/>
      <c r="AR29" s="129"/>
      <c r="AS29" s="129"/>
      <c r="AT29" s="130"/>
      <c r="AU29" s="129"/>
      <c r="AV29" s="129"/>
      <c r="AW29" s="129"/>
      <c r="AX29" s="129"/>
      <c r="AY29" s="78"/>
    </row>
    <row r="30" spans="1:51">
      <c r="A30" s="128" t="s">
        <v>85</v>
      </c>
      <c r="B30" s="129"/>
      <c r="C30" s="129"/>
      <c r="D30" s="129"/>
      <c r="E30" s="129"/>
      <c r="F30" s="130"/>
      <c r="G30" s="129"/>
      <c r="H30" s="129"/>
      <c r="I30" s="129"/>
      <c r="J30" s="129"/>
      <c r="K30" s="130"/>
      <c r="L30" s="129"/>
      <c r="M30" s="129"/>
      <c r="N30" s="129"/>
      <c r="O30" s="129"/>
      <c r="P30" s="130"/>
      <c r="Q30" s="129"/>
      <c r="R30" s="129"/>
      <c r="S30" s="129"/>
      <c r="T30" s="129"/>
      <c r="U30" s="130"/>
      <c r="V30" s="129"/>
      <c r="W30" s="129"/>
      <c r="X30" s="129"/>
      <c r="Y30" s="129"/>
      <c r="Z30" s="130"/>
      <c r="AA30" s="129"/>
      <c r="AB30" s="129"/>
      <c r="AC30" s="129"/>
      <c r="AD30" s="129"/>
      <c r="AE30" s="130"/>
      <c r="AF30" s="129"/>
      <c r="AG30" s="129"/>
      <c r="AH30" s="129"/>
      <c r="AI30" s="129"/>
      <c r="AJ30" s="130"/>
      <c r="AK30" s="129"/>
      <c r="AL30" s="129"/>
      <c r="AM30" s="129"/>
      <c r="AN30" s="129"/>
      <c r="AO30" s="130"/>
      <c r="AP30" s="129"/>
      <c r="AQ30" s="129"/>
      <c r="AR30" s="129"/>
      <c r="AS30" s="129"/>
      <c r="AT30" s="130"/>
      <c r="AU30" s="129"/>
      <c r="AV30" s="129"/>
      <c r="AW30" s="129"/>
      <c r="AX30" s="129"/>
      <c r="AY30" s="78"/>
    </row>
    <row r="31" spans="1:51">
      <c r="A31" s="128" t="s">
        <v>87</v>
      </c>
      <c r="B31" s="129"/>
      <c r="C31" s="129"/>
      <c r="D31" s="129"/>
      <c r="E31" s="129"/>
      <c r="F31" s="130"/>
      <c r="G31" s="129"/>
      <c r="H31" s="129"/>
      <c r="I31" s="129"/>
      <c r="J31" s="129"/>
      <c r="K31" s="130"/>
      <c r="L31" s="129"/>
      <c r="M31" s="129"/>
      <c r="N31" s="129"/>
      <c r="O31" s="129"/>
      <c r="P31" s="130"/>
      <c r="Q31" s="129"/>
      <c r="R31" s="129"/>
      <c r="S31" s="129"/>
      <c r="T31" s="129"/>
      <c r="U31" s="130"/>
      <c r="V31" s="129"/>
      <c r="W31" s="129"/>
      <c r="X31" s="129"/>
      <c r="Y31" s="129"/>
      <c r="Z31" s="130"/>
      <c r="AA31" s="129"/>
      <c r="AB31" s="129"/>
      <c r="AC31" s="129"/>
      <c r="AD31" s="129"/>
      <c r="AE31" s="130"/>
      <c r="AF31" s="129"/>
      <c r="AG31" s="129"/>
      <c r="AH31" s="129"/>
      <c r="AI31" s="129"/>
      <c r="AJ31" s="130"/>
      <c r="AK31" s="129"/>
      <c r="AL31" s="129"/>
      <c r="AM31" s="129"/>
      <c r="AN31" s="129"/>
      <c r="AO31" s="130"/>
      <c r="AP31" s="129"/>
      <c r="AQ31" s="129"/>
      <c r="AR31" s="129"/>
      <c r="AS31" s="129"/>
      <c r="AT31" s="130"/>
      <c r="AU31" s="129"/>
      <c r="AV31" s="129"/>
      <c r="AW31" s="129"/>
      <c r="AX31" s="129"/>
      <c r="AY31" s="78"/>
    </row>
    <row r="32" spans="1:51">
      <c r="A32" s="128" t="s">
        <v>89</v>
      </c>
      <c r="B32" s="129"/>
      <c r="C32" s="129"/>
      <c r="D32" s="129"/>
      <c r="E32" s="129"/>
      <c r="F32" s="130"/>
      <c r="G32" s="129"/>
      <c r="H32" s="129"/>
      <c r="I32" s="129"/>
      <c r="J32" s="129"/>
      <c r="K32" s="130"/>
      <c r="L32" s="129"/>
      <c r="M32" s="129"/>
      <c r="N32" s="129"/>
      <c r="O32" s="129"/>
      <c r="P32" s="130"/>
      <c r="Q32" s="129"/>
      <c r="R32" s="129"/>
      <c r="S32" s="129"/>
      <c r="T32" s="129"/>
      <c r="U32" s="130"/>
      <c r="V32" s="129"/>
      <c r="W32" s="129"/>
      <c r="X32" s="129"/>
      <c r="Y32" s="129"/>
      <c r="Z32" s="130"/>
      <c r="AA32" s="129"/>
      <c r="AB32" s="129"/>
      <c r="AC32" s="129"/>
      <c r="AD32" s="129"/>
      <c r="AE32" s="130"/>
      <c r="AF32" s="129"/>
      <c r="AG32" s="129"/>
      <c r="AH32" s="129"/>
      <c r="AI32" s="129"/>
      <c r="AJ32" s="130"/>
      <c r="AK32" s="129"/>
      <c r="AL32" s="129"/>
      <c r="AM32" s="129"/>
      <c r="AN32" s="129"/>
      <c r="AO32" s="130"/>
      <c r="AP32" s="129"/>
      <c r="AQ32" s="129"/>
      <c r="AR32" s="129"/>
      <c r="AS32" s="129"/>
      <c r="AT32" s="130"/>
      <c r="AU32" s="129"/>
      <c r="AV32" s="129"/>
      <c r="AW32" s="129"/>
      <c r="AX32" s="129"/>
      <c r="AY32" s="78"/>
    </row>
    <row r="33" spans="1:51">
      <c r="A33" s="128" t="s">
        <v>91</v>
      </c>
      <c r="B33" s="129"/>
      <c r="C33" s="129"/>
      <c r="D33" s="129"/>
      <c r="E33" s="129"/>
      <c r="F33" s="130"/>
      <c r="G33" s="129"/>
      <c r="H33" s="129"/>
      <c r="I33" s="129"/>
      <c r="J33" s="129"/>
      <c r="K33" s="130"/>
      <c r="L33" s="129"/>
      <c r="M33" s="129"/>
      <c r="N33" s="129"/>
      <c r="O33" s="129"/>
      <c r="P33" s="130"/>
      <c r="Q33" s="129"/>
      <c r="R33" s="129"/>
      <c r="S33" s="129"/>
      <c r="T33" s="129"/>
      <c r="U33" s="130"/>
      <c r="V33" s="129"/>
      <c r="W33" s="129"/>
      <c r="X33" s="129"/>
      <c r="Y33" s="129"/>
      <c r="Z33" s="130"/>
      <c r="AA33" s="129"/>
      <c r="AB33" s="129"/>
      <c r="AC33" s="129"/>
      <c r="AD33" s="129"/>
      <c r="AE33" s="130"/>
      <c r="AF33" s="129"/>
      <c r="AG33" s="129"/>
      <c r="AH33" s="129"/>
      <c r="AI33" s="129"/>
      <c r="AJ33" s="130"/>
      <c r="AK33" s="129"/>
      <c r="AL33" s="129"/>
      <c r="AM33" s="129"/>
      <c r="AN33" s="129"/>
      <c r="AO33" s="130"/>
      <c r="AP33" s="129"/>
      <c r="AQ33" s="129"/>
      <c r="AR33" s="129"/>
      <c r="AS33" s="129"/>
      <c r="AT33" s="130"/>
      <c r="AU33" s="129"/>
      <c r="AV33" s="129"/>
      <c r="AW33" s="129"/>
      <c r="AX33" s="129"/>
      <c r="AY33" s="78"/>
    </row>
    <row r="34" spans="1:51">
      <c r="A34" s="128" t="s">
        <v>93</v>
      </c>
      <c r="B34" s="129"/>
      <c r="C34" s="129"/>
      <c r="D34" s="129"/>
      <c r="E34" s="129"/>
      <c r="F34" s="130"/>
      <c r="G34" s="129"/>
      <c r="H34" s="129"/>
      <c r="I34" s="129"/>
      <c r="J34" s="129"/>
      <c r="K34" s="130"/>
      <c r="L34" s="129"/>
      <c r="M34" s="129"/>
      <c r="N34" s="129"/>
      <c r="O34" s="129"/>
      <c r="P34" s="130"/>
      <c r="Q34" s="129"/>
      <c r="R34" s="129"/>
      <c r="S34" s="129"/>
      <c r="T34" s="129"/>
      <c r="U34" s="130"/>
      <c r="V34" s="129"/>
      <c r="W34" s="129"/>
      <c r="X34" s="129"/>
      <c r="Y34" s="129"/>
      <c r="Z34" s="130"/>
      <c r="AA34" s="129"/>
      <c r="AB34" s="129"/>
      <c r="AC34" s="129"/>
      <c r="AD34" s="129"/>
      <c r="AE34" s="130"/>
      <c r="AF34" s="129"/>
      <c r="AG34" s="129"/>
      <c r="AH34" s="129"/>
      <c r="AI34" s="129"/>
      <c r="AJ34" s="130"/>
      <c r="AK34" s="129"/>
      <c r="AL34" s="129"/>
      <c r="AM34" s="129"/>
      <c r="AN34" s="129"/>
      <c r="AO34" s="130"/>
      <c r="AP34" s="129"/>
      <c r="AQ34" s="129"/>
      <c r="AR34" s="129"/>
      <c r="AS34" s="129"/>
      <c r="AT34" s="130"/>
      <c r="AU34" s="129"/>
      <c r="AV34" s="129"/>
      <c r="AW34" s="129"/>
      <c r="AX34" s="129"/>
      <c r="AY34" s="78"/>
    </row>
    <row r="35" spans="1:51">
      <c r="A35" s="128" t="s">
        <v>95</v>
      </c>
      <c r="B35" s="129"/>
      <c r="C35" s="129"/>
      <c r="D35" s="129"/>
      <c r="E35" s="129"/>
      <c r="F35" s="130"/>
      <c r="G35" s="129"/>
      <c r="H35" s="129"/>
      <c r="I35" s="129"/>
      <c r="J35" s="129"/>
      <c r="K35" s="130"/>
      <c r="L35" s="129"/>
      <c r="M35" s="129"/>
      <c r="N35" s="129"/>
      <c r="O35" s="129"/>
      <c r="P35" s="130"/>
      <c r="Q35" s="129"/>
      <c r="R35" s="129"/>
      <c r="S35" s="129"/>
      <c r="T35" s="129"/>
      <c r="U35" s="130"/>
      <c r="V35" s="129"/>
      <c r="W35" s="129"/>
      <c r="X35" s="129"/>
      <c r="Y35" s="129"/>
      <c r="Z35" s="130"/>
      <c r="AA35" s="129"/>
      <c r="AB35" s="129"/>
      <c r="AC35" s="129"/>
      <c r="AD35" s="129"/>
      <c r="AE35" s="130"/>
      <c r="AF35" s="129"/>
      <c r="AG35" s="129"/>
      <c r="AH35" s="129"/>
      <c r="AI35" s="129"/>
      <c r="AJ35" s="130"/>
      <c r="AK35" s="129"/>
      <c r="AL35" s="129"/>
      <c r="AM35" s="129"/>
      <c r="AN35" s="129"/>
      <c r="AO35" s="130"/>
      <c r="AP35" s="129"/>
      <c r="AQ35" s="129"/>
      <c r="AR35" s="129"/>
      <c r="AS35" s="129"/>
      <c r="AT35" s="130"/>
      <c r="AU35" s="129"/>
      <c r="AV35" s="129"/>
      <c r="AW35" s="129"/>
      <c r="AX35" s="129"/>
      <c r="AY35" s="78"/>
    </row>
    <row r="36" spans="1:51">
      <c r="A36" s="128" t="s">
        <v>97</v>
      </c>
      <c r="B36" s="129"/>
      <c r="C36" s="129"/>
      <c r="D36" s="129"/>
      <c r="E36" s="129"/>
      <c r="F36" s="130"/>
      <c r="G36" s="129"/>
      <c r="H36" s="129"/>
      <c r="I36" s="129"/>
      <c r="J36" s="129"/>
      <c r="K36" s="130"/>
      <c r="L36" s="129"/>
      <c r="M36" s="129"/>
      <c r="N36" s="129"/>
      <c r="O36" s="129"/>
      <c r="P36" s="130"/>
      <c r="Q36" s="129"/>
      <c r="R36" s="129"/>
      <c r="S36" s="129"/>
      <c r="T36" s="129"/>
      <c r="U36" s="130"/>
      <c r="V36" s="129"/>
      <c r="W36" s="129"/>
      <c r="X36" s="129"/>
      <c r="Y36" s="129"/>
      <c r="Z36" s="130"/>
      <c r="AA36" s="129"/>
      <c r="AB36" s="129"/>
      <c r="AC36" s="129"/>
      <c r="AD36" s="129"/>
      <c r="AE36" s="130"/>
      <c r="AF36" s="129"/>
      <c r="AG36" s="129"/>
      <c r="AH36" s="129"/>
      <c r="AI36" s="129"/>
      <c r="AJ36" s="130"/>
      <c r="AK36" s="129"/>
      <c r="AL36" s="129"/>
      <c r="AM36" s="129"/>
      <c r="AN36" s="129"/>
      <c r="AO36" s="130"/>
      <c r="AP36" s="129"/>
      <c r="AQ36" s="129"/>
      <c r="AR36" s="129"/>
      <c r="AS36" s="129"/>
      <c r="AT36" s="130"/>
      <c r="AU36" s="129"/>
      <c r="AV36" s="129"/>
      <c r="AW36" s="129"/>
      <c r="AX36" s="129"/>
      <c r="AY36" s="78"/>
    </row>
    <row r="37" spans="1:51">
      <c r="A37" s="128" t="s">
        <v>99</v>
      </c>
      <c r="B37" s="129"/>
      <c r="C37" s="129"/>
      <c r="D37" s="129"/>
      <c r="E37" s="129"/>
      <c r="F37" s="130"/>
      <c r="G37" s="129"/>
      <c r="H37" s="129"/>
      <c r="I37" s="129"/>
      <c r="J37" s="129"/>
      <c r="K37" s="130"/>
      <c r="L37" s="129"/>
      <c r="M37" s="129"/>
      <c r="N37" s="129"/>
      <c r="O37" s="129"/>
      <c r="P37" s="130"/>
      <c r="Q37" s="129"/>
      <c r="R37" s="129"/>
      <c r="S37" s="129"/>
      <c r="T37" s="129"/>
      <c r="U37" s="130"/>
      <c r="V37" s="129"/>
      <c r="W37" s="129"/>
      <c r="X37" s="129"/>
      <c r="Y37" s="129"/>
      <c r="Z37" s="130"/>
      <c r="AA37" s="129"/>
      <c r="AB37" s="129"/>
      <c r="AC37" s="129"/>
      <c r="AD37" s="129"/>
      <c r="AE37" s="130"/>
      <c r="AF37" s="129"/>
      <c r="AG37" s="129"/>
      <c r="AH37" s="129"/>
      <c r="AI37" s="129"/>
      <c r="AJ37" s="130"/>
      <c r="AK37" s="129"/>
      <c r="AL37" s="129"/>
      <c r="AM37" s="129"/>
      <c r="AN37" s="129"/>
      <c r="AO37" s="130"/>
      <c r="AP37" s="129"/>
      <c r="AQ37" s="129"/>
      <c r="AR37" s="129"/>
      <c r="AS37" s="129"/>
      <c r="AT37" s="130"/>
      <c r="AU37" s="129"/>
      <c r="AV37" s="129"/>
      <c r="AW37" s="129"/>
      <c r="AX37" s="129"/>
      <c r="AY37" s="78"/>
    </row>
    <row r="38" spans="1:51">
      <c r="A38" s="128" t="s">
        <v>101</v>
      </c>
      <c r="B38" s="129"/>
      <c r="C38" s="129"/>
      <c r="D38" s="129"/>
      <c r="E38" s="129"/>
      <c r="F38" s="130"/>
      <c r="G38" s="129"/>
      <c r="H38" s="129"/>
      <c r="I38" s="129"/>
      <c r="J38" s="129"/>
      <c r="K38" s="130"/>
      <c r="L38" s="129"/>
      <c r="M38" s="129"/>
      <c r="N38" s="129"/>
      <c r="O38" s="129"/>
      <c r="P38" s="130"/>
      <c r="Q38" s="129"/>
      <c r="R38" s="129"/>
      <c r="S38" s="129"/>
      <c r="T38" s="129"/>
      <c r="U38" s="130"/>
      <c r="V38" s="129"/>
      <c r="W38" s="129"/>
      <c r="X38" s="129"/>
      <c r="Y38" s="129"/>
      <c r="Z38" s="130"/>
      <c r="AA38" s="129"/>
      <c r="AB38" s="129"/>
      <c r="AC38" s="129"/>
      <c r="AD38" s="129"/>
      <c r="AE38" s="130"/>
      <c r="AF38" s="129"/>
      <c r="AG38" s="129"/>
      <c r="AH38" s="129"/>
      <c r="AI38" s="129"/>
      <c r="AJ38" s="130"/>
      <c r="AK38" s="129"/>
      <c r="AL38" s="129"/>
      <c r="AM38" s="129"/>
      <c r="AN38" s="129"/>
      <c r="AO38" s="130"/>
      <c r="AP38" s="129"/>
      <c r="AQ38" s="129"/>
      <c r="AR38" s="129"/>
      <c r="AS38" s="129"/>
      <c r="AT38" s="130"/>
      <c r="AU38" s="129"/>
      <c r="AV38" s="129"/>
      <c r="AW38" s="129"/>
      <c r="AX38" s="129"/>
      <c r="AY38" s="78"/>
    </row>
    <row r="39" spans="1:51">
      <c r="A39" s="128" t="s">
        <v>103</v>
      </c>
      <c r="B39" s="129"/>
      <c r="C39" s="129"/>
      <c r="D39" s="129"/>
      <c r="E39" s="129"/>
      <c r="F39" s="130"/>
      <c r="G39" s="129"/>
      <c r="H39" s="129"/>
      <c r="I39" s="129"/>
      <c r="J39" s="129"/>
      <c r="K39" s="130"/>
      <c r="L39" s="129"/>
      <c r="M39" s="129"/>
      <c r="N39" s="129"/>
      <c r="O39" s="129"/>
      <c r="P39" s="130"/>
      <c r="Q39" s="129"/>
      <c r="R39" s="129"/>
      <c r="S39" s="129"/>
      <c r="T39" s="129"/>
      <c r="U39" s="130"/>
      <c r="V39" s="129"/>
      <c r="W39" s="129"/>
      <c r="X39" s="129"/>
      <c r="Y39" s="129"/>
      <c r="Z39" s="130"/>
      <c r="AA39" s="129"/>
      <c r="AB39" s="129"/>
      <c r="AC39" s="129"/>
      <c r="AD39" s="129"/>
      <c r="AE39" s="130"/>
      <c r="AF39" s="129"/>
      <c r="AG39" s="129"/>
      <c r="AH39" s="129"/>
      <c r="AI39" s="129"/>
      <c r="AJ39" s="130"/>
      <c r="AK39" s="129"/>
      <c r="AL39" s="129"/>
      <c r="AM39" s="129"/>
      <c r="AN39" s="129"/>
      <c r="AO39" s="130"/>
      <c r="AP39" s="129"/>
      <c r="AQ39" s="129"/>
      <c r="AR39" s="129"/>
      <c r="AS39" s="129"/>
      <c r="AT39" s="130"/>
      <c r="AU39" s="129"/>
      <c r="AV39" s="129"/>
      <c r="AW39" s="129"/>
      <c r="AX39" s="129"/>
      <c r="AY39" s="78"/>
    </row>
    <row r="40" spans="1:51">
      <c r="A40" s="128" t="s">
        <v>105</v>
      </c>
      <c r="B40" s="129"/>
      <c r="C40" s="129"/>
      <c r="D40" s="129"/>
      <c r="E40" s="129"/>
      <c r="F40" s="130"/>
      <c r="G40" s="129"/>
      <c r="H40" s="129"/>
      <c r="I40" s="129"/>
      <c r="J40" s="129"/>
      <c r="K40" s="130"/>
      <c r="L40" s="129"/>
      <c r="M40" s="129"/>
      <c r="N40" s="129"/>
      <c r="O40" s="129"/>
      <c r="P40" s="130"/>
      <c r="Q40" s="129"/>
      <c r="R40" s="129"/>
      <c r="S40" s="129"/>
      <c r="T40" s="129"/>
      <c r="U40" s="130"/>
      <c r="V40" s="129"/>
      <c r="W40" s="129"/>
      <c r="X40" s="129"/>
      <c r="Y40" s="129"/>
      <c r="Z40" s="130"/>
      <c r="AA40" s="129"/>
      <c r="AB40" s="129"/>
      <c r="AC40" s="129"/>
      <c r="AD40" s="129"/>
      <c r="AE40" s="130"/>
      <c r="AF40" s="129"/>
      <c r="AG40" s="129"/>
      <c r="AH40" s="129"/>
      <c r="AI40" s="129"/>
      <c r="AJ40" s="130"/>
      <c r="AK40" s="129"/>
      <c r="AL40" s="129"/>
      <c r="AM40" s="129"/>
      <c r="AN40" s="129"/>
      <c r="AO40" s="130"/>
      <c r="AP40" s="129"/>
      <c r="AQ40" s="129"/>
      <c r="AR40" s="129"/>
      <c r="AS40" s="129"/>
      <c r="AT40" s="130"/>
      <c r="AU40" s="129"/>
      <c r="AV40" s="129"/>
      <c r="AW40" s="129"/>
      <c r="AX40" s="129"/>
      <c r="AY40" s="78"/>
    </row>
    <row r="41" spans="1:51">
      <c r="A41" s="128" t="s">
        <v>107</v>
      </c>
      <c r="B41" s="129"/>
      <c r="C41" s="129"/>
      <c r="D41" s="129"/>
      <c r="E41" s="129"/>
      <c r="F41" s="130"/>
      <c r="G41" s="129"/>
      <c r="H41" s="129"/>
      <c r="I41" s="129"/>
      <c r="J41" s="129"/>
      <c r="K41" s="130"/>
      <c r="L41" s="129"/>
      <c r="M41" s="129"/>
      <c r="N41" s="129"/>
      <c r="O41" s="129"/>
      <c r="P41" s="130"/>
      <c r="Q41" s="129"/>
      <c r="R41" s="129"/>
      <c r="S41" s="129"/>
      <c r="T41" s="129"/>
      <c r="U41" s="130"/>
      <c r="V41" s="129"/>
      <c r="W41" s="129"/>
      <c r="X41" s="129"/>
      <c r="Y41" s="129"/>
      <c r="Z41" s="130"/>
      <c r="AA41" s="129"/>
      <c r="AB41" s="129"/>
      <c r="AC41" s="129"/>
      <c r="AD41" s="129"/>
      <c r="AE41" s="130"/>
      <c r="AF41" s="129"/>
      <c r="AG41" s="129"/>
      <c r="AH41" s="129"/>
      <c r="AI41" s="129"/>
      <c r="AJ41" s="130"/>
      <c r="AK41" s="129"/>
      <c r="AL41" s="129"/>
      <c r="AM41" s="129"/>
      <c r="AN41" s="129"/>
      <c r="AO41" s="130"/>
      <c r="AP41" s="129"/>
      <c r="AQ41" s="129"/>
      <c r="AR41" s="129"/>
      <c r="AS41" s="129"/>
      <c r="AT41" s="130"/>
      <c r="AU41" s="129"/>
      <c r="AV41" s="129"/>
      <c r="AW41" s="129"/>
      <c r="AX41" s="129"/>
      <c r="AY41" s="78"/>
    </row>
    <row r="42" spans="1:51">
      <c r="A42" s="128" t="s">
        <v>109</v>
      </c>
      <c r="B42" s="129"/>
      <c r="C42" s="129"/>
      <c r="D42" s="129"/>
      <c r="E42" s="129"/>
      <c r="F42" s="130"/>
      <c r="G42" s="129"/>
      <c r="H42" s="129"/>
      <c r="I42" s="129"/>
      <c r="J42" s="129"/>
      <c r="K42" s="130"/>
      <c r="L42" s="129"/>
      <c r="M42" s="129"/>
      <c r="N42" s="129"/>
      <c r="O42" s="129"/>
      <c r="P42" s="130"/>
      <c r="Q42" s="129"/>
      <c r="R42" s="129"/>
      <c r="S42" s="129"/>
      <c r="T42" s="129"/>
      <c r="U42" s="130"/>
      <c r="V42" s="129"/>
      <c r="W42" s="129"/>
      <c r="X42" s="129"/>
      <c r="Y42" s="129"/>
      <c r="Z42" s="130"/>
      <c r="AA42" s="129"/>
      <c r="AB42" s="129"/>
      <c r="AC42" s="129"/>
      <c r="AD42" s="129"/>
      <c r="AE42" s="130"/>
      <c r="AF42" s="129"/>
      <c r="AG42" s="129"/>
      <c r="AH42" s="129"/>
      <c r="AI42" s="129"/>
      <c r="AJ42" s="130"/>
      <c r="AK42" s="129"/>
      <c r="AL42" s="129"/>
      <c r="AM42" s="129"/>
      <c r="AN42" s="129"/>
      <c r="AO42" s="130"/>
      <c r="AP42" s="129"/>
      <c r="AQ42" s="129"/>
      <c r="AR42" s="129"/>
      <c r="AS42" s="129"/>
      <c r="AT42" s="130"/>
      <c r="AU42" s="129"/>
      <c r="AV42" s="129"/>
      <c r="AW42" s="129"/>
      <c r="AX42" s="129"/>
      <c r="AY42" s="78"/>
    </row>
    <row r="43" spans="1:51">
      <c r="A43" s="128" t="s">
        <v>111</v>
      </c>
      <c r="B43" s="129"/>
      <c r="C43" s="129"/>
      <c r="D43" s="129"/>
      <c r="E43" s="129"/>
      <c r="F43" s="130"/>
      <c r="G43" s="129"/>
      <c r="H43" s="129"/>
      <c r="I43" s="129"/>
      <c r="J43" s="129"/>
      <c r="K43" s="130"/>
      <c r="L43" s="129"/>
      <c r="M43" s="129"/>
      <c r="N43" s="129"/>
      <c r="O43" s="129"/>
      <c r="P43" s="130"/>
      <c r="Q43" s="129"/>
      <c r="R43" s="129"/>
      <c r="S43" s="129"/>
      <c r="T43" s="129"/>
      <c r="U43" s="130"/>
      <c r="V43" s="129"/>
      <c r="W43" s="129"/>
      <c r="X43" s="129"/>
      <c r="Y43" s="129"/>
      <c r="Z43" s="130"/>
      <c r="AA43" s="129"/>
      <c r="AB43" s="129"/>
      <c r="AC43" s="129"/>
      <c r="AD43" s="129"/>
      <c r="AE43" s="130"/>
      <c r="AF43" s="129"/>
      <c r="AG43" s="129"/>
      <c r="AH43" s="129"/>
      <c r="AI43" s="129"/>
      <c r="AJ43" s="130"/>
      <c r="AK43" s="129"/>
      <c r="AL43" s="129"/>
      <c r="AM43" s="129"/>
      <c r="AN43" s="129"/>
      <c r="AO43" s="130"/>
      <c r="AP43" s="129"/>
      <c r="AQ43" s="129"/>
      <c r="AR43" s="129"/>
      <c r="AS43" s="129"/>
      <c r="AT43" s="130"/>
      <c r="AU43" s="129"/>
      <c r="AV43" s="129"/>
      <c r="AW43" s="129"/>
      <c r="AX43" s="129"/>
      <c r="AY43" s="78"/>
    </row>
    <row r="44" spans="1:51">
      <c r="A44" s="128" t="s">
        <v>113</v>
      </c>
      <c r="B44" s="129"/>
      <c r="C44" s="129"/>
      <c r="D44" s="129"/>
      <c r="E44" s="129"/>
      <c r="F44" s="130"/>
      <c r="G44" s="129"/>
      <c r="H44" s="129"/>
      <c r="I44" s="129"/>
      <c r="J44" s="129"/>
      <c r="K44" s="130"/>
      <c r="L44" s="129"/>
      <c r="M44" s="129"/>
      <c r="N44" s="129"/>
      <c r="O44" s="129"/>
      <c r="P44" s="130"/>
      <c r="Q44" s="129"/>
      <c r="R44" s="129"/>
      <c r="S44" s="129"/>
      <c r="T44" s="129"/>
      <c r="U44" s="130"/>
      <c r="V44" s="129"/>
      <c r="W44" s="129"/>
      <c r="X44" s="129"/>
      <c r="Y44" s="129"/>
      <c r="Z44" s="130"/>
      <c r="AA44" s="129"/>
      <c r="AB44" s="129"/>
      <c r="AC44" s="129"/>
      <c r="AD44" s="129"/>
      <c r="AE44" s="130"/>
      <c r="AF44" s="129"/>
      <c r="AG44" s="129"/>
      <c r="AH44" s="129"/>
      <c r="AI44" s="129"/>
      <c r="AJ44" s="130"/>
      <c r="AK44" s="129"/>
      <c r="AL44" s="129"/>
      <c r="AM44" s="129"/>
      <c r="AN44" s="129"/>
      <c r="AO44" s="130"/>
      <c r="AP44" s="129"/>
      <c r="AQ44" s="129"/>
      <c r="AR44" s="129"/>
      <c r="AS44" s="129"/>
      <c r="AT44" s="130"/>
      <c r="AU44" s="129"/>
      <c r="AV44" s="129"/>
      <c r="AW44" s="129"/>
      <c r="AX44" s="129"/>
      <c r="AY44" s="78"/>
    </row>
    <row r="45" spans="1:51">
      <c r="A45" s="128" t="s">
        <v>115</v>
      </c>
      <c r="B45" s="129"/>
      <c r="C45" s="129"/>
      <c r="D45" s="129"/>
      <c r="E45" s="129"/>
      <c r="F45" s="130"/>
      <c r="G45" s="129"/>
      <c r="H45" s="129"/>
      <c r="I45" s="129"/>
      <c r="J45" s="129"/>
      <c r="K45" s="130"/>
      <c r="L45" s="129"/>
      <c r="M45" s="129"/>
      <c r="N45" s="129"/>
      <c r="O45" s="129"/>
      <c r="P45" s="130"/>
      <c r="Q45" s="129"/>
      <c r="R45" s="129"/>
      <c r="S45" s="129"/>
      <c r="T45" s="129"/>
      <c r="U45" s="130"/>
      <c r="V45" s="129"/>
      <c r="W45" s="129"/>
      <c r="X45" s="129"/>
      <c r="Y45" s="129"/>
      <c r="Z45" s="130"/>
      <c r="AA45" s="129"/>
      <c r="AB45" s="129"/>
      <c r="AC45" s="129"/>
      <c r="AD45" s="129"/>
      <c r="AE45" s="130"/>
      <c r="AF45" s="129"/>
      <c r="AG45" s="129"/>
      <c r="AH45" s="129"/>
      <c r="AI45" s="129"/>
      <c r="AJ45" s="130"/>
      <c r="AK45" s="129"/>
      <c r="AL45" s="129"/>
      <c r="AM45" s="129"/>
      <c r="AN45" s="129"/>
      <c r="AO45" s="130"/>
      <c r="AP45" s="129"/>
      <c r="AQ45" s="129"/>
      <c r="AR45" s="129"/>
      <c r="AS45" s="129"/>
      <c r="AT45" s="130"/>
      <c r="AU45" s="129"/>
      <c r="AV45" s="129"/>
      <c r="AW45" s="129"/>
      <c r="AX45" s="129"/>
      <c r="AY45" s="78"/>
    </row>
    <row r="46" spans="1:51">
      <c r="A46" s="128" t="s">
        <v>117</v>
      </c>
      <c r="B46" s="129"/>
      <c r="C46" s="129"/>
      <c r="D46" s="129"/>
      <c r="E46" s="129"/>
      <c r="F46" s="130"/>
      <c r="G46" s="129"/>
      <c r="H46" s="129"/>
      <c r="I46" s="129"/>
      <c r="J46" s="129"/>
      <c r="K46" s="130"/>
      <c r="L46" s="129"/>
      <c r="M46" s="129"/>
      <c r="N46" s="129"/>
      <c r="O46" s="129"/>
      <c r="P46" s="130"/>
      <c r="Q46" s="129"/>
      <c r="R46" s="129"/>
      <c r="S46" s="129"/>
      <c r="T46" s="129"/>
      <c r="U46" s="130"/>
      <c r="V46" s="129"/>
      <c r="W46" s="129"/>
      <c r="X46" s="129"/>
      <c r="Y46" s="129"/>
      <c r="Z46" s="130"/>
      <c r="AA46" s="129"/>
      <c r="AB46" s="129"/>
      <c r="AC46" s="129"/>
      <c r="AD46" s="129"/>
      <c r="AE46" s="130"/>
      <c r="AF46" s="129"/>
      <c r="AG46" s="129"/>
      <c r="AH46" s="129"/>
      <c r="AI46" s="129"/>
      <c r="AJ46" s="130"/>
      <c r="AK46" s="129"/>
      <c r="AL46" s="129"/>
      <c r="AM46" s="129"/>
      <c r="AN46" s="129"/>
      <c r="AO46" s="130"/>
      <c r="AP46" s="129"/>
      <c r="AQ46" s="129"/>
      <c r="AR46" s="129"/>
      <c r="AS46" s="129"/>
      <c r="AT46" s="130"/>
      <c r="AU46" s="129"/>
      <c r="AV46" s="129"/>
      <c r="AW46" s="129"/>
      <c r="AX46" s="129"/>
      <c r="AY46" s="78"/>
    </row>
    <row r="47" spans="1:51">
      <c r="A47" s="128" t="s">
        <v>119</v>
      </c>
      <c r="B47" s="129"/>
      <c r="C47" s="129"/>
      <c r="D47" s="129"/>
      <c r="E47" s="129"/>
      <c r="F47" s="130"/>
      <c r="G47" s="129"/>
      <c r="H47" s="129"/>
      <c r="I47" s="129"/>
      <c r="J47" s="129"/>
      <c r="K47" s="130"/>
      <c r="L47" s="129"/>
      <c r="M47" s="129"/>
      <c r="N47" s="129"/>
      <c r="O47" s="129"/>
      <c r="P47" s="130"/>
      <c r="Q47" s="129"/>
      <c r="R47" s="129"/>
      <c r="S47" s="129"/>
      <c r="T47" s="129"/>
      <c r="U47" s="130"/>
      <c r="V47" s="129"/>
      <c r="W47" s="129"/>
      <c r="X47" s="129"/>
      <c r="Y47" s="129"/>
      <c r="Z47" s="130"/>
      <c r="AA47" s="129"/>
      <c r="AB47" s="129"/>
      <c r="AC47" s="129"/>
      <c r="AD47" s="129"/>
      <c r="AE47" s="130"/>
      <c r="AF47" s="129"/>
      <c r="AG47" s="129"/>
      <c r="AH47" s="129"/>
      <c r="AI47" s="129"/>
      <c r="AJ47" s="130"/>
      <c r="AK47" s="129"/>
      <c r="AL47" s="129"/>
      <c r="AM47" s="129"/>
      <c r="AN47" s="129"/>
      <c r="AO47" s="130"/>
      <c r="AP47" s="129"/>
      <c r="AQ47" s="129"/>
      <c r="AR47" s="129"/>
      <c r="AS47" s="129"/>
      <c r="AT47" s="130"/>
      <c r="AU47" s="129"/>
      <c r="AV47" s="129"/>
      <c r="AW47" s="129"/>
      <c r="AX47" s="129"/>
      <c r="AY47" s="78"/>
    </row>
    <row r="48" spans="1:51">
      <c r="A48" s="128" t="s">
        <v>121</v>
      </c>
      <c r="B48" s="129"/>
      <c r="C48" s="129"/>
      <c r="D48" s="129"/>
      <c r="E48" s="129"/>
      <c r="F48" s="130"/>
      <c r="G48" s="129"/>
      <c r="H48" s="129"/>
      <c r="I48" s="129"/>
      <c r="J48" s="129"/>
      <c r="K48" s="130"/>
      <c r="L48" s="129"/>
      <c r="M48" s="129"/>
      <c r="N48" s="129"/>
      <c r="O48" s="129"/>
      <c r="P48" s="130"/>
      <c r="Q48" s="129"/>
      <c r="R48" s="129"/>
      <c r="S48" s="129"/>
      <c r="T48" s="129"/>
      <c r="U48" s="130"/>
      <c r="V48" s="129"/>
      <c r="W48" s="129"/>
      <c r="X48" s="129"/>
      <c r="Y48" s="129"/>
      <c r="Z48" s="130"/>
      <c r="AA48" s="129"/>
      <c r="AB48" s="129"/>
      <c r="AC48" s="129"/>
      <c r="AD48" s="129"/>
      <c r="AE48" s="130"/>
      <c r="AF48" s="129"/>
      <c r="AG48" s="129"/>
      <c r="AH48" s="129"/>
      <c r="AI48" s="129"/>
      <c r="AJ48" s="130"/>
      <c r="AK48" s="129"/>
      <c r="AL48" s="129"/>
      <c r="AM48" s="129"/>
      <c r="AN48" s="129"/>
      <c r="AO48" s="130"/>
      <c r="AP48" s="129"/>
      <c r="AQ48" s="129"/>
      <c r="AR48" s="129"/>
      <c r="AS48" s="129"/>
      <c r="AT48" s="130"/>
      <c r="AU48" s="129"/>
      <c r="AV48" s="129"/>
      <c r="AW48" s="129"/>
      <c r="AX48" s="129"/>
      <c r="AY48" s="78"/>
    </row>
    <row r="49" spans="1:51">
      <c r="A49" s="128" t="s">
        <v>123</v>
      </c>
      <c r="B49" s="129"/>
      <c r="C49" s="129"/>
      <c r="D49" s="129"/>
      <c r="E49" s="129"/>
      <c r="F49" s="130"/>
      <c r="G49" s="129"/>
      <c r="H49" s="129"/>
      <c r="I49" s="129"/>
      <c r="J49" s="129"/>
      <c r="K49" s="130"/>
      <c r="L49" s="129"/>
      <c r="M49" s="129"/>
      <c r="N49" s="129"/>
      <c r="O49" s="129"/>
      <c r="P49" s="130"/>
      <c r="Q49" s="129"/>
      <c r="R49" s="129"/>
      <c r="S49" s="129"/>
      <c r="T49" s="129"/>
      <c r="U49" s="130"/>
      <c r="V49" s="129"/>
      <c r="W49" s="129"/>
      <c r="X49" s="129"/>
      <c r="Y49" s="129"/>
      <c r="Z49" s="130"/>
      <c r="AA49" s="129"/>
      <c r="AB49" s="129"/>
      <c r="AC49" s="129"/>
      <c r="AD49" s="129"/>
      <c r="AE49" s="130"/>
      <c r="AF49" s="129"/>
      <c r="AG49" s="129"/>
      <c r="AH49" s="129"/>
      <c r="AI49" s="129"/>
      <c r="AJ49" s="130"/>
      <c r="AK49" s="129"/>
      <c r="AL49" s="129"/>
      <c r="AM49" s="129"/>
      <c r="AN49" s="129"/>
      <c r="AO49" s="130"/>
      <c r="AP49" s="129"/>
      <c r="AQ49" s="129"/>
      <c r="AR49" s="129"/>
      <c r="AS49" s="129"/>
      <c r="AT49" s="130"/>
      <c r="AU49" s="129"/>
      <c r="AV49" s="129"/>
      <c r="AW49" s="129"/>
      <c r="AX49" s="129"/>
      <c r="AY49" s="78"/>
    </row>
    <row r="50" spans="1:51">
      <c r="A50" s="128" t="s">
        <v>125</v>
      </c>
      <c r="B50" s="129"/>
      <c r="C50" s="129"/>
      <c r="D50" s="129"/>
      <c r="E50" s="129"/>
      <c r="F50" s="130"/>
      <c r="G50" s="129"/>
      <c r="H50" s="129"/>
      <c r="I50" s="129"/>
      <c r="J50" s="129"/>
      <c r="K50" s="130"/>
      <c r="L50" s="129"/>
      <c r="M50" s="129"/>
      <c r="N50" s="129"/>
      <c r="O50" s="129"/>
      <c r="P50" s="130"/>
      <c r="Q50" s="129"/>
      <c r="R50" s="129"/>
      <c r="S50" s="129"/>
      <c r="T50" s="129"/>
      <c r="U50" s="130"/>
      <c r="V50" s="129"/>
      <c r="W50" s="129"/>
      <c r="X50" s="129"/>
      <c r="Y50" s="129"/>
      <c r="Z50" s="130"/>
      <c r="AA50" s="129"/>
      <c r="AB50" s="129"/>
      <c r="AC50" s="129"/>
      <c r="AD50" s="129"/>
      <c r="AE50" s="130"/>
      <c r="AF50" s="129"/>
      <c r="AG50" s="129"/>
      <c r="AH50" s="129"/>
      <c r="AI50" s="129"/>
      <c r="AJ50" s="130"/>
      <c r="AK50" s="129"/>
      <c r="AL50" s="129"/>
      <c r="AM50" s="129"/>
      <c r="AN50" s="129"/>
      <c r="AO50" s="130"/>
      <c r="AP50" s="129"/>
      <c r="AQ50" s="129"/>
      <c r="AR50" s="129"/>
      <c r="AS50" s="129"/>
      <c r="AT50" s="130"/>
      <c r="AU50" s="129"/>
      <c r="AV50" s="129"/>
      <c r="AW50" s="129"/>
      <c r="AX50" s="129"/>
      <c r="AY50" s="78"/>
    </row>
    <row r="51" spans="1:51">
      <c r="A51" s="128" t="s">
        <v>127</v>
      </c>
      <c r="B51" s="129"/>
      <c r="C51" s="129"/>
      <c r="D51" s="129"/>
      <c r="E51" s="129"/>
      <c r="F51" s="130"/>
      <c r="G51" s="129"/>
      <c r="H51" s="129"/>
      <c r="I51" s="129"/>
      <c r="J51" s="129"/>
      <c r="K51" s="130"/>
      <c r="L51" s="129"/>
      <c r="M51" s="129"/>
      <c r="N51" s="129"/>
      <c r="O51" s="129"/>
      <c r="P51" s="130"/>
      <c r="Q51" s="129"/>
      <c r="R51" s="129"/>
      <c r="S51" s="129"/>
      <c r="T51" s="129"/>
      <c r="U51" s="130"/>
      <c r="V51" s="129"/>
      <c r="W51" s="129"/>
      <c r="X51" s="129"/>
      <c r="Y51" s="129"/>
      <c r="Z51" s="130"/>
      <c r="AA51" s="129"/>
      <c r="AB51" s="129"/>
      <c r="AC51" s="129"/>
      <c r="AD51" s="129"/>
      <c r="AE51" s="130"/>
      <c r="AF51" s="129"/>
      <c r="AG51" s="129"/>
      <c r="AH51" s="129"/>
      <c r="AI51" s="129"/>
      <c r="AJ51" s="130"/>
      <c r="AK51" s="129"/>
      <c r="AL51" s="129"/>
      <c r="AM51" s="129"/>
      <c r="AN51" s="129"/>
      <c r="AO51" s="130"/>
      <c r="AP51" s="129"/>
      <c r="AQ51" s="129"/>
      <c r="AR51" s="129"/>
      <c r="AS51" s="129"/>
      <c r="AT51" s="130"/>
      <c r="AU51" s="129"/>
      <c r="AV51" s="129"/>
      <c r="AW51" s="129"/>
      <c r="AX51" s="129"/>
      <c r="AY51" s="78"/>
    </row>
    <row r="52" spans="1:51">
      <c r="A52" s="128" t="s">
        <v>129</v>
      </c>
      <c r="B52" s="129"/>
      <c r="C52" s="129"/>
      <c r="D52" s="129"/>
      <c r="E52" s="129"/>
      <c r="F52" s="130"/>
      <c r="G52" s="129"/>
      <c r="H52" s="129"/>
      <c r="I52" s="129"/>
      <c r="J52" s="129"/>
      <c r="K52" s="130"/>
      <c r="L52" s="129"/>
      <c r="M52" s="129"/>
      <c r="N52" s="129"/>
      <c r="O52" s="129"/>
      <c r="P52" s="130"/>
      <c r="Q52" s="129"/>
      <c r="R52" s="129"/>
      <c r="S52" s="129"/>
      <c r="T52" s="129"/>
      <c r="U52" s="130"/>
      <c r="V52" s="129"/>
      <c r="W52" s="129"/>
      <c r="X52" s="129"/>
      <c r="Y52" s="129"/>
      <c r="Z52" s="130"/>
      <c r="AA52" s="129"/>
      <c r="AB52" s="129"/>
      <c r="AC52" s="129"/>
      <c r="AD52" s="129"/>
      <c r="AE52" s="130"/>
      <c r="AF52" s="129"/>
      <c r="AG52" s="129"/>
      <c r="AH52" s="129"/>
      <c r="AI52" s="129"/>
      <c r="AJ52" s="130"/>
      <c r="AK52" s="129"/>
      <c r="AL52" s="129"/>
      <c r="AM52" s="129"/>
      <c r="AN52" s="129"/>
      <c r="AO52" s="130"/>
      <c r="AP52" s="129"/>
      <c r="AQ52" s="129"/>
      <c r="AR52" s="129"/>
      <c r="AS52" s="129"/>
      <c r="AT52" s="130"/>
      <c r="AU52" s="129"/>
      <c r="AV52" s="129"/>
      <c r="AW52" s="129"/>
      <c r="AX52" s="129"/>
      <c r="AY52" s="78"/>
    </row>
    <row r="53" spans="1:51">
      <c r="A53" s="128" t="s">
        <v>131</v>
      </c>
      <c r="B53" s="129"/>
      <c r="C53" s="129"/>
      <c r="D53" s="129"/>
      <c r="E53" s="129"/>
      <c r="F53" s="130"/>
      <c r="G53" s="129"/>
      <c r="H53" s="129"/>
      <c r="I53" s="129"/>
      <c r="J53" s="129"/>
      <c r="K53" s="130"/>
      <c r="L53" s="129"/>
      <c r="M53" s="129"/>
      <c r="N53" s="129"/>
      <c r="O53" s="129"/>
      <c r="P53" s="130"/>
      <c r="Q53" s="129"/>
      <c r="R53" s="129"/>
      <c r="S53" s="129"/>
      <c r="T53" s="129"/>
      <c r="U53" s="130"/>
      <c r="V53" s="129"/>
      <c r="W53" s="129"/>
      <c r="X53" s="129"/>
      <c r="Y53" s="129"/>
      <c r="Z53" s="130"/>
      <c r="AA53" s="129"/>
      <c r="AB53" s="129"/>
      <c r="AC53" s="129"/>
      <c r="AD53" s="129"/>
      <c r="AE53" s="130"/>
      <c r="AF53" s="129"/>
      <c r="AG53" s="129"/>
      <c r="AH53" s="129"/>
      <c r="AI53" s="129"/>
      <c r="AJ53" s="130"/>
      <c r="AK53" s="129"/>
      <c r="AL53" s="129"/>
      <c r="AM53" s="129"/>
      <c r="AN53" s="129"/>
      <c r="AO53" s="130"/>
      <c r="AP53" s="129"/>
      <c r="AQ53" s="129"/>
      <c r="AR53" s="129"/>
      <c r="AS53" s="129"/>
      <c r="AT53" s="130"/>
      <c r="AU53" s="129"/>
      <c r="AV53" s="129"/>
      <c r="AW53" s="129"/>
      <c r="AX53" s="129"/>
      <c r="AY53" s="78"/>
    </row>
    <row r="54" spans="1:51">
      <c r="A54" s="128" t="s">
        <v>133</v>
      </c>
      <c r="B54" s="129"/>
      <c r="C54" s="129"/>
      <c r="D54" s="129"/>
      <c r="E54" s="129"/>
      <c r="F54" s="130"/>
      <c r="G54" s="129"/>
      <c r="H54" s="129"/>
      <c r="I54" s="129"/>
      <c r="J54" s="129"/>
      <c r="K54" s="130"/>
      <c r="L54" s="129"/>
      <c r="M54" s="129"/>
      <c r="N54" s="129"/>
      <c r="O54" s="129"/>
      <c r="P54" s="130"/>
      <c r="Q54" s="129"/>
      <c r="R54" s="129"/>
      <c r="S54" s="129"/>
      <c r="T54" s="129"/>
      <c r="U54" s="130"/>
      <c r="V54" s="129"/>
      <c r="W54" s="129"/>
      <c r="X54" s="129"/>
      <c r="Y54" s="129"/>
      <c r="Z54" s="130"/>
      <c r="AA54" s="129"/>
      <c r="AB54" s="129"/>
      <c r="AC54" s="129"/>
      <c r="AD54" s="129"/>
      <c r="AE54" s="130"/>
      <c r="AF54" s="129"/>
      <c r="AG54" s="129"/>
      <c r="AH54" s="129"/>
      <c r="AI54" s="129"/>
      <c r="AJ54" s="130"/>
      <c r="AK54" s="129"/>
      <c r="AL54" s="129"/>
      <c r="AM54" s="129"/>
      <c r="AN54" s="129"/>
      <c r="AO54" s="130"/>
      <c r="AP54" s="129"/>
      <c r="AQ54" s="129"/>
      <c r="AR54" s="129"/>
      <c r="AS54" s="129"/>
      <c r="AT54" s="130"/>
      <c r="AU54" s="129"/>
      <c r="AV54" s="129"/>
      <c r="AW54" s="129"/>
      <c r="AX54" s="129"/>
      <c r="AY54" s="78"/>
    </row>
    <row r="55" spans="1:51">
      <c r="A55" s="128" t="s">
        <v>135</v>
      </c>
      <c r="B55" s="129"/>
      <c r="C55" s="129"/>
      <c r="D55" s="129"/>
      <c r="E55" s="129"/>
      <c r="F55" s="130"/>
      <c r="G55" s="129"/>
      <c r="H55" s="129"/>
      <c r="I55" s="129"/>
      <c r="J55" s="129"/>
      <c r="K55" s="130"/>
      <c r="L55" s="129"/>
      <c r="M55" s="129"/>
      <c r="N55" s="129"/>
      <c r="O55" s="129"/>
      <c r="P55" s="130"/>
      <c r="Q55" s="129"/>
      <c r="R55" s="129"/>
      <c r="S55" s="129"/>
      <c r="T55" s="129"/>
      <c r="U55" s="130"/>
      <c r="V55" s="129"/>
      <c r="W55" s="129"/>
      <c r="X55" s="129"/>
      <c r="Y55" s="129"/>
      <c r="Z55" s="130"/>
      <c r="AA55" s="129"/>
      <c r="AB55" s="129"/>
      <c r="AC55" s="129"/>
      <c r="AD55" s="129"/>
      <c r="AE55" s="130"/>
      <c r="AF55" s="129"/>
      <c r="AG55" s="129"/>
      <c r="AH55" s="129"/>
      <c r="AI55" s="129"/>
      <c r="AJ55" s="130"/>
      <c r="AK55" s="129"/>
      <c r="AL55" s="129"/>
      <c r="AM55" s="129"/>
      <c r="AN55" s="129"/>
      <c r="AO55" s="130"/>
      <c r="AP55" s="129"/>
      <c r="AQ55" s="129"/>
      <c r="AR55" s="129"/>
      <c r="AS55" s="129"/>
      <c r="AT55" s="130"/>
      <c r="AU55" s="129"/>
      <c r="AV55" s="129"/>
      <c r="AW55" s="129"/>
      <c r="AX55" s="129"/>
      <c r="AY55" s="78"/>
    </row>
    <row r="56" spans="1:51">
      <c r="A56" s="128" t="s">
        <v>137</v>
      </c>
      <c r="B56" s="129"/>
      <c r="C56" s="129"/>
      <c r="D56" s="129"/>
      <c r="E56" s="129"/>
      <c r="F56" s="130"/>
      <c r="G56" s="129"/>
      <c r="H56" s="129"/>
      <c r="I56" s="129"/>
      <c r="J56" s="129"/>
      <c r="K56" s="130"/>
      <c r="L56" s="129"/>
      <c r="M56" s="129"/>
      <c r="N56" s="129"/>
      <c r="O56" s="129"/>
      <c r="P56" s="130"/>
      <c r="Q56" s="129"/>
      <c r="R56" s="129"/>
      <c r="S56" s="129"/>
      <c r="T56" s="129"/>
      <c r="U56" s="130"/>
      <c r="V56" s="129"/>
      <c r="W56" s="129"/>
      <c r="X56" s="129"/>
      <c r="Y56" s="129"/>
      <c r="Z56" s="130"/>
      <c r="AA56" s="129"/>
      <c r="AB56" s="129"/>
      <c r="AC56" s="129"/>
      <c r="AD56" s="129"/>
      <c r="AE56" s="130"/>
      <c r="AF56" s="129"/>
      <c r="AG56" s="129"/>
      <c r="AH56" s="129"/>
      <c r="AI56" s="129"/>
      <c r="AJ56" s="130"/>
      <c r="AK56" s="129"/>
      <c r="AL56" s="129"/>
      <c r="AM56" s="129"/>
      <c r="AN56" s="129"/>
      <c r="AO56" s="130"/>
      <c r="AP56" s="129"/>
      <c r="AQ56" s="129"/>
      <c r="AR56" s="129"/>
      <c r="AS56" s="129"/>
      <c r="AT56" s="130"/>
      <c r="AU56" s="129"/>
      <c r="AV56" s="129"/>
      <c r="AW56" s="129"/>
      <c r="AX56" s="129"/>
      <c r="AY56" s="78"/>
    </row>
    <row r="57" spans="1:51">
      <c r="A57" s="128" t="s">
        <v>139</v>
      </c>
      <c r="B57" s="129"/>
      <c r="C57" s="129"/>
      <c r="D57" s="129"/>
      <c r="E57" s="129"/>
      <c r="F57" s="130"/>
      <c r="G57" s="129"/>
      <c r="H57" s="129"/>
      <c r="I57" s="129"/>
      <c r="J57" s="129"/>
      <c r="K57" s="130"/>
      <c r="L57" s="129"/>
      <c r="M57" s="129"/>
      <c r="N57" s="129"/>
      <c r="O57" s="129"/>
      <c r="P57" s="130"/>
      <c r="Q57" s="129"/>
      <c r="R57" s="129"/>
      <c r="S57" s="129"/>
      <c r="T57" s="129"/>
      <c r="U57" s="130"/>
      <c r="V57" s="129"/>
      <c r="W57" s="129"/>
      <c r="X57" s="129"/>
      <c r="Y57" s="129"/>
      <c r="Z57" s="130"/>
      <c r="AA57" s="129"/>
      <c r="AB57" s="129"/>
      <c r="AC57" s="129"/>
      <c r="AD57" s="129"/>
      <c r="AE57" s="130"/>
      <c r="AF57" s="129"/>
      <c r="AG57" s="129"/>
      <c r="AH57" s="129"/>
      <c r="AI57" s="129"/>
      <c r="AJ57" s="130"/>
      <c r="AK57" s="129"/>
      <c r="AL57" s="129"/>
      <c r="AM57" s="129"/>
      <c r="AN57" s="129"/>
      <c r="AO57" s="130"/>
      <c r="AP57" s="129"/>
      <c r="AQ57" s="129"/>
      <c r="AR57" s="129"/>
      <c r="AS57" s="129"/>
      <c r="AT57" s="130"/>
      <c r="AU57" s="129"/>
      <c r="AV57" s="129"/>
      <c r="AW57" s="129"/>
      <c r="AX57" s="129"/>
      <c r="AY57" s="78"/>
    </row>
    <row r="58" spans="1:51">
      <c r="A58" s="128" t="s">
        <v>141</v>
      </c>
      <c r="B58" s="129"/>
      <c r="C58" s="129"/>
      <c r="D58" s="129"/>
      <c r="E58" s="129"/>
      <c r="F58" s="130"/>
      <c r="G58" s="129"/>
      <c r="H58" s="129"/>
      <c r="I58" s="129"/>
      <c r="J58" s="129"/>
      <c r="K58" s="130"/>
      <c r="L58" s="129"/>
      <c r="M58" s="129"/>
      <c r="N58" s="129"/>
      <c r="O58" s="129"/>
      <c r="P58" s="130"/>
      <c r="Q58" s="129"/>
      <c r="R58" s="129"/>
      <c r="S58" s="129"/>
      <c r="T58" s="129"/>
      <c r="U58" s="130"/>
      <c r="V58" s="129"/>
      <c r="W58" s="129"/>
      <c r="X58" s="129"/>
      <c r="Y58" s="129"/>
      <c r="Z58" s="130"/>
      <c r="AA58" s="129"/>
      <c r="AB58" s="129"/>
      <c r="AC58" s="129"/>
      <c r="AD58" s="129"/>
      <c r="AE58" s="130"/>
      <c r="AF58" s="129"/>
      <c r="AG58" s="129"/>
      <c r="AH58" s="129"/>
      <c r="AI58" s="129"/>
      <c r="AJ58" s="130"/>
      <c r="AK58" s="129"/>
      <c r="AL58" s="129"/>
      <c r="AM58" s="129"/>
      <c r="AN58" s="129"/>
      <c r="AO58" s="130"/>
      <c r="AP58" s="129"/>
      <c r="AQ58" s="129"/>
      <c r="AR58" s="129"/>
      <c r="AS58" s="129"/>
      <c r="AT58" s="130"/>
      <c r="AU58" s="129"/>
      <c r="AV58" s="129"/>
      <c r="AW58" s="129"/>
      <c r="AX58" s="129"/>
      <c r="AY58" s="78"/>
    </row>
    <row r="59" spans="1:51">
      <c r="A59" s="128" t="s">
        <v>143</v>
      </c>
      <c r="B59" s="129"/>
      <c r="C59" s="129"/>
      <c r="D59" s="129"/>
      <c r="E59" s="129"/>
      <c r="F59" s="130"/>
      <c r="G59" s="129"/>
      <c r="H59" s="129"/>
      <c r="I59" s="129"/>
      <c r="J59" s="129"/>
      <c r="K59" s="130"/>
      <c r="L59" s="129"/>
      <c r="M59" s="129"/>
      <c r="N59" s="129"/>
      <c r="O59" s="129"/>
      <c r="P59" s="130"/>
      <c r="Q59" s="129"/>
      <c r="R59" s="129"/>
      <c r="S59" s="129"/>
      <c r="T59" s="129"/>
      <c r="U59" s="130"/>
      <c r="V59" s="129"/>
      <c r="W59" s="129"/>
      <c r="X59" s="129"/>
      <c r="Y59" s="129"/>
      <c r="Z59" s="130"/>
      <c r="AA59" s="129"/>
      <c r="AB59" s="129"/>
      <c r="AC59" s="129"/>
      <c r="AD59" s="129"/>
      <c r="AE59" s="130"/>
      <c r="AF59" s="129"/>
      <c r="AG59" s="129"/>
      <c r="AH59" s="129"/>
      <c r="AI59" s="129"/>
      <c r="AJ59" s="130"/>
      <c r="AK59" s="129"/>
      <c r="AL59" s="129"/>
      <c r="AM59" s="129"/>
      <c r="AN59" s="129"/>
      <c r="AO59" s="130"/>
      <c r="AP59" s="129"/>
      <c r="AQ59" s="129"/>
      <c r="AR59" s="129"/>
      <c r="AS59" s="129"/>
      <c r="AT59" s="130"/>
      <c r="AU59" s="129"/>
      <c r="AV59" s="129"/>
      <c r="AW59" s="129"/>
      <c r="AX59" s="129"/>
      <c r="AY59" s="78"/>
    </row>
    <row r="60" spans="1:51">
      <c r="A60" s="128" t="s">
        <v>145</v>
      </c>
      <c r="B60" s="129"/>
      <c r="C60" s="129"/>
      <c r="D60" s="129"/>
      <c r="E60" s="129"/>
      <c r="F60" s="130"/>
      <c r="G60" s="129"/>
      <c r="H60" s="129"/>
      <c r="I60" s="129"/>
      <c r="J60" s="129"/>
      <c r="K60" s="130"/>
      <c r="L60" s="129"/>
      <c r="M60" s="129"/>
      <c r="N60" s="129"/>
      <c r="O60" s="129"/>
      <c r="P60" s="130"/>
      <c r="Q60" s="129"/>
      <c r="R60" s="129"/>
      <c r="S60" s="129"/>
      <c r="T60" s="129"/>
      <c r="U60" s="130"/>
      <c r="V60" s="129"/>
      <c r="W60" s="129"/>
      <c r="X60" s="129"/>
      <c r="Y60" s="129"/>
      <c r="Z60" s="130"/>
      <c r="AA60" s="129"/>
      <c r="AB60" s="129"/>
      <c r="AC60" s="129"/>
      <c r="AD60" s="129"/>
      <c r="AE60" s="130"/>
      <c r="AF60" s="129"/>
      <c r="AG60" s="129"/>
      <c r="AH60" s="129"/>
      <c r="AI60" s="129"/>
      <c r="AJ60" s="130"/>
      <c r="AK60" s="129"/>
      <c r="AL60" s="129"/>
      <c r="AM60" s="129"/>
      <c r="AN60" s="129"/>
      <c r="AO60" s="130"/>
      <c r="AP60" s="129"/>
      <c r="AQ60" s="129"/>
      <c r="AR60" s="129"/>
      <c r="AS60" s="129"/>
      <c r="AT60" s="130"/>
      <c r="AU60" s="129"/>
      <c r="AV60" s="129"/>
      <c r="AW60" s="129"/>
      <c r="AX60" s="129"/>
      <c r="AY60" s="78"/>
    </row>
    <row r="61" spans="1:51">
      <c r="A61" s="128" t="s">
        <v>147</v>
      </c>
      <c r="B61" s="129"/>
      <c r="C61" s="129"/>
      <c r="D61" s="129"/>
      <c r="E61" s="129"/>
      <c r="F61" s="130"/>
      <c r="G61" s="129"/>
      <c r="H61" s="129"/>
      <c r="I61" s="129"/>
      <c r="J61" s="129"/>
      <c r="K61" s="130"/>
      <c r="L61" s="129"/>
      <c r="M61" s="129"/>
      <c r="N61" s="129"/>
      <c r="O61" s="129"/>
      <c r="P61" s="130"/>
      <c r="Q61" s="129"/>
      <c r="R61" s="129"/>
      <c r="S61" s="129"/>
      <c r="T61" s="129"/>
      <c r="U61" s="130"/>
      <c r="V61" s="129"/>
      <c r="W61" s="129"/>
      <c r="X61" s="129"/>
      <c r="Y61" s="129"/>
      <c r="Z61" s="130"/>
      <c r="AA61" s="129"/>
      <c r="AB61" s="129"/>
      <c r="AC61" s="129"/>
      <c r="AD61" s="129"/>
      <c r="AE61" s="130"/>
      <c r="AF61" s="129"/>
      <c r="AG61" s="129"/>
      <c r="AH61" s="129"/>
      <c r="AI61" s="129"/>
      <c r="AJ61" s="130"/>
      <c r="AK61" s="129"/>
      <c r="AL61" s="129"/>
      <c r="AM61" s="129"/>
      <c r="AN61" s="129"/>
      <c r="AO61" s="130"/>
      <c r="AP61" s="129"/>
      <c r="AQ61" s="129"/>
      <c r="AR61" s="129"/>
      <c r="AS61" s="129"/>
      <c r="AT61" s="130"/>
      <c r="AU61" s="129"/>
      <c r="AV61" s="129"/>
      <c r="AW61" s="129"/>
      <c r="AX61" s="129"/>
      <c r="AY61" s="78"/>
    </row>
    <row r="62" spans="1:51">
      <c r="A62" s="128" t="s">
        <v>149</v>
      </c>
      <c r="B62" s="129"/>
      <c r="C62" s="129"/>
      <c r="D62" s="129"/>
      <c r="E62" s="129"/>
      <c r="F62" s="130"/>
      <c r="G62" s="129"/>
      <c r="H62" s="129"/>
      <c r="I62" s="129"/>
      <c r="J62" s="129"/>
      <c r="K62" s="130"/>
      <c r="L62" s="129"/>
      <c r="M62" s="129"/>
      <c r="N62" s="129"/>
      <c r="O62" s="129"/>
      <c r="P62" s="130"/>
      <c r="Q62" s="129"/>
      <c r="R62" s="129"/>
      <c r="S62" s="129"/>
      <c r="T62" s="129"/>
      <c r="U62" s="130"/>
      <c r="V62" s="129"/>
      <c r="W62" s="129"/>
      <c r="X62" s="129"/>
      <c r="Y62" s="129"/>
      <c r="Z62" s="130"/>
      <c r="AA62" s="129"/>
      <c r="AB62" s="129"/>
      <c r="AC62" s="129"/>
      <c r="AD62" s="129"/>
      <c r="AE62" s="130"/>
      <c r="AF62" s="129"/>
      <c r="AG62" s="129"/>
      <c r="AH62" s="129"/>
      <c r="AI62" s="129"/>
      <c r="AJ62" s="130"/>
      <c r="AK62" s="129"/>
      <c r="AL62" s="129"/>
      <c r="AM62" s="129"/>
      <c r="AN62" s="129"/>
      <c r="AO62" s="130"/>
      <c r="AP62" s="129"/>
      <c r="AQ62" s="129"/>
      <c r="AR62" s="129"/>
      <c r="AS62" s="129"/>
      <c r="AT62" s="130"/>
      <c r="AU62" s="129"/>
      <c r="AV62" s="129"/>
      <c r="AW62" s="129"/>
      <c r="AX62" s="129"/>
      <c r="AY62" s="78"/>
    </row>
    <row r="63" spans="1:51">
      <c r="A63" s="128" t="s">
        <v>151</v>
      </c>
      <c r="B63" s="129"/>
      <c r="C63" s="129"/>
      <c r="D63" s="129"/>
      <c r="E63" s="129"/>
      <c r="F63" s="130"/>
      <c r="G63" s="129"/>
      <c r="H63" s="129"/>
      <c r="I63" s="129"/>
      <c r="J63" s="129"/>
      <c r="K63" s="130"/>
      <c r="L63" s="129"/>
      <c r="M63" s="129"/>
      <c r="N63" s="129"/>
      <c r="O63" s="129"/>
      <c r="P63" s="130"/>
      <c r="Q63" s="129"/>
      <c r="R63" s="129"/>
      <c r="S63" s="129"/>
      <c r="T63" s="129"/>
      <c r="U63" s="130"/>
      <c r="V63" s="129"/>
      <c r="W63" s="129"/>
      <c r="X63" s="129"/>
      <c r="Y63" s="129"/>
      <c r="Z63" s="130"/>
      <c r="AA63" s="129"/>
      <c r="AB63" s="129"/>
      <c r="AC63" s="129"/>
      <c r="AD63" s="129"/>
      <c r="AE63" s="130"/>
      <c r="AF63" s="129"/>
      <c r="AG63" s="129"/>
      <c r="AH63" s="129"/>
      <c r="AI63" s="129"/>
      <c r="AJ63" s="130"/>
      <c r="AK63" s="129"/>
      <c r="AL63" s="129"/>
      <c r="AM63" s="129"/>
      <c r="AN63" s="129"/>
      <c r="AO63" s="130"/>
      <c r="AP63" s="129"/>
      <c r="AQ63" s="129"/>
      <c r="AR63" s="129"/>
      <c r="AS63" s="129"/>
      <c r="AT63" s="130"/>
      <c r="AU63" s="129"/>
      <c r="AV63" s="129"/>
      <c r="AW63" s="129"/>
      <c r="AX63" s="129"/>
      <c r="AY63" s="78"/>
    </row>
    <row r="64" spans="1:51">
      <c r="A64" s="128" t="s">
        <v>153</v>
      </c>
      <c r="B64" s="129"/>
      <c r="C64" s="129"/>
      <c r="D64" s="129"/>
      <c r="E64" s="129"/>
      <c r="F64" s="130"/>
      <c r="G64" s="129"/>
      <c r="H64" s="129"/>
      <c r="I64" s="129"/>
      <c r="J64" s="129"/>
      <c r="K64" s="130"/>
      <c r="L64" s="129"/>
      <c r="M64" s="129"/>
      <c r="N64" s="129"/>
      <c r="O64" s="129"/>
      <c r="P64" s="130"/>
      <c r="Q64" s="129"/>
      <c r="R64" s="129"/>
      <c r="S64" s="129"/>
      <c r="T64" s="129"/>
      <c r="U64" s="130"/>
      <c r="V64" s="129"/>
      <c r="W64" s="129"/>
      <c r="X64" s="129"/>
      <c r="Y64" s="129"/>
      <c r="Z64" s="130"/>
      <c r="AA64" s="129"/>
      <c r="AB64" s="129"/>
      <c r="AC64" s="129"/>
      <c r="AD64" s="129"/>
      <c r="AE64" s="130"/>
      <c r="AF64" s="129"/>
      <c r="AG64" s="129"/>
      <c r="AH64" s="129"/>
      <c r="AI64" s="129"/>
      <c r="AJ64" s="130"/>
      <c r="AK64" s="129"/>
      <c r="AL64" s="129"/>
      <c r="AM64" s="129"/>
      <c r="AN64" s="129"/>
      <c r="AO64" s="130"/>
      <c r="AP64" s="129"/>
      <c r="AQ64" s="129"/>
      <c r="AR64" s="129"/>
      <c r="AS64" s="129"/>
      <c r="AT64" s="130"/>
      <c r="AU64" s="129"/>
      <c r="AV64" s="129"/>
      <c r="AW64" s="129"/>
      <c r="AX64" s="129"/>
      <c r="AY64" s="78"/>
    </row>
    <row r="65" spans="1:51">
      <c r="A65" s="128" t="s">
        <v>155</v>
      </c>
      <c r="B65" s="129"/>
      <c r="C65" s="129"/>
      <c r="D65" s="129"/>
      <c r="E65" s="129"/>
      <c r="F65" s="130"/>
      <c r="G65" s="129"/>
      <c r="H65" s="129"/>
      <c r="I65" s="129"/>
      <c r="J65" s="129"/>
      <c r="K65" s="130"/>
      <c r="L65" s="129"/>
      <c r="M65" s="129"/>
      <c r="N65" s="129"/>
      <c r="O65" s="129"/>
      <c r="P65" s="130"/>
      <c r="Q65" s="129"/>
      <c r="R65" s="129"/>
      <c r="S65" s="129"/>
      <c r="T65" s="129"/>
      <c r="U65" s="130"/>
      <c r="V65" s="129"/>
      <c r="W65" s="129"/>
      <c r="X65" s="129"/>
      <c r="Y65" s="129"/>
      <c r="Z65" s="130"/>
      <c r="AA65" s="129"/>
      <c r="AB65" s="129"/>
      <c r="AC65" s="129"/>
      <c r="AD65" s="129"/>
      <c r="AE65" s="130"/>
      <c r="AF65" s="129"/>
      <c r="AG65" s="129"/>
      <c r="AH65" s="129"/>
      <c r="AI65" s="129"/>
      <c r="AJ65" s="130"/>
      <c r="AK65" s="129"/>
      <c r="AL65" s="129"/>
      <c r="AM65" s="129"/>
      <c r="AN65" s="129"/>
      <c r="AO65" s="130"/>
      <c r="AP65" s="129"/>
      <c r="AQ65" s="129"/>
      <c r="AR65" s="129"/>
      <c r="AS65" s="129"/>
      <c r="AT65" s="130"/>
      <c r="AU65" s="129"/>
      <c r="AV65" s="129"/>
      <c r="AW65" s="129"/>
      <c r="AX65" s="129"/>
      <c r="AY65" s="78"/>
    </row>
    <row r="66" spans="1:51">
      <c r="A66" s="128" t="s">
        <v>157</v>
      </c>
      <c r="B66" s="129"/>
      <c r="C66" s="129"/>
      <c r="D66" s="129"/>
      <c r="E66" s="129"/>
      <c r="F66" s="130"/>
      <c r="G66" s="129"/>
      <c r="H66" s="129"/>
      <c r="I66" s="129"/>
      <c r="J66" s="129"/>
      <c r="K66" s="130"/>
      <c r="L66" s="129"/>
      <c r="M66" s="129"/>
      <c r="N66" s="129"/>
      <c r="O66" s="129"/>
      <c r="P66" s="130"/>
      <c r="Q66" s="129"/>
      <c r="R66" s="129"/>
      <c r="S66" s="129"/>
      <c r="T66" s="129"/>
      <c r="U66" s="130"/>
      <c r="V66" s="129"/>
      <c r="W66" s="129"/>
      <c r="X66" s="129"/>
      <c r="Y66" s="129"/>
      <c r="Z66" s="130"/>
      <c r="AA66" s="129"/>
      <c r="AB66" s="129"/>
      <c r="AC66" s="129"/>
      <c r="AD66" s="129"/>
      <c r="AE66" s="130"/>
      <c r="AF66" s="129"/>
      <c r="AG66" s="129"/>
      <c r="AH66" s="129"/>
      <c r="AI66" s="129"/>
      <c r="AJ66" s="130"/>
      <c r="AK66" s="129"/>
      <c r="AL66" s="129"/>
      <c r="AM66" s="129"/>
      <c r="AN66" s="129"/>
      <c r="AO66" s="130"/>
      <c r="AP66" s="129"/>
      <c r="AQ66" s="129"/>
      <c r="AR66" s="129"/>
      <c r="AS66" s="129"/>
      <c r="AT66" s="130"/>
      <c r="AU66" s="129"/>
      <c r="AV66" s="129"/>
      <c r="AW66" s="129"/>
      <c r="AX66" s="129"/>
      <c r="AY66" s="78"/>
    </row>
    <row r="67" spans="1:51">
      <c r="A67" s="128" t="s">
        <v>159</v>
      </c>
      <c r="B67" s="129"/>
      <c r="C67" s="129"/>
      <c r="D67" s="129"/>
      <c r="E67" s="129"/>
      <c r="F67" s="130"/>
      <c r="G67" s="129"/>
      <c r="H67" s="129"/>
      <c r="I67" s="129"/>
      <c r="J67" s="129"/>
      <c r="K67" s="130"/>
      <c r="L67" s="129"/>
      <c r="M67" s="129"/>
      <c r="N67" s="129"/>
      <c r="O67" s="129"/>
      <c r="P67" s="130"/>
      <c r="Q67" s="129"/>
      <c r="R67" s="129"/>
      <c r="S67" s="129"/>
      <c r="T67" s="129"/>
      <c r="U67" s="130"/>
      <c r="V67" s="129"/>
      <c r="W67" s="129"/>
      <c r="X67" s="129"/>
      <c r="Y67" s="129"/>
      <c r="Z67" s="130"/>
      <c r="AA67" s="129"/>
      <c r="AB67" s="129"/>
      <c r="AC67" s="129"/>
      <c r="AD67" s="129"/>
      <c r="AE67" s="130"/>
      <c r="AF67" s="129"/>
      <c r="AG67" s="129"/>
      <c r="AH67" s="129"/>
      <c r="AI67" s="129"/>
      <c r="AJ67" s="130"/>
      <c r="AK67" s="129"/>
      <c r="AL67" s="129"/>
      <c r="AM67" s="129"/>
      <c r="AN67" s="129"/>
      <c r="AO67" s="130"/>
      <c r="AP67" s="129"/>
      <c r="AQ67" s="129"/>
      <c r="AR67" s="129"/>
      <c r="AS67" s="129"/>
      <c r="AT67" s="130"/>
      <c r="AU67" s="129"/>
      <c r="AV67" s="129"/>
      <c r="AW67" s="129"/>
      <c r="AX67" s="129"/>
      <c r="AY67" s="78"/>
    </row>
    <row r="68" spans="1:51">
      <c r="A68" s="128" t="s">
        <v>161</v>
      </c>
      <c r="B68" s="129"/>
      <c r="C68" s="129"/>
      <c r="D68" s="129"/>
      <c r="E68" s="129"/>
      <c r="F68" s="130"/>
      <c r="G68" s="129"/>
      <c r="H68" s="129"/>
      <c r="I68" s="129"/>
      <c r="J68" s="129"/>
      <c r="K68" s="130"/>
      <c r="L68" s="129"/>
      <c r="M68" s="129"/>
      <c r="N68" s="129"/>
      <c r="O68" s="129"/>
      <c r="P68" s="130"/>
      <c r="Q68" s="129"/>
      <c r="R68" s="129"/>
      <c r="S68" s="129"/>
      <c r="T68" s="129"/>
      <c r="U68" s="130"/>
      <c r="V68" s="129"/>
      <c r="W68" s="129"/>
      <c r="X68" s="129"/>
      <c r="Y68" s="129"/>
      <c r="Z68" s="130"/>
      <c r="AA68" s="129"/>
      <c r="AB68" s="129"/>
      <c r="AC68" s="129"/>
      <c r="AD68" s="129"/>
      <c r="AE68" s="130"/>
      <c r="AF68" s="129"/>
      <c r="AG68" s="129"/>
      <c r="AH68" s="129"/>
      <c r="AI68" s="129"/>
      <c r="AJ68" s="130"/>
      <c r="AK68" s="129"/>
      <c r="AL68" s="129"/>
      <c r="AM68" s="129"/>
      <c r="AN68" s="129"/>
      <c r="AO68" s="130"/>
      <c r="AP68" s="129"/>
      <c r="AQ68" s="129"/>
      <c r="AR68" s="129"/>
      <c r="AS68" s="129"/>
      <c r="AT68" s="130"/>
      <c r="AU68" s="129"/>
      <c r="AV68" s="129"/>
      <c r="AW68" s="129"/>
      <c r="AX68" s="129"/>
      <c r="AY68" s="78"/>
    </row>
    <row r="69" spans="1:51">
      <c r="A69" s="128" t="s">
        <v>163</v>
      </c>
      <c r="B69" s="129"/>
      <c r="C69" s="129"/>
      <c r="D69" s="129"/>
      <c r="E69" s="129"/>
      <c r="F69" s="130"/>
      <c r="G69" s="129"/>
      <c r="H69" s="129"/>
      <c r="I69" s="129"/>
      <c r="J69" s="129"/>
      <c r="K69" s="130"/>
      <c r="L69" s="129"/>
      <c r="M69" s="129"/>
      <c r="N69" s="129"/>
      <c r="O69" s="129"/>
      <c r="P69" s="130"/>
      <c r="Q69" s="129"/>
      <c r="R69" s="129"/>
      <c r="S69" s="129"/>
      <c r="T69" s="129"/>
      <c r="U69" s="130"/>
      <c r="V69" s="129"/>
      <c r="W69" s="129"/>
      <c r="X69" s="129"/>
      <c r="Y69" s="129"/>
      <c r="Z69" s="130"/>
      <c r="AA69" s="129"/>
      <c r="AB69" s="129"/>
      <c r="AC69" s="129"/>
      <c r="AD69" s="129"/>
      <c r="AE69" s="130"/>
      <c r="AF69" s="129"/>
      <c r="AG69" s="129"/>
      <c r="AH69" s="129"/>
      <c r="AI69" s="129"/>
      <c r="AJ69" s="130"/>
      <c r="AK69" s="129"/>
      <c r="AL69" s="129"/>
      <c r="AM69" s="129"/>
      <c r="AN69" s="129"/>
      <c r="AO69" s="130"/>
      <c r="AP69" s="129"/>
      <c r="AQ69" s="129"/>
      <c r="AR69" s="129"/>
      <c r="AS69" s="129"/>
      <c r="AT69" s="130"/>
      <c r="AU69" s="129"/>
      <c r="AV69" s="129"/>
      <c r="AW69" s="129"/>
      <c r="AX69" s="129"/>
      <c r="AY69" s="78"/>
    </row>
    <row r="70" spans="1:51">
      <c r="A70" s="128" t="s">
        <v>165</v>
      </c>
      <c r="B70" s="129"/>
      <c r="C70" s="129"/>
      <c r="D70" s="129"/>
      <c r="E70" s="129"/>
      <c r="F70" s="130"/>
      <c r="G70" s="129"/>
      <c r="H70" s="129"/>
      <c r="I70" s="129"/>
      <c r="J70" s="129"/>
      <c r="K70" s="130"/>
      <c r="L70" s="129"/>
      <c r="M70" s="129"/>
      <c r="N70" s="129"/>
      <c r="O70" s="129"/>
      <c r="P70" s="130"/>
      <c r="Q70" s="129"/>
      <c r="R70" s="129"/>
      <c r="S70" s="129"/>
      <c r="T70" s="129"/>
      <c r="U70" s="130"/>
      <c r="V70" s="129"/>
      <c r="W70" s="129"/>
      <c r="X70" s="129"/>
      <c r="Y70" s="129"/>
      <c r="Z70" s="130"/>
      <c r="AA70" s="129"/>
      <c r="AB70" s="129"/>
      <c r="AC70" s="129"/>
      <c r="AD70" s="129"/>
      <c r="AE70" s="130"/>
      <c r="AF70" s="129"/>
      <c r="AG70" s="129"/>
      <c r="AH70" s="129"/>
      <c r="AI70" s="129"/>
      <c r="AJ70" s="130"/>
      <c r="AK70" s="129"/>
      <c r="AL70" s="129"/>
      <c r="AM70" s="129"/>
      <c r="AN70" s="129"/>
      <c r="AO70" s="130"/>
      <c r="AP70" s="129"/>
      <c r="AQ70" s="129"/>
      <c r="AR70" s="129"/>
      <c r="AS70" s="129"/>
      <c r="AT70" s="130"/>
      <c r="AU70" s="129"/>
      <c r="AV70" s="129"/>
      <c r="AW70" s="129"/>
      <c r="AX70" s="129"/>
      <c r="AY70" s="78"/>
    </row>
    <row r="71" spans="1:51">
      <c r="A71" s="128" t="s">
        <v>167</v>
      </c>
      <c r="B71" s="129"/>
      <c r="C71" s="129"/>
      <c r="D71" s="129"/>
      <c r="E71" s="129"/>
      <c r="F71" s="130"/>
      <c r="G71" s="129"/>
      <c r="H71" s="129"/>
      <c r="I71" s="129"/>
      <c r="J71" s="129"/>
      <c r="K71" s="130"/>
      <c r="L71" s="129"/>
      <c r="M71" s="129"/>
      <c r="N71" s="129"/>
      <c r="O71" s="129"/>
      <c r="P71" s="130"/>
      <c r="Q71" s="129"/>
      <c r="R71" s="129"/>
      <c r="S71" s="129"/>
      <c r="T71" s="129"/>
      <c r="U71" s="130"/>
      <c r="V71" s="129"/>
      <c r="W71" s="129"/>
      <c r="X71" s="129"/>
      <c r="Y71" s="129"/>
      <c r="Z71" s="130"/>
      <c r="AA71" s="129"/>
      <c r="AB71" s="129"/>
      <c r="AC71" s="129"/>
      <c r="AD71" s="129"/>
      <c r="AE71" s="130"/>
      <c r="AF71" s="129"/>
      <c r="AG71" s="129"/>
      <c r="AH71" s="129"/>
      <c r="AI71" s="129"/>
      <c r="AJ71" s="130"/>
      <c r="AK71" s="129"/>
      <c r="AL71" s="129"/>
      <c r="AM71" s="129"/>
      <c r="AN71" s="129"/>
      <c r="AO71" s="130"/>
      <c r="AP71" s="129"/>
      <c r="AQ71" s="129"/>
      <c r="AR71" s="129"/>
      <c r="AS71" s="129"/>
      <c r="AT71" s="130"/>
      <c r="AU71" s="129"/>
      <c r="AV71" s="129"/>
      <c r="AW71" s="129"/>
      <c r="AX71" s="129"/>
      <c r="AY71" s="78"/>
    </row>
    <row r="72" spans="1:51">
      <c r="A72" s="128" t="s">
        <v>169</v>
      </c>
      <c r="B72" s="129"/>
      <c r="C72" s="129"/>
      <c r="D72" s="129"/>
      <c r="E72" s="129"/>
      <c r="F72" s="130"/>
      <c r="G72" s="129"/>
      <c r="H72" s="129"/>
      <c r="I72" s="129"/>
      <c r="J72" s="129"/>
      <c r="K72" s="130"/>
      <c r="L72" s="129"/>
      <c r="M72" s="129"/>
      <c r="N72" s="129"/>
      <c r="O72" s="129"/>
      <c r="P72" s="130"/>
      <c r="Q72" s="129"/>
      <c r="R72" s="129"/>
      <c r="S72" s="129"/>
      <c r="T72" s="129"/>
      <c r="U72" s="130"/>
      <c r="V72" s="129"/>
      <c r="W72" s="129"/>
      <c r="X72" s="129"/>
      <c r="Y72" s="129"/>
      <c r="Z72" s="130"/>
      <c r="AA72" s="129"/>
      <c r="AB72" s="129"/>
      <c r="AC72" s="129"/>
      <c r="AD72" s="129"/>
      <c r="AE72" s="130"/>
      <c r="AF72" s="129"/>
      <c r="AG72" s="129"/>
      <c r="AH72" s="129"/>
      <c r="AI72" s="129"/>
      <c r="AJ72" s="130"/>
      <c r="AK72" s="129"/>
      <c r="AL72" s="129"/>
      <c r="AM72" s="129"/>
      <c r="AN72" s="129"/>
      <c r="AO72" s="130"/>
      <c r="AP72" s="129"/>
      <c r="AQ72" s="129"/>
      <c r="AR72" s="129"/>
      <c r="AS72" s="129"/>
      <c r="AT72" s="130"/>
      <c r="AU72" s="129"/>
      <c r="AV72" s="129"/>
      <c r="AW72" s="129"/>
      <c r="AX72" s="129"/>
      <c r="AY72" s="78"/>
    </row>
    <row r="73" spans="1:51">
      <c r="A73" s="128" t="s">
        <v>171</v>
      </c>
      <c r="B73" s="129"/>
      <c r="C73" s="129"/>
      <c r="D73" s="129"/>
      <c r="E73" s="129"/>
      <c r="F73" s="130"/>
      <c r="G73" s="129"/>
      <c r="H73" s="129"/>
      <c r="I73" s="129"/>
      <c r="J73" s="129"/>
      <c r="K73" s="130"/>
      <c r="L73" s="129"/>
      <c r="M73" s="129"/>
      <c r="N73" s="129"/>
      <c r="O73" s="129"/>
      <c r="P73" s="130"/>
      <c r="Q73" s="129"/>
      <c r="R73" s="129"/>
      <c r="S73" s="129"/>
      <c r="T73" s="129"/>
      <c r="U73" s="130"/>
      <c r="V73" s="129"/>
      <c r="W73" s="129"/>
      <c r="X73" s="129"/>
      <c r="Y73" s="129"/>
      <c r="Z73" s="130"/>
      <c r="AA73" s="129"/>
      <c r="AB73" s="129"/>
      <c r="AC73" s="129"/>
      <c r="AD73" s="129"/>
      <c r="AE73" s="130"/>
      <c r="AF73" s="129"/>
      <c r="AG73" s="129"/>
      <c r="AH73" s="129"/>
      <c r="AI73" s="129"/>
      <c r="AJ73" s="130"/>
      <c r="AK73" s="129"/>
      <c r="AL73" s="129"/>
      <c r="AM73" s="129"/>
      <c r="AN73" s="129"/>
      <c r="AO73" s="130"/>
      <c r="AP73" s="129"/>
      <c r="AQ73" s="129"/>
      <c r="AR73" s="129"/>
      <c r="AS73" s="129"/>
      <c r="AT73" s="130"/>
      <c r="AU73" s="129"/>
      <c r="AV73" s="129"/>
      <c r="AW73" s="129"/>
      <c r="AX73" s="129"/>
      <c r="AY73" s="78"/>
    </row>
    <row r="74" spans="1:51">
      <c r="A74" s="128" t="s">
        <v>173</v>
      </c>
      <c r="B74" s="129"/>
      <c r="C74" s="129"/>
      <c r="D74" s="129"/>
      <c r="E74" s="129"/>
      <c r="F74" s="130"/>
      <c r="G74" s="129"/>
      <c r="H74" s="129"/>
      <c r="I74" s="129"/>
      <c r="J74" s="129"/>
      <c r="K74" s="130"/>
      <c r="L74" s="129"/>
      <c r="M74" s="129"/>
      <c r="N74" s="129"/>
      <c r="O74" s="129"/>
      <c r="P74" s="130"/>
      <c r="Q74" s="129"/>
      <c r="R74" s="129"/>
      <c r="S74" s="129"/>
      <c r="T74" s="129"/>
      <c r="U74" s="130"/>
      <c r="V74" s="129"/>
      <c r="W74" s="129"/>
      <c r="X74" s="129"/>
      <c r="Y74" s="129"/>
      <c r="Z74" s="130"/>
      <c r="AA74" s="129"/>
      <c r="AB74" s="129"/>
      <c r="AC74" s="129"/>
      <c r="AD74" s="129"/>
      <c r="AE74" s="130"/>
      <c r="AF74" s="129"/>
      <c r="AG74" s="129"/>
      <c r="AH74" s="129"/>
      <c r="AI74" s="129"/>
      <c r="AJ74" s="130"/>
      <c r="AK74" s="129"/>
      <c r="AL74" s="129"/>
      <c r="AM74" s="129"/>
      <c r="AN74" s="129"/>
      <c r="AO74" s="130"/>
      <c r="AP74" s="129"/>
      <c r="AQ74" s="129"/>
      <c r="AR74" s="129"/>
      <c r="AS74" s="129"/>
      <c r="AT74" s="130"/>
      <c r="AU74" s="129"/>
      <c r="AV74" s="129"/>
      <c r="AW74" s="129"/>
      <c r="AX74" s="129"/>
      <c r="AY74" s="78"/>
    </row>
    <row r="75" spans="1:51">
      <c r="A75" s="128" t="s">
        <v>175</v>
      </c>
      <c r="B75" s="129"/>
      <c r="C75" s="129"/>
      <c r="D75" s="129"/>
      <c r="E75" s="129"/>
      <c r="F75" s="130"/>
      <c r="G75" s="129"/>
      <c r="H75" s="129"/>
      <c r="I75" s="129"/>
      <c r="J75" s="129"/>
      <c r="K75" s="130"/>
      <c r="L75" s="129"/>
      <c r="M75" s="129"/>
      <c r="N75" s="129"/>
      <c r="O75" s="129"/>
      <c r="P75" s="130"/>
      <c r="Q75" s="129"/>
      <c r="R75" s="129"/>
      <c r="S75" s="129"/>
      <c r="T75" s="129"/>
      <c r="U75" s="130"/>
      <c r="V75" s="129"/>
      <c r="W75" s="129"/>
      <c r="X75" s="129"/>
      <c r="Y75" s="129"/>
      <c r="Z75" s="130"/>
      <c r="AA75" s="129"/>
      <c r="AB75" s="129"/>
      <c r="AC75" s="129"/>
      <c r="AD75" s="129"/>
      <c r="AE75" s="130"/>
      <c r="AF75" s="129"/>
      <c r="AG75" s="129"/>
      <c r="AH75" s="129"/>
      <c r="AI75" s="129"/>
      <c r="AJ75" s="130"/>
      <c r="AK75" s="129"/>
      <c r="AL75" s="129"/>
      <c r="AM75" s="129"/>
      <c r="AN75" s="129"/>
      <c r="AO75" s="130"/>
      <c r="AP75" s="129"/>
      <c r="AQ75" s="129"/>
      <c r="AR75" s="129"/>
      <c r="AS75" s="129"/>
      <c r="AT75" s="130"/>
      <c r="AU75" s="129"/>
      <c r="AV75" s="129"/>
      <c r="AW75" s="129"/>
      <c r="AX75" s="129"/>
      <c r="AY75" s="78"/>
    </row>
    <row r="76" spans="1:51">
      <c r="A76" s="128" t="s">
        <v>177</v>
      </c>
      <c r="B76" s="129"/>
      <c r="C76" s="129"/>
      <c r="D76" s="129"/>
      <c r="E76" s="129"/>
      <c r="F76" s="130"/>
      <c r="G76" s="129"/>
      <c r="H76" s="129"/>
      <c r="I76" s="129"/>
      <c r="J76" s="129"/>
      <c r="K76" s="130"/>
      <c r="L76" s="129"/>
      <c r="M76" s="129"/>
      <c r="N76" s="129"/>
      <c r="O76" s="129"/>
      <c r="P76" s="130"/>
      <c r="Q76" s="129"/>
      <c r="R76" s="129"/>
      <c r="S76" s="129"/>
      <c r="T76" s="129"/>
      <c r="U76" s="130"/>
      <c r="V76" s="129"/>
      <c r="W76" s="129"/>
      <c r="X76" s="129"/>
      <c r="Y76" s="129"/>
      <c r="Z76" s="130"/>
      <c r="AA76" s="129"/>
      <c r="AB76" s="129"/>
      <c r="AC76" s="129"/>
      <c r="AD76" s="129"/>
      <c r="AE76" s="130"/>
      <c r="AF76" s="129"/>
      <c r="AG76" s="129"/>
      <c r="AH76" s="129"/>
      <c r="AI76" s="129"/>
      <c r="AJ76" s="130"/>
      <c r="AK76" s="129"/>
      <c r="AL76" s="129"/>
      <c r="AM76" s="129"/>
      <c r="AN76" s="129"/>
      <c r="AO76" s="130"/>
      <c r="AP76" s="129"/>
      <c r="AQ76" s="129"/>
      <c r="AR76" s="129"/>
      <c r="AS76" s="129"/>
      <c r="AT76" s="130"/>
      <c r="AU76" s="129"/>
      <c r="AV76" s="129"/>
      <c r="AW76" s="129"/>
      <c r="AX76" s="129"/>
      <c r="AY76" s="78"/>
    </row>
    <row r="77" spans="1:51">
      <c r="A77" s="128" t="s">
        <v>179</v>
      </c>
      <c r="B77" s="129"/>
      <c r="C77" s="129"/>
      <c r="D77" s="129"/>
      <c r="E77" s="129"/>
      <c r="F77" s="130"/>
      <c r="G77" s="129"/>
      <c r="H77" s="129"/>
      <c r="I77" s="129"/>
      <c r="J77" s="129"/>
      <c r="K77" s="130"/>
      <c r="L77" s="129"/>
      <c r="M77" s="129"/>
      <c r="N77" s="129"/>
      <c r="O77" s="129"/>
      <c r="P77" s="130"/>
      <c r="Q77" s="129"/>
      <c r="R77" s="129"/>
      <c r="S77" s="129"/>
      <c r="T77" s="129"/>
      <c r="U77" s="130"/>
      <c r="V77" s="129"/>
      <c r="W77" s="129"/>
      <c r="X77" s="129"/>
      <c r="Y77" s="129"/>
      <c r="Z77" s="130"/>
      <c r="AA77" s="129"/>
      <c r="AB77" s="129"/>
      <c r="AC77" s="129"/>
      <c r="AD77" s="129"/>
      <c r="AE77" s="130"/>
      <c r="AF77" s="129"/>
      <c r="AG77" s="129"/>
      <c r="AH77" s="129"/>
      <c r="AI77" s="129"/>
      <c r="AJ77" s="130"/>
      <c r="AK77" s="129"/>
      <c r="AL77" s="129"/>
      <c r="AM77" s="129"/>
      <c r="AN77" s="129"/>
      <c r="AO77" s="130"/>
      <c r="AP77" s="129"/>
      <c r="AQ77" s="129"/>
      <c r="AR77" s="129"/>
      <c r="AS77" s="129"/>
      <c r="AT77" s="130"/>
      <c r="AU77" s="129"/>
      <c r="AV77" s="129"/>
      <c r="AW77" s="129"/>
      <c r="AX77" s="129"/>
      <c r="AY77" s="78"/>
    </row>
    <row r="78" spans="1:51">
      <c r="A78" s="128" t="s">
        <v>181</v>
      </c>
      <c r="B78" s="129"/>
      <c r="C78" s="129"/>
      <c r="D78" s="129"/>
      <c r="E78" s="129"/>
      <c r="F78" s="130"/>
      <c r="G78" s="129"/>
      <c r="H78" s="129"/>
      <c r="I78" s="129"/>
      <c r="J78" s="129"/>
      <c r="K78" s="130"/>
      <c r="L78" s="129"/>
      <c r="M78" s="129"/>
      <c r="N78" s="129"/>
      <c r="O78" s="129"/>
      <c r="P78" s="130"/>
      <c r="Q78" s="129"/>
      <c r="R78" s="129"/>
      <c r="S78" s="129"/>
      <c r="T78" s="129"/>
      <c r="U78" s="130"/>
      <c r="V78" s="129"/>
      <c r="W78" s="129"/>
      <c r="X78" s="129"/>
      <c r="Y78" s="129"/>
      <c r="Z78" s="130"/>
      <c r="AA78" s="129"/>
      <c r="AB78" s="129"/>
      <c r="AC78" s="129"/>
      <c r="AD78" s="129"/>
      <c r="AE78" s="130"/>
      <c r="AF78" s="129"/>
      <c r="AG78" s="129"/>
      <c r="AH78" s="129"/>
      <c r="AI78" s="129"/>
      <c r="AJ78" s="130"/>
      <c r="AK78" s="129"/>
      <c r="AL78" s="129"/>
      <c r="AM78" s="129"/>
      <c r="AN78" s="129"/>
      <c r="AO78" s="130"/>
      <c r="AP78" s="129"/>
      <c r="AQ78" s="129"/>
      <c r="AR78" s="129"/>
      <c r="AS78" s="129"/>
      <c r="AT78" s="130"/>
      <c r="AU78" s="129"/>
      <c r="AV78" s="129"/>
      <c r="AW78" s="129"/>
      <c r="AX78" s="129"/>
      <c r="AY78" s="78"/>
    </row>
    <row r="79" spans="1:51">
      <c r="A79" s="128" t="s">
        <v>183</v>
      </c>
      <c r="B79" s="129"/>
      <c r="C79" s="129"/>
      <c r="D79" s="129"/>
      <c r="E79" s="129"/>
      <c r="F79" s="130"/>
      <c r="G79" s="129"/>
      <c r="H79" s="129"/>
      <c r="I79" s="129"/>
      <c r="J79" s="129"/>
      <c r="K79" s="130"/>
      <c r="L79" s="129"/>
      <c r="M79" s="129"/>
      <c r="N79" s="129"/>
      <c r="O79" s="129"/>
      <c r="P79" s="130"/>
      <c r="Q79" s="129"/>
      <c r="R79" s="129"/>
      <c r="S79" s="129"/>
      <c r="T79" s="129"/>
      <c r="U79" s="130"/>
      <c r="V79" s="129"/>
      <c r="W79" s="129"/>
      <c r="X79" s="129"/>
      <c r="Y79" s="129"/>
      <c r="Z79" s="130"/>
      <c r="AA79" s="129"/>
      <c r="AB79" s="129"/>
      <c r="AC79" s="129"/>
      <c r="AD79" s="129"/>
      <c r="AE79" s="130"/>
      <c r="AF79" s="129"/>
      <c r="AG79" s="129"/>
      <c r="AH79" s="129"/>
      <c r="AI79" s="129"/>
      <c r="AJ79" s="130"/>
      <c r="AK79" s="129"/>
      <c r="AL79" s="129"/>
      <c r="AM79" s="129"/>
      <c r="AN79" s="129"/>
      <c r="AO79" s="130"/>
      <c r="AP79" s="129"/>
      <c r="AQ79" s="129"/>
      <c r="AR79" s="129"/>
      <c r="AS79" s="129"/>
      <c r="AT79" s="130"/>
      <c r="AU79" s="129"/>
      <c r="AV79" s="129"/>
      <c r="AW79" s="129"/>
      <c r="AX79" s="129"/>
      <c r="AY79" s="78"/>
    </row>
    <row r="80" spans="1:51">
      <c r="A80" s="128" t="s">
        <v>185</v>
      </c>
      <c r="B80" s="129"/>
      <c r="C80" s="129"/>
      <c r="D80" s="129"/>
      <c r="E80" s="129"/>
      <c r="F80" s="130"/>
      <c r="G80" s="129"/>
      <c r="H80" s="129"/>
      <c r="I80" s="129"/>
      <c r="J80" s="129"/>
      <c r="K80" s="130"/>
      <c r="L80" s="129"/>
      <c r="M80" s="129"/>
      <c r="N80" s="129"/>
      <c r="O80" s="129"/>
      <c r="P80" s="130"/>
      <c r="Q80" s="129"/>
      <c r="R80" s="129"/>
      <c r="S80" s="129"/>
      <c r="T80" s="129"/>
      <c r="U80" s="130"/>
      <c r="V80" s="129"/>
      <c r="W80" s="129"/>
      <c r="X80" s="129"/>
      <c r="Y80" s="129"/>
      <c r="Z80" s="130"/>
      <c r="AA80" s="129"/>
      <c r="AB80" s="129"/>
      <c r="AC80" s="129"/>
      <c r="AD80" s="129"/>
      <c r="AE80" s="130"/>
      <c r="AF80" s="129"/>
      <c r="AG80" s="129"/>
      <c r="AH80" s="129"/>
      <c r="AI80" s="129"/>
      <c r="AJ80" s="130"/>
      <c r="AK80" s="129"/>
      <c r="AL80" s="129"/>
      <c r="AM80" s="129"/>
      <c r="AN80" s="129"/>
      <c r="AO80" s="130"/>
      <c r="AP80" s="129"/>
      <c r="AQ80" s="129"/>
      <c r="AR80" s="129"/>
      <c r="AS80" s="129"/>
      <c r="AT80" s="130"/>
      <c r="AU80" s="129"/>
      <c r="AV80" s="129"/>
      <c r="AW80" s="129"/>
      <c r="AX80" s="129"/>
      <c r="AY80" s="78"/>
    </row>
    <row r="81" spans="1:51">
      <c r="A81" s="128" t="s">
        <v>187</v>
      </c>
      <c r="B81" s="129"/>
      <c r="C81" s="129"/>
      <c r="D81" s="129"/>
      <c r="E81" s="129"/>
      <c r="F81" s="130"/>
      <c r="G81" s="129"/>
      <c r="H81" s="129"/>
      <c r="I81" s="129"/>
      <c r="J81" s="129"/>
      <c r="K81" s="130"/>
      <c r="L81" s="129"/>
      <c r="M81" s="129"/>
      <c r="N81" s="129"/>
      <c r="O81" s="129"/>
      <c r="P81" s="130"/>
      <c r="Q81" s="129"/>
      <c r="R81" s="129"/>
      <c r="S81" s="129"/>
      <c r="T81" s="129"/>
      <c r="U81" s="130"/>
      <c r="V81" s="129"/>
      <c r="W81" s="129"/>
      <c r="X81" s="129"/>
      <c r="Y81" s="129"/>
      <c r="Z81" s="130"/>
      <c r="AA81" s="129"/>
      <c r="AB81" s="129"/>
      <c r="AC81" s="129"/>
      <c r="AD81" s="129"/>
      <c r="AE81" s="130"/>
      <c r="AF81" s="129"/>
      <c r="AG81" s="129"/>
      <c r="AH81" s="129"/>
      <c r="AI81" s="129"/>
      <c r="AJ81" s="130"/>
      <c r="AK81" s="129"/>
      <c r="AL81" s="129"/>
      <c r="AM81" s="129"/>
      <c r="AN81" s="129"/>
      <c r="AO81" s="130"/>
      <c r="AP81" s="129"/>
      <c r="AQ81" s="129"/>
      <c r="AR81" s="129"/>
      <c r="AS81" s="129"/>
      <c r="AT81" s="130"/>
      <c r="AU81" s="129"/>
      <c r="AV81" s="129"/>
      <c r="AW81" s="129"/>
      <c r="AX81" s="129"/>
      <c r="AY81" s="78"/>
    </row>
    <row r="82" spans="1:51">
      <c r="A82" s="128" t="s">
        <v>189</v>
      </c>
      <c r="B82" s="129"/>
      <c r="C82" s="129"/>
      <c r="D82" s="129"/>
      <c r="E82" s="129"/>
      <c r="F82" s="130"/>
      <c r="G82" s="129"/>
      <c r="H82" s="129"/>
      <c r="I82" s="129"/>
      <c r="J82" s="129"/>
      <c r="K82" s="130"/>
      <c r="L82" s="129"/>
      <c r="M82" s="129"/>
      <c r="N82" s="129"/>
      <c r="O82" s="129"/>
      <c r="P82" s="130"/>
      <c r="Q82" s="129"/>
      <c r="R82" s="129"/>
      <c r="S82" s="129"/>
      <c r="T82" s="129"/>
      <c r="U82" s="130"/>
      <c r="V82" s="129"/>
      <c r="W82" s="129"/>
      <c r="X82" s="129"/>
      <c r="Y82" s="129"/>
      <c r="Z82" s="130"/>
      <c r="AA82" s="129"/>
      <c r="AB82" s="129"/>
      <c r="AC82" s="129"/>
      <c r="AD82" s="129"/>
      <c r="AE82" s="130"/>
      <c r="AF82" s="129"/>
      <c r="AG82" s="129"/>
      <c r="AH82" s="129"/>
      <c r="AI82" s="129"/>
      <c r="AJ82" s="130"/>
      <c r="AK82" s="129"/>
      <c r="AL82" s="129"/>
      <c r="AM82" s="129"/>
      <c r="AN82" s="129"/>
      <c r="AO82" s="130"/>
      <c r="AP82" s="129"/>
      <c r="AQ82" s="129"/>
      <c r="AR82" s="129"/>
      <c r="AS82" s="129"/>
      <c r="AT82" s="130"/>
      <c r="AU82" s="129"/>
      <c r="AV82" s="129"/>
      <c r="AW82" s="129"/>
      <c r="AX82" s="129"/>
      <c r="AY82" s="78"/>
    </row>
    <row r="83" spans="1:51">
      <c r="A83" s="128" t="s">
        <v>191</v>
      </c>
      <c r="B83" s="129"/>
      <c r="C83" s="129"/>
      <c r="D83" s="129"/>
      <c r="E83" s="129"/>
      <c r="F83" s="130"/>
      <c r="G83" s="129"/>
      <c r="H83" s="129"/>
      <c r="I83" s="129"/>
      <c r="J83" s="129"/>
      <c r="K83" s="130"/>
      <c r="L83" s="129"/>
      <c r="M83" s="129"/>
      <c r="N83" s="129"/>
      <c r="O83" s="129"/>
      <c r="P83" s="130"/>
      <c r="Q83" s="129"/>
      <c r="R83" s="129"/>
      <c r="S83" s="129"/>
      <c r="T83" s="129"/>
      <c r="U83" s="130"/>
      <c r="V83" s="129"/>
      <c r="W83" s="129"/>
      <c r="X83" s="129"/>
      <c r="Y83" s="129"/>
      <c r="Z83" s="130"/>
      <c r="AA83" s="129"/>
      <c r="AB83" s="129"/>
      <c r="AC83" s="129"/>
      <c r="AD83" s="129"/>
      <c r="AE83" s="130"/>
      <c r="AF83" s="129"/>
      <c r="AG83" s="129"/>
      <c r="AH83" s="129"/>
      <c r="AI83" s="129"/>
      <c r="AJ83" s="130"/>
      <c r="AK83" s="129"/>
      <c r="AL83" s="129"/>
      <c r="AM83" s="129"/>
      <c r="AN83" s="129"/>
      <c r="AO83" s="130"/>
      <c r="AP83" s="129"/>
      <c r="AQ83" s="129"/>
      <c r="AR83" s="129"/>
      <c r="AS83" s="129"/>
      <c r="AT83" s="130"/>
      <c r="AU83" s="129"/>
      <c r="AV83" s="129"/>
      <c r="AW83" s="129"/>
      <c r="AX83" s="129"/>
      <c r="AY83" s="78"/>
    </row>
    <row r="84" spans="1:51">
      <c r="A84" s="128" t="s">
        <v>193</v>
      </c>
      <c r="B84" s="129"/>
      <c r="C84" s="129"/>
      <c r="D84" s="129"/>
      <c r="E84" s="129"/>
      <c r="F84" s="130"/>
      <c r="G84" s="129"/>
      <c r="H84" s="129"/>
      <c r="I84" s="129"/>
      <c r="J84" s="129"/>
      <c r="K84" s="130"/>
      <c r="L84" s="129"/>
      <c r="M84" s="129"/>
      <c r="N84" s="129"/>
      <c r="O84" s="129"/>
      <c r="P84" s="130"/>
      <c r="Q84" s="129"/>
      <c r="R84" s="129"/>
      <c r="S84" s="129"/>
      <c r="T84" s="129"/>
      <c r="U84" s="130"/>
      <c r="V84" s="129"/>
      <c r="W84" s="129"/>
      <c r="X84" s="129"/>
      <c r="Y84" s="129"/>
      <c r="Z84" s="130"/>
      <c r="AA84" s="129"/>
      <c r="AB84" s="129"/>
      <c r="AC84" s="129"/>
      <c r="AD84" s="129"/>
      <c r="AE84" s="130"/>
      <c r="AF84" s="129"/>
      <c r="AG84" s="129"/>
      <c r="AH84" s="129"/>
      <c r="AI84" s="129"/>
      <c r="AJ84" s="130"/>
      <c r="AK84" s="129"/>
      <c r="AL84" s="129"/>
      <c r="AM84" s="129"/>
      <c r="AN84" s="129"/>
      <c r="AO84" s="130"/>
      <c r="AP84" s="129"/>
      <c r="AQ84" s="129"/>
      <c r="AR84" s="129"/>
      <c r="AS84" s="129"/>
      <c r="AT84" s="130"/>
      <c r="AU84" s="129"/>
      <c r="AV84" s="129"/>
      <c r="AW84" s="129"/>
      <c r="AX84" s="129"/>
      <c r="AY84" s="78"/>
    </row>
    <row r="85" spans="1:51">
      <c r="A85" s="128" t="s">
        <v>195</v>
      </c>
      <c r="B85" s="129"/>
      <c r="C85" s="129"/>
      <c r="D85" s="129"/>
      <c r="E85" s="129"/>
      <c r="F85" s="130"/>
      <c r="G85" s="129"/>
      <c r="H85" s="129"/>
      <c r="I85" s="129"/>
      <c r="J85" s="129"/>
      <c r="K85" s="130"/>
      <c r="L85" s="129"/>
      <c r="M85" s="129"/>
      <c r="N85" s="129"/>
      <c r="O85" s="129"/>
      <c r="P85" s="130"/>
      <c r="Q85" s="129"/>
      <c r="R85" s="129"/>
      <c r="S85" s="129"/>
      <c r="T85" s="129"/>
      <c r="U85" s="130"/>
      <c r="V85" s="129"/>
      <c r="W85" s="129"/>
      <c r="X85" s="129"/>
      <c r="Y85" s="129"/>
      <c r="Z85" s="130"/>
      <c r="AA85" s="129"/>
      <c r="AB85" s="129"/>
      <c r="AC85" s="129"/>
      <c r="AD85" s="129"/>
      <c r="AE85" s="130"/>
      <c r="AF85" s="129"/>
      <c r="AG85" s="129"/>
      <c r="AH85" s="129"/>
      <c r="AI85" s="129"/>
      <c r="AJ85" s="130"/>
      <c r="AK85" s="129"/>
      <c r="AL85" s="129"/>
      <c r="AM85" s="129"/>
      <c r="AN85" s="129"/>
      <c r="AO85" s="130"/>
      <c r="AP85" s="129"/>
      <c r="AQ85" s="129"/>
      <c r="AR85" s="129"/>
      <c r="AS85" s="129"/>
      <c r="AT85" s="130"/>
      <c r="AU85" s="129"/>
      <c r="AV85" s="129"/>
      <c r="AW85" s="129"/>
      <c r="AX85" s="129"/>
      <c r="AY85" s="78"/>
    </row>
    <row r="86" spans="1:51">
      <c r="A86" s="128" t="s">
        <v>197</v>
      </c>
      <c r="B86" s="129"/>
      <c r="C86" s="129"/>
      <c r="D86" s="129"/>
      <c r="E86" s="129"/>
      <c r="F86" s="130"/>
      <c r="G86" s="129"/>
      <c r="H86" s="129"/>
      <c r="I86" s="129"/>
      <c r="J86" s="129"/>
      <c r="K86" s="130"/>
      <c r="L86" s="129"/>
      <c r="M86" s="129"/>
      <c r="N86" s="129"/>
      <c r="O86" s="129"/>
      <c r="P86" s="130"/>
      <c r="Q86" s="129"/>
      <c r="R86" s="129"/>
      <c r="S86" s="129"/>
      <c r="T86" s="129"/>
      <c r="U86" s="130"/>
      <c r="V86" s="129"/>
      <c r="W86" s="129"/>
      <c r="X86" s="129"/>
      <c r="Y86" s="129"/>
      <c r="Z86" s="130"/>
      <c r="AA86" s="129"/>
      <c r="AB86" s="129"/>
      <c r="AC86" s="129"/>
      <c r="AD86" s="129"/>
      <c r="AE86" s="130"/>
      <c r="AF86" s="129"/>
      <c r="AG86" s="129"/>
      <c r="AH86" s="129"/>
      <c r="AI86" s="129"/>
      <c r="AJ86" s="130"/>
      <c r="AK86" s="129"/>
      <c r="AL86" s="129"/>
      <c r="AM86" s="129"/>
      <c r="AN86" s="129"/>
      <c r="AO86" s="130"/>
      <c r="AP86" s="129"/>
      <c r="AQ86" s="129"/>
      <c r="AR86" s="129"/>
      <c r="AS86" s="129"/>
      <c r="AT86" s="130"/>
      <c r="AU86" s="129"/>
      <c r="AV86" s="129"/>
      <c r="AW86" s="129"/>
      <c r="AX86" s="129"/>
      <c r="AY86" s="78"/>
    </row>
    <row r="87" spans="1:51">
      <c r="A87" s="128" t="s">
        <v>199</v>
      </c>
      <c r="B87" s="129"/>
      <c r="C87" s="129"/>
      <c r="D87" s="129"/>
      <c r="E87" s="129"/>
      <c r="F87" s="130"/>
      <c r="G87" s="129"/>
      <c r="H87" s="129"/>
      <c r="I87" s="129"/>
      <c r="J87" s="129"/>
      <c r="K87" s="130"/>
      <c r="L87" s="129"/>
      <c r="M87" s="129"/>
      <c r="N87" s="129"/>
      <c r="O87" s="129"/>
      <c r="P87" s="130"/>
      <c r="Q87" s="129"/>
      <c r="R87" s="129"/>
      <c r="S87" s="129"/>
      <c r="T87" s="129"/>
      <c r="U87" s="130"/>
      <c r="V87" s="129"/>
      <c r="W87" s="129"/>
      <c r="X87" s="129"/>
      <c r="Y87" s="129"/>
      <c r="Z87" s="130"/>
      <c r="AA87" s="129"/>
      <c r="AB87" s="129"/>
      <c r="AC87" s="129"/>
      <c r="AD87" s="129"/>
      <c r="AE87" s="130"/>
      <c r="AF87" s="129"/>
      <c r="AG87" s="129"/>
      <c r="AH87" s="129"/>
      <c r="AI87" s="129"/>
      <c r="AJ87" s="130"/>
      <c r="AK87" s="129"/>
      <c r="AL87" s="129"/>
      <c r="AM87" s="129"/>
      <c r="AN87" s="129"/>
      <c r="AO87" s="130"/>
      <c r="AP87" s="129"/>
      <c r="AQ87" s="129"/>
      <c r="AR87" s="129"/>
      <c r="AS87" s="129"/>
      <c r="AT87" s="130"/>
      <c r="AU87" s="129"/>
      <c r="AV87" s="129"/>
      <c r="AW87" s="129"/>
      <c r="AX87" s="129"/>
      <c r="AY87" s="78"/>
    </row>
    <row r="88" spans="1:51">
      <c r="A88" s="128" t="s">
        <v>201</v>
      </c>
      <c r="B88" s="129"/>
      <c r="C88" s="129"/>
      <c r="D88" s="129"/>
      <c r="E88" s="129"/>
      <c r="F88" s="130"/>
      <c r="G88" s="129"/>
      <c r="H88" s="129"/>
      <c r="I88" s="129"/>
      <c r="J88" s="129"/>
      <c r="K88" s="130"/>
      <c r="L88" s="129"/>
      <c r="M88" s="129"/>
      <c r="N88" s="129"/>
      <c r="O88" s="129"/>
      <c r="P88" s="130"/>
      <c r="Q88" s="129"/>
      <c r="R88" s="129"/>
      <c r="S88" s="129"/>
      <c r="T88" s="129"/>
      <c r="U88" s="130"/>
      <c r="V88" s="129"/>
      <c r="W88" s="129"/>
      <c r="X88" s="129"/>
      <c r="Y88" s="129"/>
      <c r="Z88" s="130"/>
      <c r="AA88" s="129"/>
      <c r="AB88" s="129"/>
      <c r="AC88" s="129"/>
      <c r="AD88" s="129"/>
      <c r="AE88" s="130"/>
      <c r="AF88" s="129"/>
      <c r="AG88" s="129"/>
      <c r="AH88" s="129"/>
      <c r="AI88" s="129"/>
      <c r="AJ88" s="130"/>
      <c r="AK88" s="129"/>
      <c r="AL88" s="129"/>
      <c r="AM88" s="129"/>
      <c r="AN88" s="129"/>
      <c r="AO88" s="130"/>
      <c r="AP88" s="129"/>
      <c r="AQ88" s="129"/>
      <c r="AR88" s="129"/>
      <c r="AS88" s="129"/>
      <c r="AT88" s="130"/>
      <c r="AU88" s="129"/>
      <c r="AV88" s="129"/>
      <c r="AW88" s="129"/>
      <c r="AX88" s="129"/>
      <c r="AY88" s="78"/>
    </row>
    <row r="89" spans="1:51">
      <c r="A89" s="128" t="s">
        <v>203</v>
      </c>
      <c r="B89" s="129"/>
      <c r="C89" s="129"/>
      <c r="D89" s="129"/>
      <c r="E89" s="129"/>
      <c r="F89" s="130"/>
      <c r="G89" s="129"/>
      <c r="H89" s="129"/>
      <c r="I89" s="129"/>
      <c r="J89" s="129"/>
      <c r="K89" s="130"/>
      <c r="L89" s="129"/>
      <c r="M89" s="129"/>
      <c r="N89" s="129"/>
      <c r="O89" s="129"/>
      <c r="P89" s="130"/>
      <c r="Q89" s="129"/>
      <c r="R89" s="129"/>
      <c r="S89" s="129"/>
      <c r="T89" s="129"/>
      <c r="U89" s="130"/>
      <c r="V89" s="129"/>
      <c r="W89" s="129"/>
      <c r="X89" s="129"/>
      <c r="Y89" s="129"/>
      <c r="Z89" s="130"/>
      <c r="AA89" s="129"/>
      <c r="AB89" s="129"/>
      <c r="AC89" s="129"/>
      <c r="AD89" s="129"/>
      <c r="AE89" s="130"/>
      <c r="AF89" s="129"/>
      <c r="AG89" s="129"/>
      <c r="AH89" s="129"/>
      <c r="AI89" s="129"/>
      <c r="AJ89" s="130"/>
      <c r="AK89" s="129"/>
      <c r="AL89" s="129"/>
      <c r="AM89" s="129"/>
      <c r="AN89" s="129"/>
      <c r="AO89" s="130"/>
      <c r="AP89" s="129"/>
      <c r="AQ89" s="129"/>
      <c r="AR89" s="129"/>
      <c r="AS89" s="129"/>
      <c r="AT89" s="130"/>
      <c r="AU89" s="129"/>
      <c r="AV89" s="129"/>
      <c r="AW89" s="129"/>
      <c r="AX89" s="129"/>
      <c r="AY89" s="78"/>
    </row>
    <row r="90" spans="1:51">
      <c r="A90" s="128" t="s">
        <v>205</v>
      </c>
      <c r="B90" s="129"/>
      <c r="C90" s="129"/>
      <c r="D90" s="129"/>
      <c r="E90" s="129"/>
      <c r="F90" s="130"/>
      <c r="G90" s="129"/>
      <c r="H90" s="129"/>
      <c r="I90" s="129"/>
      <c r="J90" s="129"/>
      <c r="K90" s="130"/>
      <c r="L90" s="129"/>
      <c r="M90" s="129"/>
      <c r="N90" s="129"/>
      <c r="O90" s="129"/>
      <c r="P90" s="130"/>
      <c r="Q90" s="129"/>
      <c r="R90" s="129"/>
      <c r="S90" s="129"/>
      <c r="T90" s="129"/>
      <c r="U90" s="130"/>
      <c r="V90" s="129"/>
      <c r="W90" s="129"/>
      <c r="X90" s="129"/>
      <c r="Y90" s="129"/>
      <c r="Z90" s="130"/>
      <c r="AA90" s="129"/>
      <c r="AB90" s="129"/>
      <c r="AC90" s="129"/>
      <c r="AD90" s="129"/>
      <c r="AE90" s="130"/>
      <c r="AF90" s="129"/>
      <c r="AG90" s="129"/>
      <c r="AH90" s="129"/>
      <c r="AI90" s="129"/>
      <c r="AJ90" s="130"/>
      <c r="AK90" s="129"/>
      <c r="AL90" s="129"/>
      <c r="AM90" s="129"/>
      <c r="AN90" s="129"/>
      <c r="AO90" s="130"/>
      <c r="AP90" s="129"/>
      <c r="AQ90" s="129"/>
      <c r="AR90" s="129"/>
      <c r="AS90" s="129"/>
      <c r="AT90" s="130"/>
      <c r="AU90" s="129"/>
      <c r="AV90" s="129"/>
      <c r="AW90" s="129"/>
      <c r="AX90" s="129"/>
      <c r="AY90" s="78"/>
    </row>
    <row r="91" spans="1:51">
      <c r="A91" s="128" t="s">
        <v>207</v>
      </c>
      <c r="B91" s="129"/>
      <c r="C91" s="129"/>
      <c r="D91" s="129"/>
      <c r="E91" s="129"/>
      <c r="F91" s="130"/>
      <c r="G91" s="129"/>
      <c r="H91" s="129"/>
      <c r="I91" s="129"/>
      <c r="J91" s="129"/>
      <c r="K91" s="130"/>
      <c r="L91" s="129"/>
      <c r="M91" s="129"/>
      <c r="N91" s="129"/>
      <c r="O91" s="129"/>
      <c r="P91" s="130"/>
      <c r="Q91" s="129"/>
      <c r="R91" s="129"/>
      <c r="S91" s="129"/>
      <c r="T91" s="129"/>
      <c r="U91" s="130"/>
      <c r="V91" s="129"/>
      <c r="W91" s="129"/>
      <c r="X91" s="129"/>
      <c r="Y91" s="129"/>
      <c r="Z91" s="130"/>
      <c r="AA91" s="129"/>
      <c r="AB91" s="129"/>
      <c r="AC91" s="129"/>
      <c r="AD91" s="129"/>
      <c r="AE91" s="130"/>
      <c r="AF91" s="129"/>
      <c r="AG91" s="129"/>
      <c r="AH91" s="129"/>
      <c r="AI91" s="129"/>
      <c r="AJ91" s="130"/>
      <c r="AK91" s="129"/>
      <c r="AL91" s="129"/>
      <c r="AM91" s="129"/>
      <c r="AN91" s="129"/>
      <c r="AO91" s="130"/>
      <c r="AP91" s="129"/>
      <c r="AQ91" s="129"/>
      <c r="AR91" s="129"/>
      <c r="AS91" s="129"/>
      <c r="AT91" s="130"/>
      <c r="AU91" s="129"/>
      <c r="AV91" s="129"/>
      <c r="AW91" s="129"/>
      <c r="AX91" s="129"/>
      <c r="AY91" s="78"/>
    </row>
    <row r="92" spans="1:51">
      <c r="A92" s="128" t="s">
        <v>209</v>
      </c>
      <c r="B92" s="129"/>
      <c r="C92" s="129"/>
      <c r="D92" s="129"/>
      <c r="E92" s="129"/>
      <c r="F92" s="130"/>
      <c r="G92" s="129"/>
      <c r="H92" s="129"/>
      <c r="I92" s="129"/>
      <c r="J92" s="129"/>
      <c r="K92" s="130"/>
      <c r="L92" s="129"/>
      <c r="M92" s="129"/>
      <c r="N92" s="129"/>
      <c r="O92" s="129"/>
      <c r="P92" s="130"/>
      <c r="Q92" s="129"/>
      <c r="R92" s="129"/>
      <c r="S92" s="129"/>
      <c r="T92" s="129"/>
      <c r="U92" s="130"/>
      <c r="V92" s="129"/>
      <c r="W92" s="129"/>
      <c r="X92" s="129"/>
      <c r="Y92" s="129"/>
      <c r="Z92" s="130"/>
      <c r="AA92" s="129"/>
      <c r="AB92" s="129"/>
      <c r="AC92" s="129"/>
      <c r="AD92" s="129"/>
      <c r="AE92" s="130"/>
      <c r="AF92" s="129"/>
      <c r="AG92" s="129"/>
      <c r="AH92" s="129"/>
      <c r="AI92" s="129"/>
      <c r="AJ92" s="130"/>
      <c r="AK92" s="129"/>
      <c r="AL92" s="129"/>
      <c r="AM92" s="129"/>
      <c r="AN92" s="129"/>
      <c r="AO92" s="130"/>
      <c r="AP92" s="129"/>
      <c r="AQ92" s="129"/>
      <c r="AR92" s="129"/>
      <c r="AS92" s="129"/>
      <c r="AT92" s="130"/>
      <c r="AU92" s="129"/>
      <c r="AV92" s="129"/>
      <c r="AW92" s="129"/>
      <c r="AX92" s="129"/>
      <c r="AY92" s="78"/>
    </row>
    <row r="93" spans="1:51">
      <c r="A93" s="128" t="s">
        <v>211</v>
      </c>
      <c r="B93" s="129"/>
      <c r="C93" s="129"/>
      <c r="D93" s="129"/>
      <c r="E93" s="129"/>
      <c r="F93" s="130"/>
      <c r="G93" s="129"/>
      <c r="H93" s="129"/>
      <c r="I93" s="129"/>
      <c r="J93" s="129"/>
      <c r="K93" s="130"/>
      <c r="L93" s="129"/>
      <c r="M93" s="129"/>
      <c r="N93" s="129"/>
      <c r="O93" s="129"/>
      <c r="P93" s="130"/>
      <c r="Q93" s="129"/>
      <c r="R93" s="129"/>
      <c r="S93" s="129"/>
      <c r="T93" s="129"/>
      <c r="U93" s="130"/>
      <c r="V93" s="129"/>
      <c r="W93" s="129"/>
      <c r="X93" s="129"/>
      <c r="Y93" s="129"/>
      <c r="Z93" s="130"/>
      <c r="AA93" s="129"/>
      <c r="AB93" s="129"/>
      <c r="AC93" s="129"/>
      <c r="AD93" s="129"/>
      <c r="AE93" s="130"/>
      <c r="AF93" s="129"/>
      <c r="AG93" s="129"/>
      <c r="AH93" s="129"/>
      <c r="AI93" s="129"/>
      <c r="AJ93" s="130"/>
      <c r="AK93" s="129"/>
      <c r="AL93" s="129"/>
      <c r="AM93" s="129"/>
      <c r="AN93" s="129"/>
      <c r="AO93" s="130"/>
      <c r="AP93" s="129"/>
      <c r="AQ93" s="129"/>
      <c r="AR93" s="129"/>
      <c r="AS93" s="129"/>
      <c r="AT93" s="130"/>
      <c r="AU93" s="129"/>
      <c r="AV93" s="129"/>
      <c r="AW93" s="129"/>
      <c r="AX93" s="129"/>
      <c r="AY93" s="78"/>
    </row>
    <row r="94" spans="1:51">
      <c r="A94" s="128" t="s">
        <v>213</v>
      </c>
      <c r="B94" s="129"/>
      <c r="C94" s="129"/>
      <c r="D94" s="129"/>
      <c r="E94" s="129"/>
      <c r="F94" s="130"/>
      <c r="G94" s="129"/>
      <c r="H94" s="129"/>
      <c r="I94" s="129"/>
      <c r="J94" s="129"/>
      <c r="K94" s="130"/>
      <c r="L94" s="129"/>
      <c r="M94" s="129"/>
      <c r="N94" s="129"/>
      <c r="O94" s="129"/>
      <c r="P94" s="130"/>
      <c r="Q94" s="129"/>
      <c r="R94" s="129"/>
      <c r="S94" s="129"/>
      <c r="T94" s="129"/>
      <c r="U94" s="130"/>
      <c r="V94" s="129"/>
      <c r="W94" s="129"/>
      <c r="X94" s="129"/>
      <c r="Y94" s="129"/>
      <c r="Z94" s="130"/>
      <c r="AA94" s="129"/>
      <c r="AB94" s="129"/>
      <c r="AC94" s="129"/>
      <c r="AD94" s="129"/>
      <c r="AE94" s="130"/>
      <c r="AF94" s="129"/>
      <c r="AG94" s="129"/>
      <c r="AH94" s="129"/>
      <c r="AI94" s="129"/>
      <c r="AJ94" s="130"/>
      <c r="AK94" s="129"/>
      <c r="AL94" s="129"/>
      <c r="AM94" s="129"/>
      <c r="AN94" s="129"/>
      <c r="AO94" s="130"/>
      <c r="AP94" s="129"/>
      <c r="AQ94" s="129"/>
      <c r="AR94" s="129"/>
      <c r="AS94" s="129"/>
      <c r="AT94" s="130"/>
      <c r="AU94" s="129"/>
      <c r="AV94" s="129"/>
      <c r="AW94" s="129"/>
      <c r="AX94" s="129"/>
      <c r="AY94" s="78"/>
    </row>
    <row r="95" spans="1:51">
      <c r="A95" s="128" t="s">
        <v>215</v>
      </c>
      <c r="B95" s="129"/>
      <c r="C95" s="129"/>
      <c r="D95" s="129"/>
      <c r="E95" s="129"/>
      <c r="F95" s="130"/>
      <c r="G95" s="129"/>
      <c r="H95" s="129"/>
      <c r="I95" s="129"/>
      <c r="J95" s="129"/>
      <c r="K95" s="130"/>
      <c r="L95" s="129"/>
      <c r="M95" s="129"/>
      <c r="N95" s="129"/>
      <c r="O95" s="129"/>
      <c r="P95" s="130"/>
      <c r="Q95" s="129"/>
      <c r="R95" s="129"/>
      <c r="S95" s="129"/>
      <c r="T95" s="129"/>
      <c r="U95" s="130"/>
      <c r="V95" s="129"/>
      <c r="W95" s="129"/>
      <c r="X95" s="129"/>
      <c r="Y95" s="129"/>
      <c r="Z95" s="130"/>
      <c r="AA95" s="129"/>
      <c r="AB95" s="129"/>
      <c r="AC95" s="129"/>
      <c r="AD95" s="129"/>
      <c r="AE95" s="130"/>
      <c r="AF95" s="129"/>
      <c r="AG95" s="129"/>
      <c r="AH95" s="129"/>
      <c r="AI95" s="129"/>
      <c r="AJ95" s="130"/>
      <c r="AK95" s="129"/>
      <c r="AL95" s="129"/>
      <c r="AM95" s="129"/>
      <c r="AN95" s="129"/>
      <c r="AO95" s="130"/>
      <c r="AP95" s="129"/>
      <c r="AQ95" s="129"/>
      <c r="AR95" s="129"/>
      <c r="AS95" s="129"/>
      <c r="AT95" s="130"/>
      <c r="AU95" s="129"/>
      <c r="AV95" s="129"/>
      <c r="AW95" s="129"/>
      <c r="AX95" s="129"/>
      <c r="AY95" s="78"/>
    </row>
    <row r="96" spans="1:51">
      <c r="A96" s="128" t="s">
        <v>217</v>
      </c>
      <c r="B96" s="129"/>
      <c r="C96" s="129"/>
      <c r="D96" s="129"/>
      <c r="E96" s="129"/>
      <c r="F96" s="130"/>
      <c r="G96" s="129"/>
      <c r="H96" s="129"/>
      <c r="I96" s="129"/>
      <c r="J96" s="129"/>
      <c r="K96" s="130"/>
      <c r="L96" s="129"/>
      <c r="M96" s="129"/>
      <c r="N96" s="129"/>
      <c r="O96" s="129"/>
      <c r="P96" s="130"/>
      <c r="Q96" s="129"/>
      <c r="R96" s="129"/>
      <c r="S96" s="129"/>
      <c r="T96" s="129"/>
      <c r="U96" s="130"/>
      <c r="V96" s="129"/>
      <c r="W96" s="129"/>
      <c r="X96" s="129"/>
      <c r="Y96" s="129"/>
      <c r="Z96" s="130"/>
      <c r="AA96" s="129"/>
      <c r="AB96" s="129"/>
      <c r="AC96" s="129"/>
      <c r="AD96" s="129"/>
      <c r="AE96" s="130"/>
      <c r="AF96" s="129"/>
      <c r="AG96" s="129"/>
      <c r="AH96" s="129"/>
      <c r="AI96" s="129"/>
      <c r="AJ96" s="130"/>
      <c r="AK96" s="129"/>
      <c r="AL96" s="129"/>
      <c r="AM96" s="129"/>
      <c r="AN96" s="129"/>
      <c r="AO96" s="130"/>
      <c r="AP96" s="129"/>
      <c r="AQ96" s="129"/>
      <c r="AR96" s="129"/>
      <c r="AS96" s="129"/>
      <c r="AT96" s="130"/>
      <c r="AU96" s="129"/>
      <c r="AV96" s="129"/>
      <c r="AW96" s="129"/>
      <c r="AX96" s="129"/>
      <c r="AY96" s="78"/>
    </row>
    <row r="97" spans="1:51">
      <c r="A97" s="128" t="s">
        <v>219</v>
      </c>
      <c r="B97" s="129"/>
      <c r="C97" s="129"/>
      <c r="D97" s="129"/>
      <c r="E97" s="129"/>
      <c r="F97" s="130"/>
      <c r="G97" s="129"/>
      <c r="H97" s="129"/>
      <c r="I97" s="129"/>
      <c r="J97" s="129"/>
      <c r="K97" s="130"/>
      <c r="L97" s="129"/>
      <c r="M97" s="129"/>
      <c r="N97" s="129"/>
      <c r="O97" s="129"/>
      <c r="P97" s="130"/>
      <c r="Q97" s="129"/>
      <c r="R97" s="129"/>
      <c r="S97" s="129"/>
      <c r="T97" s="129"/>
      <c r="U97" s="130"/>
      <c r="V97" s="129"/>
      <c r="W97" s="129"/>
      <c r="X97" s="129"/>
      <c r="Y97" s="129"/>
      <c r="Z97" s="130"/>
      <c r="AA97" s="129"/>
      <c r="AB97" s="129"/>
      <c r="AC97" s="129"/>
      <c r="AD97" s="129"/>
      <c r="AE97" s="130"/>
      <c r="AF97" s="129"/>
      <c r="AG97" s="129"/>
      <c r="AH97" s="129"/>
      <c r="AI97" s="129"/>
      <c r="AJ97" s="130"/>
      <c r="AK97" s="129"/>
      <c r="AL97" s="129"/>
      <c r="AM97" s="129"/>
      <c r="AN97" s="129"/>
      <c r="AO97" s="130"/>
      <c r="AP97" s="129"/>
      <c r="AQ97" s="129"/>
      <c r="AR97" s="129"/>
      <c r="AS97" s="129"/>
      <c r="AT97" s="130"/>
      <c r="AU97" s="129"/>
      <c r="AV97" s="129"/>
      <c r="AW97" s="129"/>
      <c r="AX97" s="129"/>
      <c r="AY97" s="78"/>
    </row>
    <row r="98" spans="1:51">
      <c r="A98" s="128" t="s">
        <v>221</v>
      </c>
      <c r="B98" s="129"/>
      <c r="C98" s="129"/>
      <c r="D98" s="129"/>
      <c r="E98" s="129"/>
      <c r="F98" s="130"/>
      <c r="G98" s="129"/>
      <c r="H98" s="129"/>
      <c r="I98" s="129"/>
      <c r="J98" s="129"/>
      <c r="K98" s="130"/>
      <c r="L98" s="129"/>
      <c r="M98" s="129"/>
      <c r="N98" s="129"/>
      <c r="O98" s="129"/>
      <c r="P98" s="130"/>
      <c r="Q98" s="129"/>
      <c r="R98" s="129"/>
      <c r="S98" s="129"/>
      <c r="T98" s="129"/>
      <c r="U98" s="130"/>
      <c r="V98" s="129"/>
      <c r="W98" s="129"/>
      <c r="X98" s="129"/>
      <c r="Y98" s="129"/>
      <c r="Z98" s="130"/>
      <c r="AA98" s="129"/>
      <c r="AB98" s="129"/>
      <c r="AC98" s="129"/>
      <c r="AD98" s="129"/>
      <c r="AE98" s="130"/>
      <c r="AF98" s="129"/>
      <c r="AG98" s="129"/>
      <c r="AH98" s="129"/>
      <c r="AI98" s="129"/>
      <c r="AJ98" s="130"/>
      <c r="AK98" s="129"/>
      <c r="AL98" s="129"/>
      <c r="AM98" s="129"/>
      <c r="AN98" s="129"/>
      <c r="AO98" s="130"/>
      <c r="AP98" s="129"/>
      <c r="AQ98" s="129"/>
      <c r="AR98" s="129"/>
      <c r="AS98" s="129"/>
      <c r="AT98" s="130"/>
      <c r="AU98" s="129"/>
      <c r="AV98" s="129"/>
      <c r="AW98" s="129"/>
      <c r="AX98" s="129"/>
      <c r="AY98" s="78"/>
    </row>
    <row r="99" spans="1:51">
      <c r="A99" s="128" t="s">
        <v>223</v>
      </c>
      <c r="B99" s="129"/>
      <c r="C99" s="129"/>
      <c r="D99" s="129"/>
      <c r="E99" s="129"/>
      <c r="F99" s="130"/>
      <c r="G99" s="129"/>
      <c r="H99" s="129"/>
      <c r="I99" s="129"/>
      <c r="J99" s="129"/>
      <c r="K99" s="130"/>
      <c r="L99" s="129"/>
      <c r="M99" s="129"/>
      <c r="N99" s="129"/>
      <c r="O99" s="129"/>
      <c r="P99" s="130"/>
      <c r="Q99" s="129"/>
      <c r="R99" s="129"/>
      <c r="S99" s="129"/>
      <c r="T99" s="129"/>
      <c r="U99" s="130"/>
      <c r="V99" s="129"/>
      <c r="W99" s="129"/>
      <c r="X99" s="129"/>
      <c r="Y99" s="129"/>
      <c r="Z99" s="130"/>
      <c r="AA99" s="129"/>
      <c r="AB99" s="129"/>
      <c r="AC99" s="129"/>
      <c r="AD99" s="129"/>
      <c r="AE99" s="130"/>
      <c r="AF99" s="129"/>
      <c r="AG99" s="129"/>
      <c r="AH99" s="129"/>
      <c r="AI99" s="129"/>
      <c r="AJ99" s="130"/>
      <c r="AK99" s="129"/>
      <c r="AL99" s="129"/>
      <c r="AM99" s="129"/>
      <c r="AN99" s="129"/>
      <c r="AO99" s="130"/>
      <c r="AP99" s="129"/>
      <c r="AQ99" s="129"/>
      <c r="AR99" s="129"/>
      <c r="AS99" s="129"/>
      <c r="AT99" s="130"/>
      <c r="AU99" s="129"/>
      <c r="AV99" s="129"/>
      <c r="AW99" s="129"/>
      <c r="AX99" s="129"/>
      <c r="AY99" s="78"/>
    </row>
    <row r="100" spans="1:51">
      <c r="A100" s="128" t="s">
        <v>225</v>
      </c>
      <c r="B100" s="129"/>
      <c r="C100" s="129"/>
      <c r="D100" s="129"/>
      <c r="E100" s="129"/>
      <c r="F100" s="130"/>
      <c r="G100" s="129"/>
      <c r="H100" s="129"/>
      <c r="I100" s="129"/>
      <c r="J100" s="129"/>
      <c r="K100" s="130"/>
      <c r="L100" s="129"/>
      <c r="M100" s="129"/>
      <c r="N100" s="129"/>
      <c r="O100" s="129"/>
      <c r="P100" s="130"/>
      <c r="Q100" s="129"/>
      <c r="R100" s="129"/>
      <c r="S100" s="129"/>
      <c r="T100" s="129"/>
      <c r="U100" s="130"/>
      <c r="V100" s="129"/>
      <c r="W100" s="129"/>
      <c r="X100" s="129"/>
      <c r="Y100" s="129"/>
      <c r="Z100" s="130"/>
      <c r="AA100" s="129"/>
      <c r="AB100" s="129"/>
      <c r="AC100" s="129"/>
      <c r="AD100" s="129"/>
      <c r="AE100" s="130"/>
      <c r="AF100" s="129"/>
      <c r="AG100" s="129"/>
      <c r="AH100" s="129"/>
      <c r="AI100" s="129"/>
      <c r="AJ100" s="130"/>
      <c r="AK100" s="129"/>
      <c r="AL100" s="129"/>
      <c r="AM100" s="129"/>
      <c r="AN100" s="129"/>
      <c r="AO100" s="130"/>
      <c r="AP100" s="129"/>
      <c r="AQ100" s="129"/>
      <c r="AR100" s="129"/>
      <c r="AS100" s="129"/>
      <c r="AT100" s="130"/>
      <c r="AU100" s="129"/>
      <c r="AV100" s="129"/>
      <c r="AW100" s="129"/>
      <c r="AX100" s="129"/>
      <c r="AY100" s="78"/>
    </row>
    <row r="101" spans="1:51">
      <c r="A101" s="128" t="s">
        <v>227</v>
      </c>
      <c r="B101" s="129"/>
      <c r="C101" s="129"/>
      <c r="D101" s="129"/>
      <c r="E101" s="129"/>
      <c r="F101" s="130"/>
      <c r="G101" s="129"/>
      <c r="H101" s="129"/>
      <c r="I101" s="129"/>
      <c r="J101" s="129"/>
      <c r="K101" s="130"/>
      <c r="L101" s="129"/>
      <c r="M101" s="129"/>
      <c r="N101" s="129"/>
      <c r="O101" s="129"/>
      <c r="P101" s="130"/>
      <c r="Q101" s="129"/>
      <c r="R101" s="129"/>
      <c r="S101" s="129"/>
      <c r="T101" s="129"/>
      <c r="U101" s="130"/>
      <c r="V101" s="129"/>
      <c r="W101" s="129"/>
      <c r="X101" s="129"/>
      <c r="Y101" s="129"/>
      <c r="Z101" s="130"/>
      <c r="AA101" s="129"/>
      <c r="AB101" s="129"/>
      <c r="AC101" s="129"/>
      <c r="AD101" s="129"/>
      <c r="AE101" s="130"/>
      <c r="AF101" s="129"/>
      <c r="AG101" s="129"/>
      <c r="AH101" s="129"/>
      <c r="AI101" s="129"/>
      <c r="AJ101" s="130"/>
      <c r="AK101" s="129"/>
      <c r="AL101" s="129"/>
      <c r="AM101" s="129"/>
      <c r="AN101" s="129"/>
      <c r="AO101" s="130"/>
      <c r="AP101" s="129"/>
      <c r="AQ101" s="129"/>
      <c r="AR101" s="129"/>
      <c r="AS101" s="129"/>
      <c r="AT101" s="130"/>
      <c r="AU101" s="129"/>
      <c r="AV101" s="129"/>
      <c r="AW101" s="129"/>
      <c r="AX101" s="129"/>
      <c r="AY101" s="78"/>
    </row>
    <row r="102" spans="1:51">
      <c r="A102" s="128" t="s">
        <v>229</v>
      </c>
      <c r="B102" s="129"/>
      <c r="C102" s="129"/>
      <c r="D102" s="129"/>
      <c r="E102" s="129"/>
      <c r="F102" s="130"/>
      <c r="G102" s="129"/>
      <c r="H102" s="129"/>
      <c r="I102" s="129"/>
      <c r="J102" s="129"/>
      <c r="K102" s="130"/>
      <c r="L102" s="129"/>
      <c r="M102" s="129"/>
      <c r="N102" s="129"/>
      <c r="O102" s="129"/>
      <c r="P102" s="130"/>
      <c r="Q102" s="129"/>
      <c r="R102" s="129"/>
      <c r="S102" s="129"/>
      <c r="T102" s="129"/>
      <c r="U102" s="130"/>
      <c r="V102" s="129"/>
      <c r="W102" s="129"/>
      <c r="X102" s="129"/>
      <c r="Y102" s="129"/>
      <c r="Z102" s="130"/>
      <c r="AA102" s="129"/>
      <c r="AB102" s="129"/>
      <c r="AC102" s="129"/>
      <c r="AD102" s="129"/>
      <c r="AE102" s="130"/>
      <c r="AF102" s="129"/>
      <c r="AG102" s="129"/>
      <c r="AH102" s="129"/>
      <c r="AI102" s="129"/>
      <c r="AJ102" s="130"/>
      <c r="AK102" s="129"/>
      <c r="AL102" s="129"/>
      <c r="AM102" s="129"/>
      <c r="AN102" s="129"/>
      <c r="AO102" s="130"/>
      <c r="AP102" s="129"/>
      <c r="AQ102" s="129"/>
      <c r="AR102" s="129"/>
      <c r="AS102" s="129"/>
      <c r="AT102" s="130"/>
      <c r="AU102" s="129"/>
      <c r="AV102" s="129"/>
      <c r="AW102" s="129"/>
      <c r="AX102" s="129"/>
      <c r="AY102" s="78"/>
    </row>
    <row r="103" spans="1:51">
      <c r="A103" s="128" t="s">
        <v>231</v>
      </c>
      <c r="B103" s="129"/>
      <c r="C103" s="129"/>
      <c r="D103" s="129"/>
      <c r="E103" s="129"/>
      <c r="F103" s="130"/>
      <c r="G103" s="129"/>
      <c r="H103" s="129"/>
      <c r="I103" s="129"/>
      <c r="J103" s="129"/>
      <c r="K103" s="130"/>
      <c r="L103" s="129"/>
      <c r="M103" s="129"/>
      <c r="N103" s="129"/>
      <c r="O103" s="129"/>
      <c r="P103" s="130"/>
      <c r="Q103" s="129"/>
      <c r="R103" s="129"/>
      <c r="S103" s="129"/>
      <c r="T103" s="129"/>
      <c r="U103" s="130"/>
      <c r="V103" s="129"/>
      <c r="W103" s="129"/>
      <c r="X103" s="129"/>
      <c r="Y103" s="129"/>
      <c r="Z103" s="130"/>
      <c r="AA103" s="129"/>
      <c r="AB103" s="129"/>
      <c r="AC103" s="129"/>
      <c r="AD103" s="129"/>
      <c r="AE103" s="130"/>
      <c r="AF103" s="129"/>
      <c r="AG103" s="129"/>
      <c r="AH103" s="129"/>
      <c r="AI103" s="129"/>
      <c r="AJ103" s="130"/>
      <c r="AK103" s="129"/>
      <c r="AL103" s="129"/>
      <c r="AM103" s="129"/>
      <c r="AN103" s="129"/>
      <c r="AO103" s="130"/>
      <c r="AP103" s="129"/>
      <c r="AQ103" s="129"/>
      <c r="AR103" s="129"/>
      <c r="AS103" s="129"/>
      <c r="AT103" s="130"/>
      <c r="AU103" s="129"/>
      <c r="AV103" s="129"/>
      <c r="AW103" s="129"/>
      <c r="AX103" s="129"/>
      <c r="AY103" s="78"/>
    </row>
    <row r="104" spans="1:51">
      <c r="A104" s="128" t="s">
        <v>233</v>
      </c>
      <c r="B104" s="129"/>
      <c r="C104" s="129"/>
      <c r="D104" s="129"/>
      <c r="E104" s="129"/>
      <c r="F104" s="130"/>
      <c r="G104" s="129"/>
      <c r="H104" s="129"/>
      <c r="I104" s="129"/>
      <c r="J104" s="129"/>
      <c r="K104" s="130"/>
      <c r="L104" s="129"/>
      <c r="M104" s="129"/>
      <c r="N104" s="129"/>
      <c r="O104" s="129"/>
      <c r="P104" s="130"/>
      <c r="Q104" s="129"/>
      <c r="R104" s="129"/>
      <c r="S104" s="129"/>
      <c r="T104" s="129"/>
      <c r="U104" s="130"/>
      <c r="V104" s="129"/>
      <c r="W104" s="129"/>
      <c r="X104" s="129"/>
      <c r="Y104" s="129"/>
      <c r="Z104" s="130"/>
      <c r="AA104" s="129"/>
      <c r="AB104" s="129"/>
      <c r="AC104" s="129"/>
      <c r="AD104" s="129"/>
      <c r="AE104" s="130"/>
      <c r="AF104" s="129"/>
      <c r="AG104" s="129"/>
      <c r="AH104" s="129"/>
      <c r="AI104" s="129"/>
      <c r="AJ104" s="130"/>
      <c r="AK104" s="129"/>
      <c r="AL104" s="129"/>
      <c r="AM104" s="129"/>
      <c r="AN104" s="129"/>
      <c r="AO104" s="130"/>
      <c r="AP104" s="129"/>
      <c r="AQ104" s="129"/>
      <c r="AR104" s="129"/>
      <c r="AS104" s="129"/>
      <c r="AT104" s="130"/>
      <c r="AU104" s="129"/>
      <c r="AV104" s="129"/>
      <c r="AW104" s="129"/>
      <c r="AX104" s="129"/>
      <c r="AY104" s="78"/>
    </row>
    <row r="105" spans="1:51">
      <c r="A105" s="128" t="s">
        <v>235</v>
      </c>
      <c r="B105" s="129"/>
      <c r="C105" s="129"/>
      <c r="D105" s="129"/>
      <c r="E105" s="129"/>
      <c r="F105" s="130"/>
      <c r="G105" s="129"/>
      <c r="H105" s="129"/>
      <c r="I105" s="129"/>
      <c r="J105" s="129"/>
      <c r="K105" s="130"/>
      <c r="L105" s="129"/>
      <c r="M105" s="129"/>
      <c r="N105" s="129"/>
      <c r="O105" s="129"/>
      <c r="P105" s="130"/>
      <c r="Q105" s="129"/>
      <c r="R105" s="129"/>
      <c r="S105" s="129"/>
      <c r="T105" s="129"/>
      <c r="U105" s="130"/>
      <c r="V105" s="129"/>
      <c r="W105" s="129"/>
      <c r="X105" s="129"/>
      <c r="Y105" s="129"/>
      <c r="Z105" s="130"/>
      <c r="AA105" s="129"/>
      <c r="AB105" s="129"/>
      <c r="AC105" s="129"/>
      <c r="AD105" s="129"/>
      <c r="AE105" s="130"/>
      <c r="AF105" s="129"/>
      <c r="AG105" s="129"/>
      <c r="AH105" s="129"/>
      <c r="AI105" s="129"/>
      <c r="AJ105" s="130"/>
      <c r="AK105" s="129"/>
      <c r="AL105" s="129"/>
      <c r="AM105" s="129"/>
      <c r="AN105" s="129"/>
      <c r="AO105" s="130"/>
      <c r="AP105" s="129"/>
      <c r="AQ105" s="129"/>
      <c r="AR105" s="129"/>
      <c r="AS105" s="129"/>
      <c r="AT105" s="130"/>
      <c r="AU105" s="129"/>
      <c r="AV105" s="129"/>
      <c r="AW105" s="129"/>
      <c r="AX105" s="129"/>
      <c r="AY105" s="78"/>
    </row>
    <row r="106" spans="1:51">
      <c r="A106" s="128" t="s">
        <v>237</v>
      </c>
      <c r="B106" s="129"/>
      <c r="C106" s="129"/>
      <c r="D106" s="129"/>
      <c r="E106" s="129"/>
      <c r="F106" s="130"/>
      <c r="G106" s="129"/>
      <c r="H106" s="129"/>
      <c r="I106" s="129"/>
      <c r="J106" s="129"/>
      <c r="K106" s="130"/>
      <c r="L106" s="129"/>
      <c r="M106" s="129"/>
      <c r="N106" s="129"/>
      <c r="O106" s="129"/>
      <c r="P106" s="130"/>
      <c r="Q106" s="129"/>
      <c r="R106" s="129"/>
      <c r="S106" s="129"/>
      <c r="T106" s="129"/>
      <c r="U106" s="130"/>
      <c r="V106" s="129"/>
      <c r="W106" s="129"/>
      <c r="X106" s="129"/>
      <c r="Y106" s="129"/>
      <c r="Z106" s="130"/>
      <c r="AA106" s="129"/>
      <c r="AB106" s="129"/>
      <c r="AC106" s="129"/>
      <c r="AD106" s="129"/>
      <c r="AE106" s="130"/>
      <c r="AF106" s="129"/>
      <c r="AG106" s="129"/>
      <c r="AH106" s="129"/>
      <c r="AI106" s="129"/>
      <c r="AJ106" s="130"/>
      <c r="AK106" s="129"/>
      <c r="AL106" s="129"/>
      <c r="AM106" s="129"/>
      <c r="AN106" s="129"/>
      <c r="AO106" s="130"/>
      <c r="AP106" s="129"/>
      <c r="AQ106" s="129"/>
      <c r="AR106" s="129"/>
      <c r="AS106" s="129"/>
      <c r="AT106" s="130"/>
      <c r="AU106" s="129"/>
      <c r="AV106" s="129"/>
      <c r="AW106" s="129"/>
      <c r="AX106" s="129"/>
      <c r="AY106" s="78"/>
    </row>
    <row r="107" spans="1:51">
      <c r="A107" s="128" t="s">
        <v>239</v>
      </c>
      <c r="B107" s="129"/>
      <c r="C107" s="129"/>
      <c r="D107" s="129"/>
      <c r="E107" s="129"/>
      <c r="F107" s="130"/>
      <c r="G107" s="129"/>
      <c r="H107" s="129"/>
      <c r="I107" s="129"/>
      <c r="J107" s="129"/>
      <c r="K107" s="130"/>
      <c r="L107" s="129"/>
      <c r="M107" s="129"/>
      <c r="N107" s="129"/>
      <c r="O107" s="129"/>
      <c r="P107" s="130"/>
      <c r="Q107" s="129"/>
      <c r="R107" s="129"/>
      <c r="S107" s="129"/>
      <c r="T107" s="129"/>
      <c r="U107" s="130"/>
      <c r="V107" s="129"/>
      <c r="W107" s="129"/>
      <c r="X107" s="129"/>
      <c r="Y107" s="129"/>
      <c r="Z107" s="130"/>
      <c r="AA107" s="129"/>
      <c r="AB107" s="129"/>
      <c r="AC107" s="129"/>
      <c r="AD107" s="129"/>
      <c r="AE107" s="130"/>
      <c r="AF107" s="129"/>
      <c r="AG107" s="129"/>
      <c r="AH107" s="129"/>
      <c r="AI107" s="129"/>
      <c r="AJ107" s="130"/>
      <c r="AK107" s="129"/>
      <c r="AL107" s="129"/>
      <c r="AM107" s="129"/>
      <c r="AN107" s="129"/>
      <c r="AO107" s="130"/>
      <c r="AP107" s="129"/>
      <c r="AQ107" s="129"/>
      <c r="AR107" s="129"/>
      <c r="AS107" s="129"/>
      <c r="AT107" s="130"/>
      <c r="AU107" s="129"/>
      <c r="AV107" s="129"/>
      <c r="AW107" s="129"/>
      <c r="AX107" s="129"/>
      <c r="AY107" s="78"/>
    </row>
    <row r="108" spans="1:51">
      <c r="A108" s="128" t="s">
        <v>241</v>
      </c>
      <c r="B108" s="129"/>
      <c r="C108" s="129"/>
      <c r="D108" s="129"/>
      <c r="E108" s="129"/>
      <c r="F108" s="130"/>
      <c r="G108" s="129"/>
      <c r="H108" s="129"/>
      <c r="I108" s="129"/>
      <c r="J108" s="129"/>
      <c r="K108" s="130"/>
      <c r="L108" s="129"/>
      <c r="M108" s="129"/>
      <c r="N108" s="129"/>
      <c r="O108" s="129"/>
      <c r="P108" s="130"/>
      <c r="Q108" s="129"/>
      <c r="R108" s="129"/>
      <c r="S108" s="129"/>
      <c r="T108" s="129"/>
      <c r="U108" s="130"/>
      <c r="V108" s="129"/>
      <c r="W108" s="129"/>
      <c r="X108" s="129"/>
      <c r="Y108" s="129"/>
      <c r="Z108" s="130"/>
      <c r="AA108" s="129"/>
      <c r="AB108" s="129"/>
      <c r="AC108" s="129"/>
      <c r="AD108" s="129"/>
      <c r="AE108" s="130"/>
      <c r="AF108" s="129"/>
      <c r="AG108" s="129"/>
      <c r="AH108" s="129"/>
      <c r="AI108" s="129"/>
      <c r="AJ108" s="130"/>
      <c r="AK108" s="129"/>
      <c r="AL108" s="129"/>
      <c r="AM108" s="129"/>
      <c r="AN108" s="129"/>
      <c r="AO108" s="130"/>
      <c r="AP108" s="129"/>
      <c r="AQ108" s="129"/>
      <c r="AR108" s="129"/>
      <c r="AS108" s="129"/>
      <c r="AT108" s="130"/>
      <c r="AU108" s="129"/>
      <c r="AV108" s="129"/>
      <c r="AW108" s="129"/>
      <c r="AX108" s="129"/>
      <c r="AY108" s="78"/>
    </row>
    <row r="109" spans="1:51">
      <c r="A109" s="128" t="s">
        <v>243</v>
      </c>
      <c r="B109" s="129"/>
      <c r="C109" s="129"/>
      <c r="D109" s="129"/>
      <c r="E109" s="129"/>
      <c r="F109" s="130"/>
      <c r="G109" s="129"/>
      <c r="H109" s="129"/>
      <c r="I109" s="129"/>
      <c r="J109" s="129"/>
      <c r="K109" s="130"/>
      <c r="L109" s="129"/>
      <c r="M109" s="129"/>
      <c r="N109" s="129"/>
      <c r="O109" s="129"/>
      <c r="P109" s="130"/>
      <c r="Q109" s="129"/>
      <c r="R109" s="129"/>
      <c r="S109" s="129"/>
      <c r="T109" s="129"/>
      <c r="U109" s="130"/>
      <c r="V109" s="129"/>
      <c r="W109" s="129"/>
      <c r="X109" s="129"/>
      <c r="Y109" s="129"/>
      <c r="Z109" s="130"/>
      <c r="AA109" s="129"/>
      <c r="AB109" s="129"/>
      <c r="AC109" s="129"/>
      <c r="AD109" s="129"/>
      <c r="AE109" s="130"/>
      <c r="AF109" s="129"/>
      <c r="AG109" s="129"/>
      <c r="AH109" s="129"/>
      <c r="AI109" s="129"/>
      <c r="AJ109" s="130"/>
      <c r="AK109" s="129"/>
      <c r="AL109" s="129"/>
      <c r="AM109" s="129"/>
      <c r="AN109" s="129"/>
      <c r="AO109" s="130"/>
      <c r="AP109" s="129"/>
      <c r="AQ109" s="129"/>
      <c r="AR109" s="129"/>
      <c r="AS109" s="129"/>
      <c r="AT109" s="130"/>
      <c r="AU109" s="129"/>
      <c r="AV109" s="129"/>
      <c r="AW109" s="129"/>
      <c r="AX109" s="129"/>
      <c r="AY109" s="78"/>
    </row>
    <row r="110" spans="1:51">
      <c r="A110" s="128" t="s">
        <v>245</v>
      </c>
      <c r="B110" s="129"/>
      <c r="C110" s="129"/>
      <c r="D110" s="129"/>
      <c r="E110" s="129"/>
      <c r="F110" s="130"/>
      <c r="G110" s="129"/>
      <c r="H110" s="129"/>
      <c r="I110" s="129"/>
      <c r="J110" s="129"/>
      <c r="K110" s="130"/>
      <c r="L110" s="129"/>
      <c r="M110" s="129"/>
      <c r="N110" s="129"/>
      <c r="O110" s="129"/>
      <c r="P110" s="130"/>
      <c r="Q110" s="129"/>
      <c r="R110" s="129"/>
      <c r="S110" s="129"/>
      <c r="T110" s="129"/>
      <c r="U110" s="130"/>
      <c r="V110" s="129"/>
      <c r="W110" s="129"/>
      <c r="X110" s="129"/>
      <c r="Y110" s="129"/>
      <c r="Z110" s="130"/>
      <c r="AA110" s="129"/>
      <c r="AB110" s="129"/>
      <c r="AC110" s="129"/>
      <c r="AD110" s="129"/>
      <c r="AE110" s="130"/>
      <c r="AF110" s="129"/>
      <c r="AG110" s="129"/>
      <c r="AH110" s="129"/>
      <c r="AI110" s="129"/>
      <c r="AJ110" s="130"/>
      <c r="AK110" s="129"/>
      <c r="AL110" s="129"/>
      <c r="AM110" s="129"/>
      <c r="AN110" s="129"/>
      <c r="AO110" s="130"/>
      <c r="AP110" s="129"/>
      <c r="AQ110" s="129"/>
      <c r="AR110" s="129"/>
      <c r="AS110" s="129"/>
      <c r="AT110" s="130"/>
      <c r="AU110" s="129"/>
      <c r="AV110" s="129"/>
      <c r="AW110" s="129"/>
      <c r="AX110" s="129"/>
      <c r="AY110" s="78"/>
    </row>
    <row r="111" spans="1:51">
      <c r="A111" s="128" t="s">
        <v>247</v>
      </c>
      <c r="B111" s="129"/>
      <c r="C111" s="129"/>
      <c r="D111" s="129"/>
      <c r="E111" s="129"/>
      <c r="F111" s="130"/>
      <c r="G111" s="129"/>
      <c r="H111" s="129"/>
      <c r="I111" s="129"/>
      <c r="J111" s="129"/>
      <c r="K111" s="130"/>
      <c r="L111" s="129"/>
      <c r="M111" s="129"/>
      <c r="N111" s="129"/>
      <c r="O111" s="129"/>
      <c r="P111" s="130"/>
      <c r="Q111" s="129"/>
      <c r="R111" s="129"/>
      <c r="S111" s="129"/>
      <c r="T111" s="129"/>
      <c r="U111" s="130"/>
      <c r="V111" s="129"/>
      <c r="W111" s="129"/>
      <c r="X111" s="129"/>
      <c r="Y111" s="129"/>
      <c r="Z111" s="130"/>
      <c r="AA111" s="129"/>
      <c r="AB111" s="129"/>
      <c r="AC111" s="129"/>
      <c r="AD111" s="129"/>
      <c r="AE111" s="130"/>
      <c r="AF111" s="129"/>
      <c r="AG111" s="129"/>
      <c r="AH111" s="129"/>
      <c r="AI111" s="129"/>
      <c r="AJ111" s="130"/>
      <c r="AK111" s="129"/>
      <c r="AL111" s="129"/>
      <c r="AM111" s="129"/>
      <c r="AN111" s="129"/>
      <c r="AO111" s="130"/>
      <c r="AP111" s="129"/>
      <c r="AQ111" s="129"/>
      <c r="AR111" s="129"/>
      <c r="AS111" s="129"/>
      <c r="AT111" s="130"/>
      <c r="AU111" s="129"/>
      <c r="AV111" s="129"/>
      <c r="AW111" s="129"/>
      <c r="AX111" s="129"/>
      <c r="AY111" s="78"/>
    </row>
    <row r="112" spans="1:51">
      <c r="A112" s="128" t="s">
        <v>249</v>
      </c>
      <c r="B112" s="129"/>
      <c r="C112" s="129"/>
      <c r="D112" s="129"/>
      <c r="E112" s="129"/>
      <c r="F112" s="130"/>
      <c r="G112" s="129"/>
      <c r="H112" s="129"/>
      <c r="I112" s="129"/>
      <c r="J112" s="129"/>
      <c r="K112" s="130"/>
      <c r="L112" s="129"/>
      <c r="M112" s="129"/>
      <c r="N112" s="129"/>
      <c r="O112" s="129"/>
      <c r="P112" s="130"/>
      <c r="Q112" s="129"/>
      <c r="R112" s="129"/>
      <c r="S112" s="129"/>
      <c r="T112" s="129"/>
      <c r="U112" s="130"/>
      <c r="V112" s="129"/>
      <c r="W112" s="129"/>
      <c r="X112" s="129"/>
      <c r="Y112" s="129"/>
      <c r="Z112" s="130"/>
      <c r="AA112" s="129"/>
      <c r="AB112" s="129"/>
      <c r="AC112" s="129"/>
      <c r="AD112" s="129"/>
      <c r="AE112" s="130"/>
      <c r="AF112" s="129"/>
      <c r="AG112" s="129"/>
      <c r="AH112" s="129"/>
      <c r="AI112" s="129"/>
      <c r="AJ112" s="130"/>
      <c r="AK112" s="129"/>
      <c r="AL112" s="129"/>
      <c r="AM112" s="129"/>
      <c r="AN112" s="129"/>
      <c r="AO112" s="130"/>
      <c r="AP112" s="129"/>
      <c r="AQ112" s="129"/>
      <c r="AR112" s="129"/>
      <c r="AS112" s="129"/>
      <c r="AT112" s="130"/>
      <c r="AU112" s="129"/>
      <c r="AV112" s="129"/>
      <c r="AW112" s="129"/>
      <c r="AX112" s="129"/>
      <c r="AY112" s="78"/>
    </row>
    <row r="113" spans="1:51">
      <c r="A113" s="128" t="s">
        <v>251</v>
      </c>
      <c r="B113" s="129"/>
      <c r="C113" s="129"/>
      <c r="D113" s="129"/>
      <c r="E113" s="129"/>
      <c r="F113" s="130"/>
      <c r="G113" s="129"/>
      <c r="H113" s="129"/>
      <c r="I113" s="129"/>
      <c r="J113" s="129"/>
      <c r="K113" s="130"/>
      <c r="L113" s="129"/>
      <c r="M113" s="129"/>
      <c r="N113" s="129"/>
      <c r="O113" s="129"/>
      <c r="P113" s="130"/>
      <c r="Q113" s="129"/>
      <c r="R113" s="129"/>
      <c r="S113" s="129"/>
      <c r="T113" s="129"/>
      <c r="U113" s="130"/>
      <c r="V113" s="129"/>
      <c r="W113" s="129"/>
      <c r="X113" s="129"/>
      <c r="Y113" s="129"/>
      <c r="Z113" s="130"/>
      <c r="AA113" s="129"/>
      <c r="AB113" s="129"/>
      <c r="AC113" s="129"/>
      <c r="AD113" s="129"/>
      <c r="AE113" s="130"/>
      <c r="AF113" s="129"/>
      <c r="AG113" s="129"/>
      <c r="AH113" s="129"/>
      <c r="AI113" s="129"/>
      <c r="AJ113" s="130"/>
      <c r="AK113" s="129"/>
      <c r="AL113" s="129"/>
      <c r="AM113" s="129"/>
      <c r="AN113" s="129"/>
      <c r="AO113" s="130"/>
      <c r="AP113" s="129"/>
      <c r="AQ113" s="129"/>
      <c r="AR113" s="129"/>
      <c r="AS113" s="129"/>
      <c r="AT113" s="130"/>
      <c r="AU113" s="129"/>
      <c r="AV113" s="129"/>
      <c r="AW113" s="129"/>
      <c r="AX113" s="129"/>
      <c r="AY113" s="78"/>
    </row>
    <row r="114" spans="1:51">
      <c r="A114" s="128" t="s">
        <v>253</v>
      </c>
      <c r="B114" s="129"/>
      <c r="C114" s="129"/>
      <c r="D114" s="129"/>
      <c r="E114" s="129"/>
      <c r="F114" s="130"/>
      <c r="G114" s="129"/>
      <c r="H114" s="129"/>
      <c r="I114" s="129"/>
      <c r="J114" s="129"/>
      <c r="K114" s="130"/>
      <c r="L114" s="129"/>
      <c r="M114" s="129"/>
      <c r="N114" s="129"/>
      <c r="O114" s="129"/>
      <c r="P114" s="130"/>
      <c r="Q114" s="129"/>
      <c r="R114" s="129"/>
      <c r="S114" s="129"/>
      <c r="T114" s="129"/>
      <c r="U114" s="130"/>
      <c r="V114" s="129"/>
      <c r="W114" s="129"/>
      <c r="X114" s="129"/>
      <c r="Y114" s="129"/>
      <c r="Z114" s="130"/>
      <c r="AA114" s="129"/>
      <c r="AB114" s="129"/>
      <c r="AC114" s="129"/>
      <c r="AD114" s="129"/>
      <c r="AE114" s="130"/>
      <c r="AF114" s="129"/>
      <c r="AG114" s="129"/>
      <c r="AH114" s="129"/>
      <c r="AI114" s="129"/>
      <c r="AJ114" s="130"/>
      <c r="AK114" s="129"/>
      <c r="AL114" s="129"/>
      <c r="AM114" s="129"/>
      <c r="AN114" s="129"/>
      <c r="AO114" s="130"/>
      <c r="AP114" s="129"/>
      <c r="AQ114" s="129"/>
      <c r="AR114" s="129"/>
      <c r="AS114" s="129"/>
      <c r="AT114" s="130"/>
      <c r="AU114" s="129"/>
      <c r="AV114" s="129"/>
      <c r="AW114" s="129"/>
      <c r="AX114" s="129"/>
      <c r="AY114" s="78"/>
    </row>
    <row r="115" spans="1:51">
      <c r="A115" s="128" t="s">
        <v>255</v>
      </c>
      <c r="B115" s="129"/>
      <c r="C115" s="129"/>
      <c r="D115" s="129"/>
      <c r="E115" s="129"/>
      <c r="F115" s="130"/>
      <c r="G115" s="129"/>
      <c r="H115" s="129"/>
      <c r="I115" s="129"/>
      <c r="J115" s="129"/>
      <c r="K115" s="130"/>
      <c r="L115" s="129"/>
      <c r="M115" s="129"/>
      <c r="N115" s="129"/>
      <c r="O115" s="129"/>
      <c r="P115" s="130"/>
      <c r="Q115" s="129"/>
      <c r="R115" s="129"/>
      <c r="S115" s="129"/>
      <c r="T115" s="129"/>
      <c r="U115" s="130"/>
      <c r="V115" s="129"/>
      <c r="W115" s="129"/>
      <c r="X115" s="129"/>
      <c r="Y115" s="129"/>
      <c r="Z115" s="130"/>
      <c r="AA115" s="129"/>
      <c r="AB115" s="129"/>
      <c r="AC115" s="129"/>
      <c r="AD115" s="129"/>
      <c r="AE115" s="130"/>
      <c r="AF115" s="129"/>
      <c r="AG115" s="129"/>
      <c r="AH115" s="129"/>
      <c r="AI115" s="129"/>
      <c r="AJ115" s="130"/>
      <c r="AK115" s="129"/>
      <c r="AL115" s="129"/>
      <c r="AM115" s="129"/>
      <c r="AN115" s="129"/>
      <c r="AO115" s="130"/>
      <c r="AP115" s="129"/>
      <c r="AQ115" s="129"/>
      <c r="AR115" s="129"/>
      <c r="AS115" s="129"/>
      <c r="AT115" s="130"/>
      <c r="AU115" s="129"/>
      <c r="AV115" s="129"/>
      <c r="AW115" s="129"/>
      <c r="AX115" s="129"/>
      <c r="AY115" s="78"/>
    </row>
    <row r="116" spans="1:51">
      <c r="A116" s="128" t="s">
        <v>257</v>
      </c>
      <c r="B116" s="129"/>
      <c r="C116" s="129"/>
      <c r="D116" s="129"/>
      <c r="E116" s="129"/>
      <c r="F116" s="130"/>
      <c r="G116" s="129"/>
      <c r="H116" s="129"/>
      <c r="I116" s="129"/>
      <c r="J116" s="129"/>
      <c r="K116" s="130"/>
      <c r="L116" s="129"/>
      <c r="M116" s="129"/>
      <c r="N116" s="129"/>
      <c r="O116" s="129"/>
      <c r="P116" s="130"/>
      <c r="Q116" s="129"/>
      <c r="R116" s="129"/>
      <c r="S116" s="129"/>
      <c r="T116" s="129"/>
      <c r="U116" s="130"/>
      <c r="V116" s="129"/>
      <c r="W116" s="129"/>
      <c r="X116" s="129"/>
      <c r="Y116" s="129"/>
      <c r="Z116" s="130"/>
      <c r="AA116" s="129"/>
      <c r="AB116" s="129"/>
      <c r="AC116" s="129"/>
      <c r="AD116" s="129"/>
      <c r="AE116" s="130"/>
      <c r="AF116" s="129"/>
      <c r="AG116" s="129"/>
      <c r="AH116" s="129"/>
      <c r="AI116" s="129"/>
      <c r="AJ116" s="130"/>
      <c r="AK116" s="129"/>
      <c r="AL116" s="129"/>
      <c r="AM116" s="129"/>
      <c r="AN116" s="129"/>
      <c r="AO116" s="130"/>
      <c r="AP116" s="129"/>
      <c r="AQ116" s="129"/>
      <c r="AR116" s="129"/>
      <c r="AS116" s="129"/>
      <c r="AT116" s="130"/>
      <c r="AU116" s="129"/>
      <c r="AV116" s="129"/>
      <c r="AW116" s="129"/>
      <c r="AX116" s="129"/>
      <c r="AY116" s="78"/>
    </row>
    <row r="117" spans="1:51">
      <c r="A117" s="128" t="s">
        <v>259</v>
      </c>
      <c r="B117" s="129"/>
      <c r="C117" s="129"/>
      <c r="D117" s="129"/>
      <c r="E117" s="129"/>
      <c r="F117" s="130"/>
      <c r="G117" s="129"/>
      <c r="H117" s="129"/>
      <c r="I117" s="129"/>
      <c r="J117" s="129"/>
      <c r="K117" s="130"/>
      <c r="L117" s="129"/>
      <c r="M117" s="129"/>
      <c r="N117" s="129"/>
      <c r="O117" s="129"/>
      <c r="P117" s="130"/>
      <c r="Q117" s="129"/>
      <c r="R117" s="129"/>
      <c r="S117" s="129"/>
      <c r="T117" s="129"/>
      <c r="U117" s="130"/>
      <c r="V117" s="129"/>
      <c r="W117" s="129"/>
      <c r="X117" s="129"/>
      <c r="Y117" s="129"/>
      <c r="Z117" s="130"/>
      <c r="AA117" s="129"/>
      <c r="AB117" s="129"/>
      <c r="AC117" s="129"/>
      <c r="AD117" s="129"/>
      <c r="AE117" s="130"/>
      <c r="AF117" s="129"/>
      <c r="AG117" s="129"/>
      <c r="AH117" s="129"/>
      <c r="AI117" s="129"/>
      <c r="AJ117" s="130"/>
      <c r="AK117" s="129"/>
      <c r="AL117" s="129"/>
      <c r="AM117" s="129"/>
      <c r="AN117" s="129"/>
      <c r="AO117" s="130"/>
      <c r="AP117" s="129"/>
      <c r="AQ117" s="129"/>
      <c r="AR117" s="129"/>
      <c r="AS117" s="129"/>
      <c r="AT117" s="130"/>
      <c r="AU117" s="129"/>
      <c r="AV117" s="129"/>
      <c r="AW117" s="129"/>
      <c r="AX117" s="129"/>
      <c r="AY117" s="78"/>
    </row>
    <row r="118" spans="1:51">
      <c r="A118" s="128" t="s">
        <v>261</v>
      </c>
      <c r="B118" s="129"/>
      <c r="C118" s="129"/>
      <c r="D118" s="129"/>
      <c r="E118" s="129"/>
      <c r="F118" s="130"/>
      <c r="G118" s="129"/>
      <c r="H118" s="129"/>
      <c r="I118" s="129"/>
      <c r="J118" s="129"/>
      <c r="K118" s="130"/>
      <c r="L118" s="129"/>
      <c r="M118" s="129"/>
      <c r="N118" s="129"/>
      <c r="O118" s="129"/>
      <c r="P118" s="130"/>
      <c r="Q118" s="129"/>
      <c r="R118" s="129"/>
      <c r="S118" s="129"/>
      <c r="T118" s="129"/>
      <c r="U118" s="130"/>
      <c r="V118" s="129"/>
      <c r="W118" s="129"/>
      <c r="X118" s="129"/>
      <c r="Y118" s="129"/>
      <c r="Z118" s="130"/>
      <c r="AA118" s="129"/>
      <c r="AB118" s="129"/>
      <c r="AC118" s="129"/>
      <c r="AD118" s="129"/>
      <c r="AE118" s="130"/>
      <c r="AF118" s="129"/>
      <c r="AG118" s="129"/>
      <c r="AH118" s="129"/>
      <c r="AI118" s="129"/>
      <c r="AJ118" s="130"/>
      <c r="AK118" s="129"/>
      <c r="AL118" s="129"/>
      <c r="AM118" s="129"/>
      <c r="AN118" s="129"/>
      <c r="AO118" s="130"/>
      <c r="AP118" s="129"/>
      <c r="AQ118" s="129"/>
      <c r="AR118" s="129"/>
      <c r="AS118" s="129"/>
      <c r="AT118" s="130"/>
      <c r="AU118" s="129"/>
      <c r="AV118" s="129"/>
      <c r="AW118" s="129"/>
      <c r="AX118" s="129"/>
      <c r="AY118" s="78"/>
    </row>
    <row r="119" spans="1:51">
      <c r="A119" s="128" t="s">
        <v>263</v>
      </c>
      <c r="B119" s="129"/>
      <c r="C119" s="129"/>
      <c r="D119" s="129"/>
      <c r="E119" s="129"/>
      <c r="F119" s="130"/>
      <c r="G119" s="129"/>
      <c r="H119" s="129"/>
      <c r="I119" s="129"/>
      <c r="J119" s="129"/>
      <c r="K119" s="130"/>
      <c r="L119" s="129"/>
      <c r="M119" s="129"/>
      <c r="N119" s="129"/>
      <c r="O119" s="129"/>
      <c r="P119" s="130"/>
      <c r="Q119" s="129"/>
      <c r="R119" s="129"/>
      <c r="S119" s="129"/>
      <c r="T119" s="129"/>
      <c r="U119" s="130"/>
      <c r="V119" s="129"/>
      <c r="W119" s="129"/>
      <c r="X119" s="129"/>
      <c r="Y119" s="129"/>
      <c r="Z119" s="130"/>
      <c r="AA119" s="129"/>
      <c r="AB119" s="129"/>
      <c r="AC119" s="129"/>
      <c r="AD119" s="129"/>
      <c r="AE119" s="130"/>
      <c r="AF119" s="129"/>
      <c r="AG119" s="129"/>
      <c r="AH119" s="129"/>
      <c r="AI119" s="129"/>
      <c r="AJ119" s="130"/>
      <c r="AK119" s="129"/>
      <c r="AL119" s="129"/>
      <c r="AM119" s="129"/>
      <c r="AN119" s="129"/>
      <c r="AO119" s="130"/>
      <c r="AP119" s="129"/>
      <c r="AQ119" s="129"/>
      <c r="AR119" s="129"/>
      <c r="AS119" s="129"/>
      <c r="AT119" s="130"/>
      <c r="AU119" s="129"/>
      <c r="AV119" s="129"/>
      <c r="AW119" s="129"/>
      <c r="AX119" s="129"/>
      <c r="AY119" s="78"/>
    </row>
    <row r="120" spans="1:51">
      <c r="A120" s="128" t="s">
        <v>265</v>
      </c>
      <c r="B120" s="129"/>
      <c r="C120" s="129"/>
      <c r="D120" s="129"/>
      <c r="E120" s="129"/>
      <c r="F120" s="130"/>
      <c r="G120" s="129"/>
      <c r="H120" s="129"/>
      <c r="I120" s="129"/>
      <c r="J120" s="129"/>
      <c r="K120" s="130"/>
      <c r="L120" s="129"/>
      <c r="M120" s="129"/>
      <c r="N120" s="129"/>
      <c r="O120" s="129"/>
      <c r="P120" s="130"/>
      <c r="Q120" s="129"/>
      <c r="R120" s="129"/>
      <c r="S120" s="129"/>
      <c r="T120" s="129"/>
      <c r="U120" s="130"/>
      <c r="V120" s="129"/>
      <c r="W120" s="129"/>
      <c r="X120" s="129"/>
      <c r="Y120" s="129"/>
      <c r="Z120" s="130"/>
      <c r="AA120" s="129"/>
      <c r="AB120" s="129"/>
      <c r="AC120" s="129"/>
      <c r="AD120" s="129"/>
      <c r="AE120" s="130"/>
      <c r="AF120" s="129"/>
      <c r="AG120" s="129"/>
      <c r="AH120" s="129"/>
      <c r="AI120" s="129"/>
      <c r="AJ120" s="130"/>
      <c r="AK120" s="129"/>
      <c r="AL120" s="129"/>
      <c r="AM120" s="129"/>
      <c r="AN120" s="129"/>
      <c r="AO120" s="130"/>
      <c r="AP120" s="129"/>
      <c r="AQ120" s="129"/>
      <c r="AR120" s="129"/>
      <c r="AS120" s="129"/>
      <c r="AT120" s="130"/>
      <c r="AU120" s="129"/>
      <c r="AV120" s="129"/>
      <c r="AW120" s="129"/>
      <c r="AX120" s="129"/>
      <c r="AY120" s="78"/>
    </row>
    <row r="121" spans="1:51">
      <c r="A121" s="128" t="s">
        <v>267</v>
      </c>
      <c r="B121" s="129"/>
      <c r="C121" s="129"/>
      <c r="D121" s="129"/>
      <c r="E121" s="129"/>
      <c r="F121" s="130"/>
      <c r="G121" s="129"/>
      <c r="H121" s="129"/>
      <c r="I121" s="129"/>
      <c r="J121" s="129"/>
      <c r="K121" s="130"/>
      <c r="L121" s="129"/>
      <c r="M121" s="129"/>
      <c r="N121" s="129"/>
      <c r="O121" s="129"/>
      <c r="P121" s="130"/>
      <c r="Q121" s="129"/>
      <c r="R121" s="129"/>
      <c r="S121" s="129"/>
      <c r="T121" s="129"/>
      <c r="U121" s="130"/>
      <c r="V121" s="129"/>
      <c r="W121" s="129"/>
      <c r="X121" s="129"/>
      <c r="Y121" s="129"/>
      <c r="Z121" s="130"/>
      <c r="AA121" s="129"/>
      <c r="AB121" s="129"/>
      <c r="AC121" s="129"/>
      <c r="AD121" s="129"/>
      <c r="AE121" s="130"/>
      <c r="AF121" s="129"/>
      <c r="AG121" s="129"/>
      <c r="AH121" s="129"/>
      <c r="AI121" s="129"/>
      <c r="AJ121" s="130"/>
      <c r="AK121" s="129"/>
      <c r="AL121" s="129"/>
      <c r="AM121" s="129"/>
      <c r="AN121" s="129"/>
      <c r="AO121" s="130"/>
      <c r="AP121" s="129"/>
      <c r="AQ121" s="129"/>
      <c r="AR121" s="129"/>
      <c r="AS121" s="129"/>
      <c r="AT121" s="130"/>
      <c r="AU121" s="129"/>
      <c r="AV121" s="129"/>
      <c r="AW121" s="129"/>
      <c r="AX121" s="129"/>
      <c r="AY121" s="78"/>
    </row>
    <row r="122" spans="1:51">
      <c r="A122" s="128" t="s">
        <v>269</v>
      </c>
      <c r="B122" s="129"/>
      <c r="C122" s="129"/>
      <c r="D122" s="129"/>
      <c r="E122" s="129"/>
      <c r="F122" s="130"/>
      <c r="G122" s="129"/>
      <c r="H122" s="129"/>
      <c r="I122" s="129"/>
      <c r="J122" s="129"/>
      <c r="K122" s="130"/>
      <c r="L122" s="129"/>
      <c r="M122" s="129"/>
      <c r="N122" s="129"/>
      <c r="O122" s="129"/>
      <c r="P122" s="130"/>
      <c r="Q122" s="129"/>
      <c r="R122" s="129"/>
      <c r="S122" s="129"/>
      <c r="T122" s="129"/>
      <c r="U122" s="130"/>
      <c r="V122" s="129"/>
      <c r="W122" s="129"/>
      <c r="X122" s="129"/>
      <c r="Y122" s="129"/>
      <c r="Z122" s="130"/>
      <c r="AA122" s="129"/>
      <c r="AB122" s="129"/>
      <c r="AC122" s="129"/>
      <c r="AD122" s="129"/>
      <c r="AE122" s="130"/>
      <c r="AF122" s="129"/>
      <c r="AG122" s="129"/>
      <c r="AH122" s="129"/>
      <c r="AI122" s="129"/>
      <c r="AJ122" s="130"/>
      <c r="AK122" s="129"/>
      <c r="AL122" s="129"/>
      <c r="AM122" s="129"/>
      <c r="AN122" s="129"/>
      <c r="AO122" s="130"/>
      <c r="AP122" s="129"/>
      <c r="AQ122" s="129"/>
      <c r="AR122" s="129"/>
      <c r="AS122" s="129"/>
      <c r="AT122" s="130"/>
      <c r="AU122" s="129"/>
      <c r="AV122" s="129"/>
      <c r="AW122" s="129"/>
      <c r="AX122" s="129"/>
      <c r="AY122" s="78"/>
    </row>
    <row r="123" spans="1:51">
      <c r="A123" s="128" t="s">
        <v>271</v>
      </c>
      <c r="B123" s="129"/>
      <c r="C123" s="129"/>
      <c r="D123" s="129"/>
      <c r="E123" s="129"/>
      <c r="F123" s="130"/>
      <c r="G123" s="129"/>
      <c r="H123" s="129"/>
      <c r="I123" s="129"/>
      <c r="J123" s="129"/>
      <c r="K123" s="130"/>
      <c r="L123" s="129"/>
      <c r="M123" s="129"/>
      <c r="N123" s="129"/>
      <c r="O123" s="129"/>
      <c r="P123" s="130"/>
      <c r="Q123" s="129"/>
      <c r="R123" s="129"/>
      <c r="S123" s="129"/>
      <c r="T123" s="129"/>
      <c r="U123" s="130"/>
      <c r="V123" s="129"/>
      <c r="W123" s="129"/>
      <c r="X123" s="129"/>
      <c r="Y123" s="129"/>
      <c r="Z123" s="130"/>
      <c r="AA123" s="129"/>
      <c r="AB123" s="129"/>
      <c r="AC123" s="129"/>
      <c r="AD123" s="129"/>
      <c r="AE123" s="130"/>
      <c r="AF123" s="129"/>
      <c r="AG123" s="129"/>
      <c r="AH123" s="129"/>
      <c r="AI123" s="129"/>
      <c r="AJ123" s="130"/>
      <c r="AK123" s="129"/>
      <c r="AL123" s="129"/>
      <c r="AM123" s="129"/>
      <c r="AN123" s="129"/>
      <c r="AO123" s="130"/>
      <c r="AP123" s="129"/>
      <c r="AQ123" s="129"/>
      <c r="AR123" s="129"/>
      <c r="AS123" s="129"/>
      <c r="AT123" s="130"/>
      <c r="AU123" s="129"/>
      <c r="AV123" s="129"/>
      <c r="AW123" s="129"/>
      <c r="AX123" s="129"/>
      <c r="AY123" s="78"/>
    </row>
    <row r="124" spans="1:51">
      <c r="A124" s="128" t="s">
        <v>273</v>
      </c>
      <c r="B124" s="129"/>
      <c r="C124" s="129"/>
      <c r="D124" s="129"/>
      <c r="E124" s="129"/>
      <c r="F124" s="130"/>
      <c r="G124" s="129"/>
      <c r="H124" s="129"/>
      <c r="I124" s="129"/>
      <c r="J124" s="129"/>
      <c r="K124" s="130"/>
      <c r="L124" s="129"/>
      <c r="M124" s="129"/>
      <c r="N124" s="129"/>
      <c r="O124" s="129"/>
      <c r="P124" s="130"/>
      <c r="Q124" s="129"/>
      <c r="R124" s="129"/>
      <c r="S124" s="129"/>
      <c r="T124" s="129"/>
      <c r="U124" s="130"/>
      <c r="V124" s="129"/>
      <c r="W124" s="129"/>
      <c r="X124" s="129"/>
      <c r="Y124" s="129"/>
      <c r="Z124" s="130"/>
      <c r="AA124" s="129"/>
      <c r="AB124" s="129"/>
      <c r="AC124" s="129"/>
      <c r="AD124" s="129"/>
      <c r="AE124" s="130"/>
      <c r="AF124" s="129"/>
      <c r="AG124" s="129"/>
      <c r="AH124" s="129"/>
      <c r="AI124" s="129"/>
      <c r="AJ124" s="130"/>
      <c r="AK124" s="129"/>
      <c r="AL124" s="129"/>
      <c r="AM124" s="129"/>
      <c r="AN124" s="129"/>
      <c r="AO124" s="130"/>
      <c r="AP124" s="129"/>
      <c r="AQ124" s="129"/>
      <c r="AR124" s="129"/>
      <c r="AS124" s="129"/>
      <c r="AT124" s="130"/>
      <c r="AU124" s="129"/>
      <c r="AV124" s="129"/>
      <c r="AW124" s="129"/>
      <c r="AX124" s="129"/>
      <c r="AY124" s="78"/>
    </row>
    <row r="125" spans="1:51">
      <c r="A125" s="128" t="s">
        <v>275</v>
      </c>
      <c r="B125" s="129"/>
      <c r="C125" s="129"/>
      <c r="D125" s="129"/>
      <c r="E125" s="129"/>
      <c r="F125" s="130"/>
      <c r="G125" s="129"/>
      <c r="H125" s="129"/>
      <c r="I125" s="129"/>
      <c r="J125" s="129"/>
      <c r="K125" s="130"/>
      <c r="L125" s="129"/>
      <c r="M125" s="129"/>
      <c r="N125" s="129"/>
      <c r="O125" s="129"/>
      <c r="P125" s="130"/>
      <c r="Q125" s="129"/>
      <c r="R125" s="129"/>
      <c r="S125" s="129"/>
      <c r="T125" s="129"/>
      <c r="U125" s="130"/>
      <c r="V125" s="129"/>
      <c r="W125" s="129"/>
      <c r="X125" s="129"/>
      <c r="Y125" s="129"/>
      <c r="Z125" s="130"/>
      <c r="AA125" s="129"/>
      <c r="AB125" s="129"/>
      <c r="AC125" s="129"/>
      <c r="AD125" s="129"/>
      <c r="AE125" s="130"/>
      <c r="AF125" s="129"/>
      <c r="AG125" s="129"/>
      <c r="AH125" s="129"/>
      <c r="AI125" s="129"/>
      <c r="AJ125" s="130"/>
      <c r="AK125" s="129"/>
      <c r="AL125" s="129"/>
      <c r="AM125" s="129"/>
      <c r="AN125" s="129"/>
      <c r="AO125" s="130"/>
      <c r="AP125" s="129"/>
      <c r="AQ125" s="129"/>
      <c r="AR125" s="129"/>
      <c r="AS125" s="129"/>
      <c r="AT125" s="130"/>
      <c r="AU125" s="129"/>
      <c r="AV125" s="129"/>
      <c r="AW125" s="129"/>
      <c r="AX125" s="129"/>
      <c r="AY125" s="78"/>
    </row>
    <row r="126" spans="1:51">
      <c r="A126" s="128" t="s">
        <v>277</v>
      </c>
      <c r="B126" s="129"/>
      <c r="C126" s="129"/>
      <c r="D126" s="129"/>
      <c r="E126" s="129"/>
      <c r="F126" s="130"/>
      <c r="G126" s="129"/>
      <c r="H126" s="129"/>
      <c r="I126" s="129"/>
      <c r="J126" s="129"/>
      <c r="K126" s="130"/>
      <c r="L126" s="129"/>
      <c r="M126" s="129"/>
      <c r="N126" s="129"/>
      <c r="O126" s="129"/>
      <c r="P126" s="130"/>
      <c r="Q126" s="129"/>
      <c r="R126" s="129"/>
      <c r="S126" s="129"/>
      <c r="T126" s="129"/>
      <c r="U126" s="130"/>
      <c r="V126" s="129"/>
      <c r="W126" s="129"/>
      <c r="X126" s="129"/>
      <c r="Y126" s="129"/>
      <c r="Z126" s="130"/>
      <c r="AA126" s="129"/>
      <c r="AB126" s="129"/>
      <c r="AC126" s="129"/>
      <c r="AD126" s="129"/>
      <c r="AE126" s="130"/>
      <c r="AF126" s="129"/>
      <c r="AG126" s="129"/>
      <c r="AH126" s="129"/>
      <c r="AI126" s="129"/>
      <c r="AJ126" s="130"/>
      <c r="AK126" s="129"/>
      <c r="AL126" s="129"/>
      <c r="AM126" s="129"/>
      <c r="AN126" s="129"/>
      <c r="AO126" s="130"/>
      <c r="AP126" s="129"/>
      <c r="AQ126" s="129"/>
      <c r="AR126" s="129"/>
      <c r="AS126" s="129"/>
      <c r="AT126" s="130"/>
      <c r="AU126" s="129"/>
      <c r="AV126" s="129"/>
      <c r="AW126" s="129"/>
      <c r="AX126" s="129"/>
      <c r="AY126" s="78"/>
    </row>
    <row r="127" spans="1:51">
      <c r="A127" s="128" t="s">
        <v>279</v>
      </c>
      <c r="B127" s="129"/>
      <c r="C127" s="129"/>
      <c r="D127" s="129"/>
      <c r="E127" s="129"/>
      <c r="F127" s="130"/>
      <c r="G127" s="129"/>
      <c r="H127" s="129"/>
      <c r="I127" s="129"/>
      <c r="J127" s="129"/>
      <c r="K127" s="130"/>
      <c r="L127" s="129"/>
      <c r="M127" s="129"/>
      <c r="N127" s="129"/>
      <c r="O127" s="129"/>
      <c r="P127" s="130"/>
      <c r="Q127" s="129"/>
      <c r="R127" s="129"/>
      <c r="S127" s="129"/>
      <c r="T127" s="129"/>
      <c r="U127" s="130"/>
      <c r="V127" s="129"/>
      <c r="W127" s="129"/>
      <c r="X127" s="129"/>
      <c r="Y127" s="129"/>
      <c r="Z127" s="130"/>
      <c r="AA127" s="129"/>
      <c r="AB127" s="129"/>
      <c r="AC127" s="129"/>
      <c r="AD127" s="129"/>
      <c r="AE127" s="130"/>
      <c r="AF127" s="129"/>
      <c r="AG127" s="129"/>
      <c r="AH127" s="129"/>
      <c r="AI127" s="129"/>
      <c r="AJ127" s="130"/>
      <c r="AK127" s="129"/>
      <c r="AL127" s="129"/>
      <c r="AM127" s="129"/>
      <c r="AN127" s="129"/>
      <c r="AO127" s="130"/>
      <c r="AP127" s="129"/>
      <c r="AQ127" s="129"/>
      <c r="AR127" s="129"/>
      <c r="AS127" s="129"/>
      <c r="AT127" s="130"/>
      <c r="AU127" s="129"/>
      <c r="AV127" s="129"/>
      <c r="AW127" s="129"/>
      <c r="AX127" s="129"/>
      <c r="AY127" s="78"/>
    </row>
    <row r="128" spans="1:51">
      <c r="A128" s="128" t="s">
        <v>281</v>
      </c>
      <c r="B128" s="129"/>
      <c r="C128" s="129"/>
      <c r="D128" s="129"/>
      <c r="E128" s="129"/>
      <c r="F128" s="130"/>
      <c r="G128" s="129"/>
      <c r="H128" s="129"/>
      <c r="I128" s="129"/>
      <c r="J128" s="129"/>
      <c r="K128" s="130"/>
      <c r="L128" s="129"/>
      <c r="M128" s="129"/>
      <c r="N128" s="129"/>
      <c r="O128" s="129"/>
      <c r="P128" s="130"/>
      <c r="Q128" s="129"/>
      <c r="R128" s="129"/>
      <c r="S128" s="129"/>
      <c r="T128" s="129"/>
      <c r="U128" s="130"/>
      <c r="V128" s="129"/>
      <c r="W128" s="129"/>
      <c r="X128" s="129"/>
      <c r="Y128" s="129"/>
      <c r="Z128" s="130"/>
      <c r="AA128" s="129"/>
      <c r="AB128" s="129"/>
      <c r="AC128" s="129"/>
      <c r="AD128" s="129"/>
      <c r="AE128" s="130"/>
      <c r="AF128" s="129"/>
      <c r="AG128" s="129"/>
      <c r="AH128" s="129"/>
      <c r="AI128" s="129"/>
      <c r="AJ128" s="130"/>
      <c r="AK128" s="129"/>
      <c r="AL128" s="129"/>
      <c r="AM128" s="129"/>
      <c r="AN128" s="129"/>
      <c r="AO128" s="130"/>
      <c r="AP128" s="129"/>
      <c r="AQ128" s="129"/>
      <c r="AR128" s="129"/>
      <c r="AS128" s="129"/>
      <c r="AT128" s="130"/>
      <c r="AU128" s="129"/>
      <c r="AV128" s="129"/>
      <c r="AW128" s="129"/>
      <c r="AX128" s="129"/>
      <c r="AY128" s="78"/>
    </row>
    <row r="129" spans="1:51">
      <c r="A129" s="128" t="s">
        <v>283</v>
      </c>
      <c r="B129" s="129"/>
      <c r="C129" s="129"/>
      <c r="D129" s="129"/>
      <c r="E129" s="129"/>
      <c r="F129" s="130"/>
      <c r="G129" s="129"/>
      <c r="H129" s="129"/>
      <c r="I129" s="129"/>
      <c r="J129" s="129"/>
      <c r="K129" s="130"/>
      <c r="L129" s="129"/>
      <c r="M129" s="129"/>
      <c r="N129" s="129"/>
      <c r="O129" s="129"/>
      <c r="P129" s="130"/>
      <c r="Q129" s="129"/>
      <c r="R129" s="129"/>
      <c r="S129" s="129"/>
      <c r="T129" s="129"/>
      <c r="U129" s="130"/>
      <c r="V129" s="129"/>
      <c r="W129" s="129"/>
      <c r="X129" s="129"/>
      <c r="Y129" s="129"/>
      <c r="Z129" s="130"/>
      <c r="AA129" s="129"/>
      <c r="AB129" s="129"/>
      <c r="AC129" s="129"/>
      <c r="AD129" s="129"/>
      <c r="AE129" s="130"/>
      <c r="AF129" s="129"/>
      <c r="AG129" s="129"/>
      <c r="AH129" s="129"/>
      <c r="AI129" s="129"/>
      <c r="AJ129" s="130"/>
      <c r="AK129" s="129"/>
      <c r="AL129" s="129"/>
      <c r="AM129" s="129"/>
      <c r="AN129" s="129"/>
      <c r="AO129" s="130"/>
      <c r="AP129" s="129"/>
      <c r="AQ129" s="129"/>
      <c r="AR129" s="129"/>
      <c r="AS129" s="129"/>
      <c r="AT129" s="130"/>
      <c r="AU129" s="129"/>
      <c r="AV129" s="129"/>
      <c r="AW129" s="129"/>
      <c r="AX129" s="129"/>
      <c r="AY129" s="78"/>
    </row>
    <row r="130" spans="1:51">
      <c r="A130" s="128" t="s">
        <v>287</v>
      </c>
      <c r="B130" s="129"/>
      <c r="C130" s="129"/>
      <c r="D130" s="129"/>
      <c r="E130" s="129"/>
      <c r="F130" s="130"/>
      <c r="G130" s="129"/>
      <c r="H130" s="129"/>
      <c r="I130" s="129"/>
      <c r="J130" s="129"/>
      <c r="K130" s="130"/>
      <c r="L130" s="129"/>
      <c r="M130" s="129"/>
      <c r="N130" s="129"/>
      <c r="O130" s="129"/>
      <c r="P130" s="130"/>
      <c r="Q130" s="129"/>
      <c r="R130" s="129"/>
      <c r="S130" s="129"/>
      <c r="T130" s="129"/>
      <c r="U130" s="130"/>
      <c r="V130" s="129"/>
      <c r="W130" s="129"/>
      <c r="X130" s="129"/>
      <c r="Y130" s="129"/>
      <c r="Z130" s="130"/>
      <c r="AA130" s="129"/>
      <c r="AB130" s="129"/>
      <c r="AC130" s="129"/>
      <c r="AD130" s="129"/>
      <c r="AE130" s="130"/>
      <c r="AF130" s="129"/>
      <c r="AG130" s="129"/>
      <c r="AH130" s="129"/>
      <c r="AI130" s="129"/>
      <c r="AJ130" s="130"/>
      <c r="AK130" s="129"/>
      <c r="AL130" s="129"/>
      <c r="AM130" s="129"/>
      <c r="AN130" s="129"/>
      <c r="AO130" s="130"/>
      <c r="AP130" s="129"/>
      <c r="AQ130" s="129"/>
      <c r="AR130" s="129"/>
      <c r="AS130" s="129"/>
      <c r="AT130" s="130"/>
      <c r="AU130" s="129"/>
      <c r="AV130" s="129"/>
      <c r="AW130" s="129"/>
      <c r="AX130" s="129"/>
      <c r="AY130" s="78"/>
    </row>
    <row r="131" spans="1:51">
      <c r="A131" s="128" t="s">
        <v>285</v>
      </c>
      <c r="B131" s="129"/>
      <c r="C131" s="129"/>
      <c r="D131" s="129"/>
      <c r="E131" s="129"/>
      <c r="F131" s="130"/>
      <c r="G131" s="129"/>
      <c r="H131" s="129"/>
      <c r="I131" s="129"/>
      <c r="J131" s="129"/>
      <c r="K131" s="130"/>
      <c r="L131" s="129"/>
      <c r="M131" s="129"/>
      <c r="N131" s="129"/>
      <c r="O131" s="129"/>
      <c r="P131" s="130"/>
      <c r="Q131" s="129"/>
      <c r="R131" s="129"/>
      <c r="S131" s="129"/>
      <c r="T131" s="129"/>
      <c r="U131" s="130"/>
      <c r="V131" s="129"/>
      <c r="W131" s="129"/>
      <c r="X131" s="129"/>
      <c r="Y131" s="129"/>
      <c r="Z131" s="130"/>
      <c r="AA131" s="129"/>
      <c r="AB131" s="129"/>
      <c r="AC131" s="129"/>
      <c r="AD131" s="129"/>
      <c r="AE131" s="130"/>
      <c r="AF131" s="129"/>
      <c r="AG131" s="129"/>
      <c r="AH131" s="129"/>
      <c r="AI131" s="129"/>
      <c r="AJ131" s="130"/>
      <c r="AK131" s="129"/>
      <c r="AL131" s="129"/>
      <c r="AM131" s="129"/>
      <c r="AN131" s="129"/>
      <c r="AO131" s="130"/>
      <c r="AP131" s="129"/>
      <c r="AQ131" s="129"/>
      <c r="AR131" s="129"/>
      <c r="AS131" s="129"/>
      <c r="AT131" s="130"/>
      <c r="AU131" s="129"/>
      <c r="AV131" s="129"/>
      <c r="AW131" s="129"/>
      <c r="AX131" s="129"/>
      <c r="AY131" s="78"/>
    </row>
    <row r="132" spans="1:51">
      <c r="A132" s="128" t="s">
        <v>289</v>
      </c>
      <c r="B132" s="129"/>
      <c r="C132" s="129"/>
      <c r="D132" s="129"/>
      <c r="E132" s="129"/>
      <c r="F132" s="130"/>
      <c r="G132" s="129"/>
      <c r="H132" s="129"/>
      <c r="I132" s="129"/>
      <c r="J132" s="129"/>
      <c r="K132" s="130"/>
      <c r="L132" s="129"/>
      <c r="M132" s="129"/>
      <c r="N132" s="129"/>
      <c r="O132" s="129"/>
      <c r="P132" s="130"/>
      <c r="Q132" s="129"/>
      <c r="R132" s="129"/>
      <c r="S132" s="129"/>
      <c r="T132" s="129"/>
      <c r="U132" s="130"/>
      <c r="V132" s="129"/>
      <c r="W132" s="129"/>
      <c r="X132" s="129"/>
      <c r="Y132" s="129"/>
      <c r="Z132" s="130"/>
      <c r="AA132" s="129"/>
      <c r="AB132" s="129"/>
      <c r="AC132" s="129"/>
      <c r="AD132" s="129"/>
      <c r="AE132" s="130"/>
      <c r="AF132" s="129"/>
      <c r="AG132" s="129"/>
      <c r="AH132" s="129"/>
      <c r="AI132" s="129"/>
      <c r="AJ132" s="130"/>
      <c r="AK132" s="129"/>
      <c r="AL132" s="129"/>
      <c r="AM132" s="129"/>
      <c r="AN132" s="129"/>
      <c r="AO132" s="130"/>
      <c r="AP132" s="129"/>
      <c r="AQ132" s="129"/>
      <c r="AR132" s="129"/>
      <c r="AS132" s="129"/>
      <c r="AT132" s="130"/>
      <c r="AU132" s="129"/>
      <c r="AV132" s="129"/>
      <c r="AW132" s="129"/>
      <c r="AX132" s="129"/>
      <c r="AY132" s="78"/>
    </row>
    <row r="133" spans="1:51">
      <c r="A133" s="128" t="s">
        <v>291</v>
      </c>
      <c r="B133" s="129"/>
      <c r="C133" s="129"/>
      <c r="D133" s="129"/>
      <c r="E133" s="129"/>
      <c r="F133" s="130"/>
      <c r="G133" s="129"/>
      <c r="H133" s="129"/>
      <c r="I133" s="129"/>
      <c r="J133" s="129"/>
      <c r="K133" s="130"/>
      <c r="L133" s="129"/>
      <c r="M133" s="129"/>
      <c r="N133" s="129"/>
      <c r="O133" s="129"/>
      <c r="P133" s="130"/>
      <c r="Q133" s="129"/>
      <c r="R133" s="129"/>
      <c r="S133" s="129"/>
      <c r="T133" s="129"/>
      <c r="U133" s="130"/>
      <c r="V133" s="129"/>
      <c r="W133" s="129"/>
      <c r="X133" s="129"/>
      <c r="Y133" s="129"/>
      <c r="Z133" s="130"/>
      <c r="AA133" s="129"/>
      <c r="AB133" s="129"/>
      <c r="AC133" s="129"/>
      <c r="AD133" s="129"/>
      <c r="AE133" s="130"/>
      <c r="AF133" s="129"/>
      <c r="AG133" s="129"/>
      <c r="AH133" s="129"/>
      <c r="AI133" s="129"/>
      <c r="AJ133" s="130"/>
      <c r="AK133" s="129"/>
      <c r="AL133" s="129"/>
      <c r="AM133" s="129"/>
      <c r="AN133" s="129"/>
      <c r="AO133" s="130"/>
      <c r="AP133" s="129"/>
      <c r="AQ133" s="129"/>
      <c r="AR133" s="129"/>
      <c r="AS133" s="129"/>
      <c r="AT133" s="130"/>
      <c r="AU133" s="129"/>
      <c r="AV133" s="129"/>
      <c r="AW133" s="129"/>
      <c r="AX133" s="129"/>
      <c r="AY133" s="78"/>
    </row>
    <row r="134" spans="1:51">
      <c r="A134" s="128" t="s">
        <v>293</v>
      </c>
      <c r="B134" s="129"/>
      <c r="C134" s="129"/>
      <c r="D134" s="129"/>
      <c r="E134" s="129"/>
      <c r="F134" s="130"/>
      <c r="G134" s="129"/>
      <c r="H134" s="129"/>
      <c r="I134" s="129"/>
      <c r="J134" s="129"/>
      <c r="K134" s="130"/>
      <c r="L134" s="129"/>
      <c r="M134" s="129"/>
      <c r="N134" s="129"/>
      <c r="O134" s="129"/>
      <c r="P134" s="130"/>
      <c r="Q134" s="129"/>
      <c r="R134" s="129"/>
      <c r="S134" s="129"/>
      <c r="T134" s="129"/>
      <c r="U134" s="130"/>
      <c r="V134" s="129"/>
      <c r="W134" s="129"/>
      <c r="X134" s="129"/>
      <c r="Y134" s="129"/>
      <c r="Z134" s="130"/>
      <c r="AA134" s="129"/>
      <c r="AB134" s="129"/>
      <c r="AC134" s="129"/>
      <c r="AD134" s="129"/>
      <c r="AE134" s="130"/>
      <c r="AF134" s="129"/>
      <c r="AG134" s="129"/>
      <c r="AH134" s="129"/>
      <c r="AI134" s="129"/>
      <c r="AJ134" s="130"/>
      <c r="AK134" s="129"/>
      <c r="AL134" s="129"/>
      <c r="AM134" s="129"/>
      <c r="AN134" s="129"/>
      <c r="AO134" s="130"/>
      <c r="AP134" s="129"/>
      <c r="AQ134" s="129"/>
      <c r="AR134" s="129"/>
      <c r="AS134" s="129"/>
      <c r="AT134" s="130"/>
      <c r="AU134" s="129"/>
      <c r="AV134" s="129"/>
      <c r="AW134" s="129"/>
      <c r="AX134" s="129"/>
      <c r="AY134" s="78"/>
    </row>
    <row r="135" spans="1:51">
      <c r="A135" s="128" t="s">
        <v>295</v>
      </c>
      <c r="B135" s="129"/>
      <c r="C135" s="129"/>
      <c r="D135" s="129"/>
      <c r="E135" s="129"/>
      <c r="F135" s="130"/>
      <c r="G135" s="129"/>
      <c r="H135" s="129"/>
      <c r="I135" s="129"/>
      <c r="J135" s="129"/>
      <c r="K135" s="130"/>
      <c r="L135" s="129"/>
      <c r="M135" s="129"/>
      <c r="N135" s="129"/>
      <c r="O135" s="129"/>
      <c r="P135" s="130"/>
      <c r="Q135" s="129"/>
      <c r="R135" s="129"/>
      <c r="S135" s="129"/>
      <c r="T135" s="129"/>
      <c r="U135" s="130"/>
      <c r="V135" s="129"/>
      <c r="W135" s="129"/>
      <c r="X135" s="129"/>
      <c r="Y135" s="129"/>
      <c r="Z135" s="130"/>
      <c r="AA135" s="129"/>
      <c r="AB135" s="129"/>
      <c r="AC135" s="129"/>
      <c r="AD135" s="129"/>
      <c r="AE135" s="130"/>
      <c r="AF135" s="129"/>
      <c r="AG135" s="129"/>
      <c r="AH135" s="129"/>
      <c r="AI135" s="129"/>
      <c r="AJ135" s="130"/>
      <c r="AK135" s="129"/>
      <c r="AL135" s="129"/>
      <c r="AM135" s="129"/>
      <c r="AN135" s="129"/>
      <c r="AO135" s="130"/>
      <c r="AP135" s="129"/>
      <c r="AQ135" s="129"/>
      <c r="AR135" s="129"/>
      <c r="AS135" s="129"/>
      <c r="AT135" s="130"/>
      <c r="AU135" s="129"/>
      <c r="AV135" s="129"/>
      <c r="AW135" s="129"/>
      <c r="AX135" s="129"/>
      <c r="AY135" s="78"/>
    </row>
    <row r="136" spans="1:51">
      <c r="A136" s="128" t="s">
        <v>297</v>
      </c>
      <c r="B136" s="129"/>
      <c r="C136" s="129"/>
      <c r="D136" s="129"/>
      <c r="E136" s="129"/>
      <c r="F136" s="130"/>
      <c r="G136" s="129"/>
      <c r="H136" s="129"/>
      <c r="I136" s="129"/>
      <c r="J136" s="129"/>
      <c r="K136" s="130"/>
      <c r="L136" s="129"/>
      <c r="M136" s="129"/>
      <c r="N136" s="129"/>
      <c r="O136" s="129"/>
      <c r="P136" s="130"/>
      <c r="Q136" s="129"/>
      <c r="R136" s="129"/>
      <c r="S136" s="129"/>
      <c r="T136" s="129"/>
      <c r="U136" s="130"/>
      <c r="V136" s="129"/>
      <c r="W136" s="129"/>
      <c r="X136" s="129"/>
      <c r="Y136" s="129"/>
      <c r="Z136" s="130"/>
      <c r="AA136" s="129"/>
      <c r="AB136" s="129"/>
      <c r="AC136" s="129"/>
      <c r="AD136" s="129"/>
      <c r="AE136" s="130"/>
      <c r="AF136" s="129"/>
      <c r="AG136" s="129"/>
      <c r="AH136" s="129"/>
      <c r="AI136" s="129"/>
      <c r="AJ136" s="130"/>
      <c r="AK136" s="129"/>
      <c r="AL136" s="129"/>
      <c r="AM136" s="129"/>
      <c r="AN136" s="129"/>
      <c r="AO136" s="130"/>
      <c r="AP136" s="129"/>
      <c r="AQ136" s="129"/>
      <c r="AR136" s="129"/>
      <c r="AS136" s="129"/>
      <c r="AT136" s="130"/>
      <c r="AU136" s="129"/>
      <c r="AV136" s="129"/>
      <c r="AW136" s="129"/>
      <c r="AX136" s="129"/>
      <c r="AY136" s="78"/>
    </row>
    <row r="137" ht="16.5" spans="1:51">
      <c r="A137" s="131" t="s">
        <v>379</v>
      </c>
      <c r="B137" s="132">
        <f>SUM(B3:B136)</f>
        <v>0</v>
      </c>
      <c r="C137" s="132">
        <f>SUM(C3:C136)</f>
        <v>0</v>
      </c>
      <c r="D137" s="132">
        <f>SUM(D3:D136)</f>
        <v>0</v>
      </c>
      <c r="E137" s="132">
        <f>SUM(E3:E136)</f>
        <v>0</v>
      </c>
      <c r="F137" s="133">
        <f t="shared" ref="F137" si="0">AVERAGE(B137:E137)</f>
        <v>0</v>
      </c>
      <c r="G137" s="132">
        <f>SUM(G3:G136)</f>
        <v>0</v>
      </c>
      <c r="H137" s="132">
        <f>SUM(H3:H136)</f>
        <v>0</v>
      </c>
      <c r="I137" s="132">
        <f>SUM(I3:I136)</f>
        <v>0</v>
      </c>
      <c r="J137" s="132">
        <f>SUM(J3:J136)</f>
        <v>0</v>
      </c>
      <c r="K137" s="133">
        <f t="shared" ref="K137" si="1">AVERAGE(G137:J137)</f>
        <v>0</v>
      </c>
      <c r="L137" s="132">
        <f>SUM(L3:L136)</f>
        <v>0</v>
      </c>
      <c r="M137" s="132">
        <f>SUM(M3:M136)</f>
        <v>0</v>
      </c>
      <c r="N137" s="132">
        <f>SUM(N3:N136)</f>
        <v>0</v>
      </c>
      <c r="O137" s="132">
        <f>SUM(O3:O136)</f>
        <v>0</v>
      </c>
      <c r="P137" s="133">
        <f t="shared" ref="P137" si="2">AVERAGE(L137:O137)</f>
        <v>0</v>
      </c>
      <c r="Q137" s="132">
        <f>SUM(Q3:Q136)</f>
        <v>0</v>
      </c>
      <c r="R137" s="132">
        <f>SUM(R3:R136)</f>
        <v>0</v>
      </c>
      <c r="S137" s="132">
        <f>SUM(S3:S136)</f>
        <v>0</v>
      </c>
      <c r="T137" s="132">
        <f>SUM(T3:T136)</f>
        <v>0</v>
      </c>
      <c r="U137" s="133">
        <f t="shared" ref="U137" si="3">AVERAGE(Q137:T137)</f>
        <v>0</v>
      </c>
      <c r="V137" s="132">
        <f>SUM(V3:V136)</f>
        <v>0</v>
      </c>
      <c r="W137" s="132">
        <f>SUM(W3:W136)</f>
        <v>0</v>
      </c>
      <c r="X137" s="132">
        <f>SUM(X3:X136)</f>
        <v>0</v>
      </c>
      <c r="Y137" s="132">
        <f>SUM(Y3:Y136)</f>
        <v>0</v>
      </c>
      <c r="Z137" s="133">
        <f t="shared" ref="Z137" si="4">AVERAGE(V137:Y137)</f>
        <v>0</v>
      </c>
      <c r="AA137" s="132">
        <f>SUM(AA3:AA136)</f>
        <v>0</v>
      </c>
      <c r="AB137" s="132">
        <f>SUM(AB3:AB136)</f>
        <v>0</v>
      </c>
      <c r="AC137" s="132">
        <f>SUM(AC3:AC136)</f>
        <v>0</v>
      </c>
      <c r="AD137" s="132">
        <f>SUM(AD3:AD136)</f>
        <v>0</v>
      </c>
      <c r="AE137" s="133">
        <f t="shared" ref="AE137" si="5">AVERAGE(AA137:AD137)</f>
        <v>0</v>
      </c>
      <c r="AF137" s="132">
        <f>SUM(AF3:AF136)</f>
        <v>0</v>
      </c>
      <c r="AG137" s="132">
        <f>SUM(AG3:AG136)</f>
        <v>0</v>
      </c>
      <c r="AH137" s="132">
        <f>SUM(AH3:AH136)</f>
        <v>0</v>
      </c>
      <c r="AI137" s="132">
        <f>SUM(AI3:AI136)</f>
        <v>0</v>
      </c>
      <c r="AJ137" s="133">
        <f t="shared" ref="AJ137" si="6">AVERAGE(AF137:AI137)</f>
        <v>0</v>
      </c>
      <c r="AK137" s="132">
        <f>SUM(AK3:AK136)</f>
        <v>0</v>
      </c>
      <c r="AL137" s="132">
        <f>SUM(AL3:AL136)</f>
        <v>0</v>
      </c>
      <c r="AM137" s="132">
        <f>SUM(AM3:AM136)</f>
        <v>0</v>
      </c>
      <c r="AN137" s="132">
        <f>SUM(AN3:AN136)</f>
        <v>0</v>
      </c>
      <c r="AO137" s="133">
        <f t="shared" ref="AO137" si="7">AVERAGE(AK137:AN137)</f>
        <v>0</v>
      </c>
      <c r="AP137" s="132">
        <f>SUM(AP3:AP136)</f>
        <v>0</v>
      </c>
      <c r="AQ137" s="132">
        <f>SUM(AQ3:AQ136)</f>
        <v>0</v>
      </c>
      <c r="AR137" s="132">
        <f>SUM(AR3:AR136)</f>
        <v>0</v>
      </c>
      <c r="AS137" s="132">
        <f>SUM(AS3:AS136)</f>
        <v>0</v>
      </c>
      <c r="AT137" s="133">
        <f t="shared" ref="AT137" si="8">AVERAGE(AP137:AS137)</f>
        <v>0</v>
      </c>
      <c r="AU137" s="132">
        <f>SUM(AU3:AU136)</f>
        <v>0</v>
      </c>
      <c r="AV137" s="132">
        <f>SUM(AV3:AV136)</f>
        <v>0</v>
      </c>
      <c r="AW137" s="132">
        <f>SUM(AW3:AW136)</f>
        <v>0</v>
      </c>
      <c r="AX137" s="132">
        <f>SUM(AX3:AX136)</f>
        <v>0</v>
      </c>
      <c r="AY137" s="132">
        <f t="shared" ref="AY137" si="9">AVERAGE(AU137:AX137)</f>
        <v>0</v>
      </c>
    </row>
    <row r="139" ht="16.5" spans="1:51">
      <c r="A139" s="93" t="s">
        <v>385</v>
      </c>
      <c r="B139" s="60" t="s">
        <v>2</v>
      </c>
      <c r="C139" s="60"/>
      <c r="D139" s="60"/>
      <c r="E139" s="60"/>
      <c r="F139" s="119"/>
      <c r="G139" s="61" t="s">
        <v>3</v>
      </c>
      <c r="H139" s="61"/>
      <c r="I139" s="61"/>
      <c r="J139" s="61"/>
      <c r="K139" s="120"/>
      <c r="L139" s="61" t="s">
        <v>4</v>
      </c>
      <c r="M139" s="61"/>
      <c r="N139" s="61"/>
      <c r="O139" s="61"/>
      <c r="P139" s="120"/>
      <c r="Q139" s="61" t="s">
        <v>386</v>
      </c>
      <c r="R139" s="61"/>
      <c r="S139" s="61"/>
      <c r="T139" s="61"/>
      <c r="U139" s="120"/>
      <c r="V139" s="61" t="s">
        <v>6</v>
      </c>
      <c r="W139" s="61"/>
      <c r="X139" s="61"/>
      <c r="Y139" s="61"/>
      <c r="Z139" s="120"/>
      <c r="AA139" s="61" t="s">
        <v>7</v>
      </c>
      <c r="AB139" s="61"/>
      <c r="AC139" s="61"/>
      <c r="AD139" s="61"/>
      <c r="AE139" s="120"/>
      <c r="AF139" s="61" t="s">
        <v>8</v>
      </c>
      <c r="AG139" s="61"/>
      <c r="AH139" s="61"/>
      <c r="AI139" s="61"/>
      <c r="AJ139" s="120"/>
      <c r="AK139" s="61" t="s">
        <v>9</v>
      </c>
      <c r="AL139" s="61"/>
      <c r="AM139" s="61"/>
      <c r="AN139" s="61"/>
      <c r="AO139" s="120"/>
      <c r="AP139" s="61" t="s">
        <v>10</v>
      </c>
      <c r="AQ139" s="61"/>
      <c r="AR139" s="61"/>
      <c r="AS139" s="61"/>
      <c r="AT139" s="120"/>
      <c r="AU139" s="61" t="s">
        <v>11</v>
      </c>
      <c r="AV139" s="61"/>
      <c r="AW139" s="61"/>
      <c r="AX139" s="61"/>
      <c r="AY139" s="61"/>
    </row>
    <row r="140" ht="16.5" spans="1:51">
      <c r="A140" s="134" t="s">
        <v>18</v>
      </c>
      <c r="B140" s="66" t="s">
        <v>20</v>
      </c>
      <c r="C140" s="66" t="s">
        <v>21</v>
      </c>
      <c r="D140" s="66">
        <v>45717</v>
      </c>
      <c r="E140" s="66">
        <v>45748</v>
      </c>
      <c r="F140" s="136" t="s">
        <v>387</v>
      </c>
      <c r="G140" s="67" t="s">
        <v>20</v>
      </c>
      <c r="H140" s="67" t="s">
        <v>21</v>
      </c>
      <c r="I140" s="67">
        <v>45717</v>
      </c>
      <c r="J140" s="67">
        <v>45748</v>
      </c>
      <c r="K140" s="126" t="s">
        <v>387</v>
      </c>
      <c r="L140" s="67" t="s">
        <v>20</v>
      </c>
      <c r="M140" s="67" t="s">
        <v>21</v>
      </c>
      <c r="N140" s="67">
        <v>45717</v>
      </c>
      <c r="O140" s="67">
        <v>45748</v>
      </c>
      <c r="P140" s="126" t="s">
        <v>387</v>
      </c>
      <c r="Q140" s="67" t="s">
        <v>20</v>
      </c>
      <c r="R140" s="67" t="s">
        <v>21</v>
      </c>
      <c r="S140" s="67">
        <v>45717</v>
      </c>
      <c r="T140" s="67">
        <v>45748</v>
      </c>
      <c r="U140" s="126" t="s">
        <v>387</v>
      </c>
      <c r="V140" s="67" t="s">
        <v>20</v>
      </c>
      <c r="W140" s="67" t="s">
        <v>21</v>
      </c>
      <c r="X140" s="67">
        <v>45717</v>
      </c>
      <c r="Y140" s="67">
        <v>45748</v>
      </c>
      <c r="Z140" s="126" t="s">
        <v>387</v>
      </c>
      <c r="AA140" s="67" t="s">
        <v>20</v>
      </c>
      <c r="AB140" s="67" t="s">
        <v>21</v>
      </c>
      <c r="AC140" s="67">
        <v>45717</v>
      </c>
      <c r="AD140" s="67">
        <v>45748</v>
      </c>
      <c r="AE140" s="126" t="s">
        <v>387</v>
      </c>
      <c r="AF140" s="67" t="s">
        <v>20</v>
      </c>
      <c r="AG140" s="67" t="s">
        <v>21</v>
      </c>
      <c r="AH140" s="67">
        <v>45717</v>
      </c>
      <c r="AI140" s="67">
        <v>45748</v>
      </c>
      <c r="AJ140" s="126" t="s">
        <v>387</v>
      </c>
      <c r="AK140" s="67" t="s">
        <v>20</v>
      </c>
      <c r="AL140" s="67" t="s">
        <v>21</v>
      </c>
      <c r="AM140" s="67">
        <v>45717</v>
      </c>
      <c r="AN140" s="67">
        <v>45748</v>
      </c>
      <c r="AO140" s="126" t="s">
        <v>387</v>
      </c>
      <c r="AP140" s="67" t="s">
        <v>20</v>
      </c>
      <c r="AQ140" s="67" t="s">
        <v>21</v>
      </c>
      <c r="AR140" s="67">
        <v>45717</v>
      </c>
      <c r="AS140" s="67">
        <v>45748</v>
      </c>
      <c r="AT140" s="126" t="s">
        <v>387</v>
      </c>
      <c r="AU140" s="67" t="s">
        <v>20</v>
      </c>
      <c r="AV140" s="67" t="s">
        <v>21</v>
      </c>
      <c r="AW140" s="67">
        <v>45717</v>
      </c>
      <c r="AX140" s="67">
        <v>45748</v>
      </c>
      <c r="AY140" s="127" t="s">
        <v>387</v>
      </c>
    </row>
    <row r="141" spans="1:51">
      <c r="A141" s="128" t="s">
        <v>25</v>
      </c>
      <c r="B141" s="101" t="e">
        <f t="shared" ref="B141:AB141" si="10">B3/B$137</f>
        <v>#DIV/0!</v>
      </c>
      <c r="C141" s="101" t="e">
        <f t="shared" si="10"/>
        <v>#DIV/0!</v>
      </c>
      <c r="D141" s="101" t="e">
        <f t="shared" si="10"/>
        <v>#DIV/0!</v>
      </c>
      <c r="E141" s="101" t="e">
        <f t="shared" si="10"/>
        <v>#DIV/0!</v>
      </c>
      <c r="F141" s="138" t="e">
        <f t="shared" si="10"/>
        <v>#DIV/0!</v>
      </c>
      <c r="G141" s="106" t="e">
        <f t="shared" si="10"/>
        <v>#DIV/0!</v>
      </c>
      <c r="H141" s="106" t="e">
        <f t="shared" si="10"/>
        <v>#DIV/0!</v>
      </c>
      <c r="I141" s="106" t="e">
        <f t="shared" si="10"/>
        <v>#DIV/0!</v>
      </c>
      <c r="J141" s="106" t="e">
        <f t="shared" si="10"/>
        <v>#DIV/0!</v>
      </c>
      <c r="K141" s="9" t="e">
        <f t="shared" si="10"/>
        <v>#DIV/0!</v>
      </c>
      <c r="L141" s="106" t="e">
        <f t="shared" si="10"/>
        <v>#DIV/0!</v>
      </c>
      <c r="M141" s="106" t="e">
        <f t="shared" si="10"/>
        <v>#DIV/0!</v>
      </c>
      <c r="N141" s="106" t="e">
        <f t="shared" si="10"/>
        <v>#DIV/0!</v>
      </c>
      <c r="O141" s="106" t="e">
        <f t="shared" si="10"/>
        <v>#DIV/0!</v>
      </c>
      <c r="P141" s="9" t="e">
        <f t="shared" si="10"/>
        <v>#DIV/0!</v>
      </c>
      <c r="Q141" s="137" t="e">
        <f t="shared" si="10"/>
        <v>#DIV/0!</v>
      </c>
      <c r="R141" s="137" t="e">
        <f t="shared" si="10"/>
        <v>#DIV/0!</v>
      </c>
      <c r="S141" s="137" t="e">
        <f t="shared" si="10"/>
        <v>#DIV/0!</v>
      </c>
      <c r="T141" s="137" t="e">
        <f t="shared" si="10"/>
        <v>#DIV/0!</v>
      </c>
      <c r="U141" s="9" t="e">
        <f t="shared" si="10"/>
        <v>#DIV/0!</v>
      </c>
      <c r="V141" s="137" t="e">
        <f t="shared" si="10"/>
        <v>#DIV/0!</v>
      </c>
      <c r="W141" s="137" t="e">
        <f t="shared" si="10"/>
        <v>#DIV/0!</v>
      </c>
      <c r="X141" s="137" t="e">
        <f t="shared" si="10"/>
        <v>#DIV/0!</v>
      </c>
      <c r="Y141" s="137" t="e">
        <f t="shared" si="10"/>
        <v>#DIV/0!</v>
      </c>
      <c r="Z141" s="9" t="e">
        <f t="shared" si="10"/>
        <v>#DIV/0!</v>
      </c>
      <c r="AA141" s="137" t="e">
        <f t="shared" si="10"/>
        <v>#DIV/0!</v>
      </c>
      <c r="AB141" s="137" t="e">
        <f t="shared" si="10"/>
        <v>#DIV/0!</v>
      </c>
      <c r="AC141" s="137" t="e">
        <f t="shared" ref="AC141:AY141" si="11">AC3/AC$137</f>
        <v>#DIV/0!</v>
      </c>
      <c r="AD141" s="137" t="e">
        <f t="shared" si="11"/>
        <v>#DIV/0!</v>
      </c>
      <c r="AE141" s="9" t="e">
        <f t="shared" si="11"/>
        <v>#DIV/0!</v>
      </c>
      <c r="AF141" s="137" t="e">
        <f t="shared" si="11"/>
        <v>#DIV/0!</v>
      </c>
      <c r="AG141" s="137" t="e">
        <f t="shared" si="11"/>
        <v>#DIV/0!</v>
      </c>
      <c r="AH141" s="137" t="e">
        <f t="shared" si="11"/>
        <v>#DIV/0!</v>
      </c>
      <c r="AI141" s="137" t="e">
        <f t="shared" si="11"/>
        <v>#DIV/0!</v>
      </c>
      <c r="AJ141" s="9" t="e">
        <f t="shared" si="11"/>
        <v>#DIV/0!</v>
      </c>
      <c r="AK141" s="137" t="e">
        <f t="shared" si="11"/>
        <v>#DIV/0!</v>
      </c>
      <c r="AL141" s="137" t="e">
        <f t="shared" si="11"/>
        <v>#DIV/0!</v>
      </c>
      <c r="AM141" s="137" t="e">
        <f t="shared" si="11"/>
        <v>#DIV/0!</v>
      </c>
      <c r="AN141" s="137" t="e">
        <f t="shared" si="11"/>
        <v>#DIV/0!</v>
      </c>
      <c r="AO141" s="9" t="e">
        <f t="shared" si="11"/>
        <v>#DIV/0!</v>
      </c>
      <c r="AP141" s="137" t="e">
        <f t="shared" si="11"/>
        <v>#DIV/0!</v>
      </c>
      <c r="AQ141" s="137" t="e">
        <f t="shared" si="11"/>
        <v>#DIV/0!</v>
      </c>
      <c r="AR141" s="137" t="e">
        <f t="shared" si="11"/>
        <v>#DIV/0!</v>
      </c>
      <c r="AS141" s="137" t="e">
        <f t="shared" si="11"/>
        <v>#DIV/0!</v>
      </c>
      <c r="AT141" s="9" t="e">
        <f t="shared" si="11"/>
        <v>#DIV/0!</v>
      </c>
      <c r="AU141" s="137" t="e">
        <f t="shared" si="11"/>
        <v>#DIV/0!</v>
      </c>
      <c r="AV141" s="137" t="e">
        <f t="shared" si="11"/>
        <v>#DIV/0!</v>
      </c>
      <c r="AW141" s="137" t="e">
        <f t="shared" si="11"/>
        <v>#DIV/0!</v>
      </c>
      <c r="AX141" s="137" t="e">
        <f t="shared" si="11"/>
        <v>#DIV/0!</v>
      </c>
      <c r="AY141" s="106" t="e">
        <f t="shared" si="11"/>
        <v>#DIV/0!</v>
      </c>
    </row>
    <row r="142" spans="1:51">
      <c r="A142" s="128" t="s">
        <v>31</v>
      </c>
      <c r="B142" s="106" t="e">
        <f t="shared" ref="B142:AB142" si="12">B4/B$137</f>
        <v>#DIV/0!</v>
      </c>
      <c r="C142" s="106" t="e">
        <f t="shared" si="12"/>
        <v>#DIV/0!</v>
      </c>
      <c r="D142" s="106" t="e">
        <f t="shared" si="12"/>
        <v>#DIV/0!</v>
      </c>
      <c r="E142" s="106" t="e">
        <f t="shared" si="12"/>
        <v>#DIV/0!</v>
      </c>
      <c r="F142" s="9" t="e">
        <f t="shared" si="12"/>
        <v>#DIV/0!</v>
      </c>
      <c r="G142" s="106" t="e">
        <f t="shared" si="12"/>
        <v>#DIV/0!</v>
      </c>
      <c r="H142" s="106" t="e">
        <f t="shared" si="12"/>
        <v>#DIV/0!</v>
      </c>
      <c r="I142" s="106" t="e">
        <f t="shared" si="12"/>
        <v>#DIV/0!</v>
      </c>
      <c r="J142" s="106" t="e">
        <f t="shared" si="12"/>
        <v>#DIV/0!</v>
      </c>
      <c r="K142" s="9" t="e">
        <f t="shared" si="12"/>
        <v>#DIV/0!</v>
      </c>
      <c r="L142" s="106" t="e">
        <f t="shared" si="12"/>
        <v>#DIV/0!</v>
      </c>
      <c r="M142" s="106" t="e">
        <f t="shared" si="12"/>
        <v>#DIV/0!</v>
      </c>
      <c r="N142" s="106" t="e">
        <f t="shared" si="12"/>
        <v>#DIV/0!</v>
      </c>
      <c r="O142" s="106" t="e">
        <f t="shared" si="12"/>
        <v>#DIV/0!</v>
      </c>
      <c r="P142" s="9" t="e">
        <f t="shared" si="12"/>
        <v>#DIV/0!</v>
      </c>
      <c r="Q142" s="137" t="e">
        <f t="shared" si="12"/>
        <v>#DIV/0!</v>
      </c>
      <c r="R142" s="137" t="e">
        <f t="shared" si="12"/>
        <v>#DIV/0!</v>
      </c>
      <c r="S142" s="137" t="e">
        <f t="shared" si="12"/>
        <v>#DIV/0!</v>
      </c>
      <c r="T142" s="137" t="e">
        <f t="shared" si="12"/>
        <v>#DIV/0!</v>
      </c>
      <c r="U142" s="9" t="e">
        <f t="shared" si="12"/>
        <v>#DIV/0!</v>
      </c>
      <c r="V142" s="137" t="e">
        <f t="shared" si="12"/>
        <v>#DIV/0!</v>
      </c>
      <c r="W142" s="137" t="e">
        <f t="shared" si="12"/>
        <v>#DIV/0!</v>
      </c>
      <c r="X142" s="137" t="e">
        <f t="shared" si="12"/>
        <v>#DIV/0!</v>
      </c>
      <c r="Y142" s="137" t="e">
        <f t="shared" si="12"/>
        <v>#DIV/0!</v>
      </c>
      <c r="Z142" s="9" t="e">
        <f t="shared" si="12"/>
        <v>#DIV/0!</v>
      </c>
      <c r="AA142" s="137" t="e">
        <f t="shared" si="12"/>
        <v>#DIV/0!</v>
      </c>
      <c r="AB142" s="137" t="e">
        <f t="shared" si="12"/>
        <v>#DIV/0!</v>
      </c>
      <c r="AC142" s="137" t="e">
        <f t="shared" ref="AC142:AY142" si="13">AC4/AC$137</f>
        <v>#DIV/0!</v>
      </c>
      <c r="AD142" s="137" t="e">
        <f t="shared" si="13"/>
        <v>#DIV/0!</v>
      </c>
      <c r="AE142" s="9" t="e">
        <f t="shared" si="13"/>
        <v>#DIV/0!</v>
      </c>
      <c r="AF142" s="137" t="e">
        <f t="shared" si="13"/>
        <v>#DIV/0!</v>
      </c>
      <c r="AG142" s="137" t="e">
        <f t="shared" si="13"/>
        <v>#DIV/0!</v>
      </c>
      <c r="AH142" s="137" t="e">
        <f t="shared" si="13"/>
        <v>#DIV/0!</v>
      </c>
      <c r="AI142" s="137" t="e">
        <f t="shared" si="13"/>
        <v>#DIV/0!</v>
      </c>
      <c r="AJ142" s="9" t="e">
        <f t="shared" si="13"/>
        <v>#DIV/0!</v>
      </c>
      <c r="AK142" s="137" t="e">
        <f t="shared" si="13"/>
        <v>#DIV/0!</v>
      </c>
      <c r="AL142" s="137" t="e">
        <f t="shared" si="13"/>
        <v>#DIV/0!</v>
      </c>
      <c r="AM142" s="137" t="e">
        <f t="shared" si="13"/>
        <v>#DIV/0!</v>
      </c>
      <c r="AN142" s="137" t="e">
        <f t="shared" si="13"/>
        <v>#DIV/0!</v>
      </c>
      <c r="AO142" s="9" t="e">
        <f t="shared" si="13"/>
        <v>#DIV/0!</v>
      </c>
      <c r="AP142" s="137" t="e">
        <f t="shared" si="13"/>
        <v>#DIV/0!</v>
      </c>
      <c r="AQ142" s="137" t="e">
        <f t="shared" si="13"/>
        <v>#DIV/0!</v>
      </c>
      <c r="AR142" s="137" t="e">
        <f t="shared" si="13"/>
        <v>#DIV/0!</v>
      </c>
      <c r="AS142" s="137" t="e">
        <f t="shared" si="13"/>
        <v>#DIV/0!</v>
      </c>
      <c r="AT142" s="9" t="e">
        <f t="shared" si="13"/>
        <v>#DIV/0!</v>
      </c>
      <c r="AU142" s="137" t="e">
        <f t="shared" si="13"/>
        <v>#DIV/0!</v>
      </c>
      <c r="AV142" s="137" t="e">
        <f t="shared" si="13"/>
        <v>#DIV/0!</v>
      </c>
      <c r="AW142" s="137" t="e">
        <f t="shared" si="13"/>
        <v>#DIV/0!</v>
      </c>
      <c r="AX142" s="137" t="e">
        <f t="shared" si="13"/>
        <v>#DIV/0!</v>
      </c>
      <c r="AY142" s="106" t="e">
        <f t="shared" si="13"/>
        <v>#DIV/0!</v>
      </c>
    </row>
    <row r="143" spans="1:51">
      <c r="A143" s="128" t="s">
        <v>33</v>
      </c>
      <c r="B143" s="106" t="e">
        <f t="shared" ref="B143:AB143" si="14">B5/B$137</f>
        <v>#DIV/0!</v>
      </c>
      <c r="C143" s="106" t="e">
        <f t="shared" si="14"/>
        <v>#DIV/0!</v>
      </c>
      <c r="D143" s="106" t="e">
        <f t="shared" si="14"/>
        <v>#DIV/0!</v>
      </c>
      <c r="E143" s="106" t="e">
        <f t="shared" si="14"/>
        <v>#DIV/0!</v>
      </c>
      <c r="F143" s="9" t="e">
        <f t="shared" si="14"/>
        <v>#DIV/0!</v>
      </c>
      <c r="G143" s="106" t="e">
        <f t="shared" si="14"/>
        <v>#DIV/0!</v>
      </c>
      <c r="H143" s="106" t="e">
        <f t="shared" si="14"/>
        <v>#DIV/0!</v>
      </c>
      <c r="I143" s="106" t="e">
        <f t="shared" si="14"/>
        <v>#DIV/0!</v>
      </c>
      <c r="J143" s="106" t="e">
        <f t="shared" si="14"/>
        <v>#DIV/0!</v>
      </c>
      <c r="K143" s="9" t="e">
        <f t="shared" si="14"/>
        <v>#DIV/0!</v>
      </c>
      <c r="L143" s="106" t="e">
        <f t="shared" si="14"/>
        <v>#DIV/0!</v>
      </c>
      <c r="M143" s="106" t="e">
        <f t="shared" si="14"/>
        <v>#DIV/0!</v>
      </c>
      <c r="N143" s="106" t="e">
        <f t="shared" si="14"/>
        <v>#DIV/0!</v>
      </c>
      <c r="O143" s="106" t="e">
        <f t="shared" si="14"/>
        <v>#DIV/0!</v>
      </c>
      <c r="P143" s="9" t="e">
        <f t="shared" si="14"/>
        <v>#DIV/0!</v>
      </c>
      <c r="Q143" s="137" t="e">
        <f t="shared" si="14"/>
        <v>#DIV/0!</v>
      </c>
      <c r="R143" s="137" t="e">
        <f t="shared" si="14"/>
        <v>#DIV/0!</v>
      </c>
      <c r="S143" s="137" t="e">
        <f t="shared" si="14"/>
        <v>#DIV/0!</v>
      </c>
      <c r="T143" s="137" t="e">
        <f t="shared" si="14"/>
        <v>#DIV/0!</v>
      </c>
      <c r="U143" s="9" t="e">
        <f t="shared" si="14"/>
        <v>#DIV/0!</v>
      </c>
      <c r="V143" s="137" t="e">
        <f t="shared" si="14"/>
        <v>#DIV/0!</v>
      </c>
      <c r="W143" s="137" t="e">
        <f t="shared" si="14"/>
        <v>#DIV/0!</v>
      </c>
      <c r="X143" s="137" t="e">
        <f t="shared" si="14"/>
        <v>#DIV/0!</v>
      </c>
      <c r="Y143" s="137" t="e">
        <f t="shared" si="14"/>
        <v>#DIV/0!</v>
      </c>
      <c r="Z143" s="9" t="e">
        <f t="shared" si="14"/>
        <v>#DIV/0!</v>
      </c>
      <c r="AA143" s="137" t="e">
        <f t="shared" si="14"/>
        <v>#DIV/0!</v>
      </c>
      <c r="AB143" s="137" t="e">
        <f t="shared" si="14"/>
        <v>#DIV/0!</v>
      </c>
      <c r="AC143" s="137" t="e">
        <f t="shared" ref="AC143:AY143" si="15">AC5/AC$137</f>
        <v>#DIV/0!</v>
      </c>
      <c r="AD143" s="137" t="e">
        <f t="shared" si="15"/>
        <v>#DIV/0!</v>
      </c>
      <c r="AE143" s="9" t="e">
        <f t="shared" si="15"/>
        <v>#DIV/0!</v>
      </c>
      <c r="AF143" s="137" t="e">
        <f t="shared" si="15"/>
        <v>#DIV/0!</v>
      </c>
      <c r="AG143" s="137" t="e">
        <f t="shared" si="15"/>
        <v>#DIV/0!</v>
      </c>
      <c r="AH143" s="137" t="e">
        <f t="shared" si="15"/>
        <v>#DIV/0!</v>
      </c>
      <c r="AI143" s="137" t="e">
        <f t="shared" si="15"/>
        <v>#DIV/0!</v>
      </c>
      <c r="AJ143" s="9" t="e">
        <f t="shared" si="15"/>
        <v>#DIV/0!</v>
      </c>
      <c r="AK143" s="137" t="e">
        <f t="shared" si="15"/>
        <v>#DIV/0!</v>
      </c>
      <c r="AL143" s="137" t="e">
        <f t="shared" si="15"/>
        <v>#DIV/0!</v>
      </c>
      <c r="AM143" s="137" t="e">
        <f t="shared" si="15"/>
        <v>#DIV/0!</v>
      </c>
      <c r="AN143" s="137" t="e">
        <f t="shared" si="15"/>
        <v>#DIV/0!</v>
      </c>
      <c r="AO143" s="9" t="e">
        <f t="shared" si="15"/>
        <v>#DIV/0!</v>
      </c>
      <c r="AP143" s="137" t="e">
        <f t="shared" si="15"/>
        <v>#DIV/0!</v>
      </c>
      <c r="AQ143" s="137" t="e">
        <f t="shared" si="15"/>
        <v>#DIV/0!</v>
      </c>
      <c r="AR143" s="137" t="e">
        <f t="shared" si="15"/>
        <v>#DIV/0!</v>
      </c>
      <c r="AS143" s="137" t="e">
        <f t="shared" si="15"/>
        <v>#DIV/0!</v>
      </c>
      <c r="AT143" s="9" t="e">
        <f t="shared" si="15"/>
        <v>#DIV/0!</v>
      </c>
      <c r="AU143" s="137" t="e">
        <f t="shared" si="15"/>
        <v>#DIV/0!</v>
      </c>
      <c r="AV143" s="137" t="e">
        <f t="shared" si="15"/>
        <v>#DIV/0!</v>
      </c>
      <c r="AW143" s="137" t="e">
        <f t="shared" si="15"/>
        <v>#DIV/0!</v>
      </c>
      <c r="AX143" s="137" t="e">
        <f t="shared" si="15"/>
        <v>#DIV/0!</v>
      </c>
      <c r="AY143" s="106" t="e">
        <f t="shared" si="15"/>
        <v>#DIV/0!</v>
      </c>
    </row>
    <row r="144" spans="1:51">
      <c r="A144" s="128" t="s">
        <v>35</v>
      </c>
      <c r="B144" s="106" t="e">
        <f t="shared" ref="B144:AB144" si="16">B6/B$137</f>
        <v>#DIV/0!</v>
      </c>
      <c r="C144" s="106" t="e">
        <f t="shared" si="16"/>
        <v>#DIV/0!</v>
      </c>
      <c r="D144" s="106" t="e">
        <f t="shared" si="16"/>
        <v>#DIV/0!</v>
      </c>
      <c r="E144" s="106" t="e">
        <f t="shared" si="16"/>
        <v>#DIV/0!</v>
      </c>
      <c r="F144" s="9" t="e">
        <f t="shared" si="16"/>
        <v>#DIV/0!</v>
      </c>
      <c r="G144" s="106" t="e">
        <f t="shared" si="16"/>
        <v>#DIV/0!</v>
      </c>
      <c r="H144" s="106" t="e">
        <f t="shared" si="16"/>
        <v>#DIV/0!</v>
      </c>
      <c r="I144" s="106" t="e">
        <f t="shared" si="16"/>
        <v>#DIV/0!</v>
      </c>
      <c r="J144" s="106" t="e">
        <f t="shared" si="16"/>
        <v>#DIV/0!</v>
      </c>
      <c r="K144" s="9" t="e">
        <f t="shared" si="16"/>
        <v>#DIV/0!</v>
      </c>
      <c r="L144" s="106" t="e">
        <f t="shared" si="16"/>
        <v>#DIV/0!</v>
      </c>
      <c r="M144" s="106" t="e">
        <f t="shared" si="16"/>
        <v>#DIV/0!</v>
      </c>
      <c r="N144" s="106" t="e">
        <f t="shared" si="16"/>
        <v>#DIV/0!</v>
      </c>
      <c r="O144" s="106" t="e">
        <f t="shared" si="16"/>
        <v>#DIV/0!</v>
      </c>
      <c r="P144" s="9" t="e">
        <f t="shared" si="16"/>
        <v>#DIV/0!</v>
      </c>
      <c r="Q144" s="137" t="e">
        <f t="shared" si="16"/>
        <v>#DIV/0!</v>
      </c>
      <c r="R144" s="137" t="e">
        <f t="shared" si="16"/>
        <v>#DIV/0!</v>
      </c>
      <c r="S144" s="137" t="e">
        <f t="shared" si="16"/>
        <v>#DIV/0!</v>
      </c>
      <c r="T144" s="137" t="e">
        <f t="shared" si="16"/>
        <v>#DIV/0!</v>
      </c>
      <c r="U144" s="9" t="e">
        <f t="shared" si="16"/>
        <v>#DIV/0!</v>
      </c>
      <c r="V144" s="137" t="e">
        <f t="shared" si="16"/>
        <v>#DIV/0!</v>
      </c>
      <c r="W144" s="137" t="e">
        <f t="shared" si="16"/>
        <v>#DIV/0!</v>
      </c>
      <c r="X144" s="137" t="e">
        <f t="shared" si="16"/>
        <v>#DIV/0!</v>
      </c>
      <c r="Y144" s="137" t="e">
        <f t="shared" si="16"/>
        <v>#DIV/0!</v>
      </c>
      <c r="Z144" s="9" t="e">
        <f t="shared" si="16"/>
        <v>#DIV/0!</v>
      </c>
      <c r="AA144" s="137" t="e">
        <f t="shared" si="16"/>
        <v>#DIV/0!</v>
      </c>
      <c r="AB144" s="137" t="e">
        <f t="shared" si="16"/>
        <v>#DIV/0!</v>
      </c>
      <c r="AC144" s="137" t="e">
        <f t="shared" ref="AC144:AY144" si="17">AC6/AC$137</f>
        <v>#DIV/0!</v>
      </c>
      <c r="AD144" s="137" t="e">
        <f t="shared" si="17"/>
        <v>#DIV/0!</v>
      </c>
      <c r="AE144" s="9" t="e">
        <f t="shared" si="17"/>
        <v>#DIV/0!</v>
      </c>
      <c r="AF144" s="137" t="e">
        <f t="shared" si="17"/>
        <v>#DIV/0!</v>
      </c>
      <c r="AG144" s="137" t="e">
        <f t="shared" si="17"/>
        <v>#DIV/0!</v>
      </c>
      <c r="AH144" s="137" t="e">
        <f t="shared" si="17"/>
        <v>#DIV/0!</v>
      </c>
      <c r="AI144" s="137" t="e">
        <f t="shared" si="17"/>
        <v>#DIV/0!</v>
      </c>
      <c r="AJ144" s="9" t="e">
        <f t="shared" si="17"/>
        <v>#DIV/0!</v>
      </c>
      <c r="AK144" s="137" t="e">
        <f t="shared" si="17"/>
        <v>#DIV/0!</v>
      </c>
      <c r="AL144" s="137" t="e">
        <f t="shared" si="17"/>
        <v>#DIV/0!</v>
      </c>
      <c r="AM144" s="137" t="e">
        <f t="shared" si="17"/>
        <v>#DIV/0!</v>
      </c>
      <c r="AN144" s="137" t="e">
        <f t="shared" si="17"/>
        <v>#DIV/0!</v>
      </c>
      <c r="AO144" s="9" t="e">
        <f t="shared" si="17"/>
        <v>#DIV/0!</v>
      </c>
      <c r="AP144" s="137" t="e">
        <f t="shared" si="17"/>
        <v>#DIV/0!</v>
      </c>
      <c r="AQ144" s="137" t="e">
        <f t="shared" si="17"/>
        <v>#DIV/0!</v>
      </c>
      <c r="AR144" s="137" t="e">
        <f t="shared" si="17"/>
        <v>#DIV/0!</v>
      </c>
      <c r="AS144" s="137" t="e">
        <f t="shared" si="17"/>
        <v>#DIV/0!</v>
      </c>
      <c r="AT144" s="9" t="e">
        <f t="shared" si="17"/>
        <v>#DIV/0!</v>
      </c>
      <c r="AU144" s="137" t="e">
        <f t="shared" si="17"/>
        <v>#DIV/0!</v>
      </c>
      <c r="AV144" s="137" t="e">
        <f t="shared" si="17"/>
        <v>#DIV/0!</v>
      </c>
      <c r="AW144" s="137" t="e">
        <f t="shared" si="17"/>
        <v>#DIV/0!</v>
      </c>
      <c r="AX144" s="137" t="e">
        <f t="shared" si="17"/>
        <v>#DIV/0!</v>
      </c>
      <c r="AY144" s="106" t="e">
        <f t="shared" si="17"/>
        <v>#DIV/0!</v>
      </c>
    </row>
    <row r="145" spans="1:51">
      <c r="A145" s="128" t="s">
        <v>37</v>
      </c>
      <c r="B145" s="106" t="e">
        <f t="shared" ref="B145:AB145" si="18">B7/B$137</f>
        <v>#DIV/0!</v>
      </c>
      <c r="C145" s="106" t="e">
        <f t="shared" si="18"/>
        <v>#DIV/0!</v>
      </c>
      <c r="D145" s="106" t="e">
        <f t="shared" si="18"/>
        <v>#DIV/0!</v>
      </c>
      <c r="E145" s="106" t="e">
        <f t="shared" si="18"/>
        <v>#DIV/0!</v>
      </c>
      <c r="F145" s="9" t="e">
        <f t="shared" si="18"/>
        <v>#DIV/0!</v>
      </c>
      <c r="G145" s="106" t="e">
        <f t="shared" si="18"/>
        <v>#DIV/0!</v>
      </c>
      <c r="H145" s="106" t="e">
        <f t="shared" si="18"/>
        <v>#DIV/0!</v>
      </c>
      <c r="I145" s="106" t="e">
        <f t="shared" si="18"/>
        <v>#DIV/0!</v>
      </c>
      <c r="J145" s="106" t="e">
        <f t="shared" si="18"/>
        <v>#DIV/0!</v>
      </c>
      <c r="K145" s="9" t="e">
        <f t="shared" si="18"/>
        <v>#DIV/0!</v>
      </c>
      <c r="L145" s="106" t="e">
        <f t="shared" si="18"/>
        <v>#DIV/0!</v>
      </c>
      <c r="M145" s="106" t="e">
        <f t="shared" si="18"/>
        <v>#DIV/0!</v>
      </c>
      <c r="N145" s="106" t="e">
        <f t="shared" si="18"/>
        <v>#DIV/0!</v>
      </c>
      <c r="O145" s="106" t="e">
        <f t="shared" si="18"/>
        <v>#DIV/0!</v>
      </c>
      <c r="P145" s="9" t="e">
        <f t="shared" si="18"/>
        <v>#DIV/0!</v>
      </c>
      <c r="Q145" s="137" t="e">
        <f t="shared" si="18"/>
        <v>#DIV/0!</v>
      </c>
      <c r="R145" s="137" t="e">
        <f t="shared" si="18"/>
        <v>#DIV/0!</v>
      </c>
      <c r="S145" s="137" t="e">
        <f t="shared" si="18"/>
        <v>#DIV/0!</v>
      </c>
      <c r="T145" s="137" t="e">
        <f t="shared" si="18"/>
        <v>#DIV/0!</v>
      </c>
      <c r="U145" s="9" t="e">
        <f t="shared" si="18"/>
        <v>#DIV/0!</v>
      </c>
      <c r="V145" s="137" t="e">
        <f t="shared" si="18"/>
        <v>#DIV/0!</v>
      </c>
      <c r="W145" s="137" t="e">
        <f t="shared" si="18"/>
        <v>#DIV/0!</v>
      </c>
      <c r="X145" s="137" t="e">
        <f t="shared" si="18"/>
        <v>#DIV/0!</v>
      </c>
      <c r="Y145" s="137" t="e">
        <f t="shared" si="18"/>
        <v>#DIV/0!</v>
      </c>
      <c r="Z145" s="9" t="e">
        <f t="shared" si="18"/>
        <v>#DIV/0!</v>
      </c>
      <c r="AA145" s="137" t="e">
        <f t="shared" si="18"/>
        <v>#DIV/0!</v>
      </c>
      <c r="AB145" s="137" t="e">
        <f t="shared" si="18"/>
        <v>#DIV/0!</v>
      </c>
      <c r="AC145" s="137" t="e">
        <f t="shared" ref="AC145:AY145" si="19">AC7/AC$137</f>
        <v>#DIV/0!</v>
      </c>
      <c r="AD145" s="137" t="e">
        <f t="shared" si="19"/>
        <v>#DIV/0!</v>
      </c>
      <c r="AE145" s="9" t="e">
        <f t="shared" si="19"/>
        <v>#DIV/0!</v>
      </c>
      <c r="AF145" s="137" t="e">
        <f t="shared" si="19"/>
        <v>#DIV/0!</v>
      </c>
      <c r="AG145" s="137" t="e">
        <f t="shared" si="19"/>
        <v>#DIV/0!</v>
      </c>
      <c r="AH145" s="137" t="e">
        <f t="shared" si="19"/>
        <v>#DIV/0!</v>
      </c>
      <c r="AI145" s="137" t="e">
        <f t="shared" si="19"/>
        <v>#DIV/0!</v>
      </c>
      <c r="AJ145" s="9" t="e">
        <f t="shared" si="19"/>
        <v>#DIV/0!</v>
      </c>
      <c r="AK145" s="137" t="e">
        <f t="shared" si="19"/>
        <v>#DIV/0!</v>
      </c>
      <c r="AL145" s="137" t="e">
        <f t="shared" si="19"/>
        <v>#DIV/0!</v>
      </c>
      <c r="AM145" s="137" t="e">
        <f t="shared" si="19"/>
        <v>#DIV/0!</v>
      </c>
      <c r="AN145" s="137" t="e">
        <f t="shared" si="19"/>
        <v>#DIV/0!</v>
      </c>
      <c r="AO145" s="9" t="e">
        <f t="shared" si="19"/>
        <v>#DIV/0!</v>
      </c>
      <c r="AP145" s="137" t="e">
        <f t="shared" si="19"/>
        <v>#DIV/0!</v>
      </c>
      <c r="AQ145" s="137" t="e">
        <f t="shared" si="19"/>
        <v>#DIV/0!</v>
      </c>
      <c r="AR145" s="137" t="e">
        <f t="shared" si="19"/>
        <v>#DIV/0!</v>
      </c>
      <c r="AS145" s="137" t="e">
        <f t="shared" si="19"/>
        <v>#DIV/0!</v>
      </c>
      <c r="AT145" s="9" t="e">
        <f t="shared" si="19"/>
        <v>#DIV/0!</v>
      </c>
      <c r="AU145" s="137" t="e">
        <f t="shared" si="19"/>
        <v>#DIV/0!</v>
      </c>
      <c r="AV145" s="137" t="e">
        <f t="shared" si="19"/>
        <v>#DIV/0!</v>
      </c>
      <c r="AW145" s="137" t="e">
        <f t="shared" si="19"/>
        <v>#DIV/0!</v>
      </c>
      <c r="AX145" s="137" t="e">
        <f t="shared" si="19"/>
        <v>#DIV/0!</v>
      </c>
      <c r="AY145" s="106" t="e">
        <f t="shared" si="19"/>
        <v>#DIV/0!</v>
      </c>
    </row>
    <row r="146" spans="1:51">
      <c r="A146" s="128" t="s">
        <v>40</v>
      </c>
      <c r="B146" s="106" t="e">
        <f t="shared" ref="B146:AB146" si="20">B8/B$137</f>
        <v>#DIV/0!</v>
      </c>
      <c r="C146" s="106" t="e">
        <f t="shared" si="20"/>
        <v>#DIV/0!</v>
      </c>
      <c r="D146" s="106" t="e">
        <f t="shared" si="20"/>
        <v>#DIV/0!</v>
      </c>
      <c r="E146" s="106" t="e">
        <f t="shared" si="20"/>
        <v>#DIV/0!</v>
      </c>
      <c r="F146" s="9" t="e">
        <f t="shared" si="20"/>
        <v>#DIV/0!</v>
      </c>
      <c r="G146" s="106" t="e">
        <f t="shared" si="20"/>
        <v>#DIV/0!</v>
      </c>
      <c r="H146" s="106" t="e">
        <f t="shared" si="20"/>
        <v>#DIV/0!</v>
      </c>
      <c r="I146" s="106" t="e">
        <f t="shared" si="20"/>
        <v>#DIV/0!</v>
      </c>
      <c r="J146" s="106" t="e">
        <f t="shared" si="20"/>
        <v>#DIV/0!</v>
      </c>
      <c r="K146" s="9" t="e">
        <f t="shared" si="20"/>
        <v>#DIV/0!</v>
      </c>
      <c r="L146" s="106" t="e">
        <f t="shared" si="20"/>
        <v>#DIV/0!</v>
      </c>
      <c r="M146" s="106" t="e">
        <f t="shared" si="20"/>
        <v>#DIV/0!</v>
      </c>
      <c r="N146" s="106" t="e">
        <f t="shared" si="20"/>
        <v>#DIV/0!</v>
      </c>
      <c r="O146" s="106" t="e">
        <f t="shared" si="20"/>
        <v>#DIV/0!</v>
      </c>
      <c r="P146" s="9" t="e">
        <f t="shared" si="20"/>
        <v>#DIV/0!</v>
      </c>
      <c r="Q146" s="137" t="e">
        <f t="shared" si="20"/>
        <v>#DIV/0!</v>
      </c>
      <c r="R146" s="137" t="e">
        <f t="shared" si="20"/>
        <v>#DIV/0!</v>
      </c>
      <c r="S146" s="137" t="e">
        <f t="shared" si="20"/>
        <v>#DIV/0!</v>
      </c>
      <c r="T146" s="137" t="e">
        <f t="shared" si="20"/>
        <v>#DIV/0!</v>
      </c>
      <c r="U146" s="9" t="e">
        <f t="shared" si="20"/>
        <v>#DIV/0!</v>
      </c>
      <c r="V146" s="137" t="e">
        <f t="shared" si="20"/>
        <v>#DIV/0!</v>
      </c>
      <c r="W146" s="137" t="e">
        <f t="shared" si="20"/>
        <v>#DIV/0!</v>
      </c>
      <c r="X146" s="137" t="e">
        <f t="shared" si="20"/>
        <v>#DIV/0!</v>
      </c>
      <c r="Y146" s="137" t="e">
        <f t="shared" si="20"/>
        <v>#DIV/0!</v>
      </c>
      <c r="Z146" s="9" t="e">
        <f t="shared" si="20"/>
        <v>#DIV/0!</v>
      </c>
      <c r="AA146" s="137" t="e">
        <f t="shared" si="20"/>
        <v>#DIV/0!</v>
      </c>
      <c r="AB146" s="137" t="e">
        <f t="shared" si="20"/>
        <v>#DIV/0!</v>
      </c>
      <c r="AC146" s="137" t="e">
        <f t="shared" ref="AC146:AY146" si="21">AC8/AC$137</f>
        <v>#DIV/0!</v>
      </c>
      <c r="AD146" s="137" t="e">
        <f t="shared" si="21"/>
        <v>#DIV/0!</v>
      </c>
      <c r="AE146" s="9" t="e">
        <f t="shared" si="21"/>
        <v>#DIV/0!</v>
      </c>
      <c r="AF146" s="137" t="e">
        <f t="shared" si="21"/>
        <v>#DIV/0!</v>
      </c>
      <c r="AG146" s="137" t="e">
        <f t="shared" si="21"/>
        <v>#DIV/0!</v>
      </c>
      <c r="AH146" s="137" t="e">
        <f t="shared" si="21"/>
        <v>#DIV/0!</v>
      </c>
      <c r="AI146" s="137" t="e">
        <f t="shared" si="21"/>
        <v>#DIV/0!</v>
      </c>
      <c r="AJ146" s="9" t="e">
        <f t="shared" si="21"/>
        <v>#DIV/0!</v>
      </c>
      <c r="AK146" s="137" t="e">
        <f t="shared" si="21"/>
        <v>#DIV/0!</v>
      </c>
      <c r="AL146" s="137" t="e">
        <f t="shared" si="21"/>
        <v>#DIV/0!</v>
      </c>
      <c r="AM146" s="137" t="e">
        <f t="shared" si="21"/>
        <v>#DIV/0!</v>
      </c>
      <c r="AN146" s="137" t="e">
        <f t="shared" si="21"/>
        <v>#DIV/0!</v>
      </c>
      <c r="AO146" s="9" t="e">
        <f t="shared" si="21"/>
        <v>#DIV/0!</v>
      </c>
      <c r="AP146" s="137" t="e">
        <f t="shared" si="21"/>
        <v>#DIV/0!</v>
      </c>
      <c r="AQ146" s="137" t="e">
        <f t="shared" si="21"/>
        <v>#DIV/0!</v>
      </c>
      <c r="AR146" s="137" t="e">
        <f t="shared" si="21"/>
        <v>#DIV/0!</v>
      </c>
      <c r="AS146" s="137" t="e">
        <f t="shared" si="21"/>
        <v>#DIV/0!</v>
      </c>
      <c r="AT146" s="9" t="e">
        <f t="shared" si="21"/>
        <v>#DIV/0!</v>
      </c>
      <c r="AU146" s="137" t="e">
        <f t="shared" si="21"/>
        <v>#DIV/0!</v>
      </c>
      <c r="AV146" s="137" t="e">
        <f t="shared" si="21"/>
        <v>#DIV/0!</v>
      </c>
      <c r="AW146" s="137" t="e">
        <f t="shared" si="21"/>
        <v>#DIV/0!</v>
      </c>
      <c r="AX146" s="137" t="e">
        <f t="shared" si="21"/>
        <v>#DIV/0!</v>
      </c>
      <c r="AY146" s="106" t="e">
        <f t="shared" si="21"/>
        <v>#DIV/0!</v>
      </c>
    </row>
    <row r="147" spans="1:51">
      <c r="A147" s="128" t="s">
        <v>43</v>
      </c>
      <c r="B147" s="106" t="e">
        <f t="shared" ref="B147:AB147" si="22">B9/B$137</f>
        <v>#DIV/0!</v>
      </c>
      <c r="C147" s="106" t="e">
        <f t="shared" si="22"/>
        <v>#DIV/0!</v>
      </c>
      <c r="D147" s="106" t="e">
        <f t="shared" si="22"/>
        <v>#DIV/0!</v>
      </c>
      <c r="E147" s="106" t="e">
        <f t="shared" si="22"/>
        <v>#DIV/0!</v>
      </c>
      <c r="F147" s="9" t="e">
        <f t="shared" si="22"/>
        <v>#DIV/0!</v>
      </c>
      <c r="G147" s="106" t="e">
        <f t="shared" si="22"/>
        <v>#DIV/0!</v>
      </c>
      <c r="H147" s="106" t="e">
        <f t="shared" si="22"/>
        <v>#DIV/0!</v>
      </c>
      <c r="I147" s="106" t="e">
        <f t="shared" si="22"/>
        <v>#DIV/0!</v>
      </c>
      <c r="J147" s="106" t="e">
        <f t="shared" si="22"/>
        <v>#DIV/0!</v>
      </c>
      <c r="K147" s="9" t="e">
        <f t="shared" si="22"/>
        <v>#DIV/0!</v>
      </c>
      <c r="L147" s="106" t="e">
        <f t="shared" si="22"/>
        <v>#DIV/0!</v>
      </c>
      <c r="M147" s="106" t="e">
        <f t="shared" si="22"/>
        <v>#DIV/0!</v>
      </c>
      <c r="N147" s="106" t="e">
        <f t="shared" si="22"/>
        <v>#DIV/0!</v>
      </c>
      <c r="O147" s="106" t="e">
        <f t="shared" si="22"/>
        <v>#DIV/0!</v>
      </c>
      <c r="P147" s="9" t="e">
        <f t="shared" si="22"/>
        <v>#DIV/0!</v>
      </c>
      <c r="Q147" s="137" t="e">
        <f t="shared" si="22"/>
        <v>#DIV/0!</v>
      </c>
      <c r="R147" s="137" t="e">
        <f t="shared" si="22"/>
        <v>#DIV/0!</v>
      </c>
      <c r="S147" s="137" t="e">
        <f t="shared" si="22"/>
        <v>#DIV/0!</v>
      </c>
      <c r="T147" s="137" t="e">
        <f t="shared" si="22"/>
        <v>#DIV/0!</v>
      </c>
      <c r="U147" s="9" t="e">
        <f t="shared" si="22"/>
        <v>#DIV/0!</v>
      </c>
      <c r="V147" s="137" t="e">
        <f t="shared" si="22"/>
        <v>#DIV/0!</v>
      </c>
      <c r="W147" s="137" t="e">
        <f t="shared" si="22"/>
        <v>#DIV/0!</v>
      </c>
      <c r="X147" s="137" t="e">
        <f t="shared" si="22"/>
        <v>#DIV/0!</v>
      </c>
      <c r="Y147" s="137" t="e">
        <f t="shared" si="22"/>
        <v>#DIV/0!</v>
      </c>
      <c r="Z147" s="9" t="e">
        <f t="shared" si="22"/>
        <v>#DIV/0!</v>
      </c>
      <c r="AA147" s="137" t="e">
        <f t="shared" si="22"/>
        <v>#DIV/0!</v>
      </c>
      <c r="AB147" s="137" t="e">
        <f t="shared" si="22"/>
        <v>#DIV/0!</v>
      </c>
      <c r="AC147" s="137" t="e">
        <f t="shared" ref="AC147:AY147" si="23">AC9/AC$137</f>
        <v>#DIV/0!</v>
      </c>
      <c r="AD147" s="137" t="e">
        <f t="shared" si="23"/>
        <v>#DIV/0!</v>
      </c>
      <c r="AE147" s="9" t="e">
        <f t="shared" si="23"/>
        <v>#DIV/0!</v>
      </c>
      <c r="AF147" s="137" t="e">
        <f t="shared" si="23"/>
        <v>#DIV/0!</v>
      </c>
      <c r="AG147" s="137" t="e">
        <f t="shared" si="23"/>
        <v>#DIV/0!</v>
      </c>
      <c r="AH147" s="137" t="e">
        <f t="shared" si="23"/>
        <v>#DIV/0!</v>
      </c>
      <c r="AI147" s="137" t="e">
        <f t="shared" si="23"/>
        <v>#DIV/0!</v>
      </c>
      <c r="AJ147" s="9" t="e">
        <f t="shared" si="23"/>
        <v>#DIV/0!</v>
      </c>
      <c r="AK147" s="137" t="e">
        <f t="shared" si="23"/>
        <v>#DIV/0!</v>
      </c>
      <c r="AL147" s="137" t="e">
        <f t="shared" si="23"/>
        <v>#DIV/0!</v>
      </c>
      <c r="AM147" s="137" t="e">
        <f t="shared" si="23"/>
        <v>#DIV/0!</v>
      </c>
      <c r="AN147" s="137" t="e">
        <f t="shared" si="23"/>
        <v>#DIV/0!</v>
      </c>
      <c r="AO147" s="9" t="e">
        <f t="shared" si="23"/>
        <v>#DIV/0!</v>
      </c>
      <c r="AP147" s="137" t="e">
        <f t="shared" si="23"/>
        <v>#DIV/0!</v>
      </c>
      <c r="AQ147" s="137" t="e">
        <f t="shared" si="23"/>
        <v>#DIV/0!</v>
      </c>
      <c r="AR147" s="137" t="e">
        <f t="shared" si="23"/>
        <v>#DIV/0!</v>
      </c>
      <c r="AS147" s="137" t="e">
        <f t="shared" si="23"/>
        <v>#DIV/0!</v>
      </c>
      <c r="AT147" s="9" t="e">
        <f t="shared" si="23"/>
        <v>#DIV/0!</v>
      </c>
      <c r="AU147" s="137" t="e">
        <f t="shared" si="23"/>
        <v>#DIV/0!</v>
      </c>
      <c r="AV147" s="137" t="e">
        <f t="shared" si="23"/>
        <v>#DIV/0!</v>
      </c>
      <c r="AW147" s="137" t="e">
        <f t="shared" si="23"/>
        <v>#DIV/0!</v>
      </c>
      <c r="AX147" s="137" t="e">
        <f t="shared" si="23"/>
        <v>#DIV/0!</v>
      </c>
      <c r="AY147" s="106" t="e">
        <f t="shared" si="23"/>
        <v>#DIV/0!</v>
      </c>
    </row>
    <row r="148" spans="1:51">
      <c r="A148" s="128" t="s">
        <v>45</v>
      </c>
      <c r="B148" s="106" t="e">
        <f t="shared" ref="B148:AB148" si="24">B10/B$137</f>
        <v>#DIV/0!</v>
      </c>
      <c r="C148" s="106" t="e">
        <f t="shared" si="24"/>
        <v>#DIV/0!</v>
      </c>
      <c r="D148" s="106" t="e">
        <f t="shared" si="24"/>
        <v>#DIV/0!</v>
      </c>
      <c r="E148" s="106" t="e">
        <f t="shared" si="24"/>
        <v>#DIV/0!</v>
      </c>
      <c r="F148" s="9" t="e">
        <f t="shared" si="24"/>
        <v>#DIV/0!</v>
      </c>
      <c r="G148" s="106" t="e">
        <f t="shared" si="24"/>
        <v>#DIV/0!</v>
      </c>
      <c r="H148" s="106" t="e">
        <f t="shared" si="24"/>
        <v>#DIV/0!</v>
      </c>
      <c r="I148" s="106" t="e">
        <f t="shared" si="24"/>
        <v>#DIV/0!</v>
      </c>
      <c r="J148" s="106" t="e">
        <f t="shared" si="24"/>
        <v>#DIV/0!</v>
      </c>
      <c r="K148" s="9" t="e">
        <f t="shared" si="24"/>
        <v>#DIV/0!</v>
      </c>
      <c r="L148" s="106" t="e">
        <f t="shared" si="24"/>
        <v>#DIV/0!</v>
      </c>
      <c r="M148" s="106" t="e">
        <f t="shared" si="24"/>
        <v>#DIV/0!</v>
      </c>
      <c r="N148" s="106" t="e">
        <f t="shared" si="24"/>
        <v>#DIV/0!</v>
      </c>
      <c r="O148" s="106" t="e">
        <f t="shared" si="24"/>
        <v>#DIV/0!</v>
      </c>
      <c r="P148" s="9" t="e">
        <f t="shared" si="24"/>
        <v>#DIV/0!</v>
      </c>
      <c r="Q148" s="137" t="e">
        <f t="shared" si="24"/>
        <v>#DIV/0!</v>
      </c>
      <c r="R148" s="137" t="e">
        <f t="shared" si="24"/>
        <v>#DIV/0!</v>
      </c>
      <c r="S148" s="137" t="e">
        <f t="shared" si="24"/>
        <v>#DIV/0!</v>
      </c>
      <c r="T148" s="137" t="e">
        <f t="shared" si="24"/>
        <v>#DIV/0!</v>
      </c>
      <c r="U148" s="9" t="e">
        <f t="shared" si="24"/>
        <v>#DIV/0!</v>
      </c>
      <c r="V148" s="137" t="e">
        <f t="shared" si="24"/>
        <v>#DIV/0!</v>
      </c>
      <c r="W148" s="137" t="e">
        <f t="shared" si="24"/>
        <v>#DIV/0!</v>
      </c>
      <c r="X148" s="137" t="e">
        <f t="shared" si="24"/>
        <v>#DIV/0!</v>
      </c>
      <c r="Y148" s="137" t="e">
        <f t="shared" si="24"/>
        <v>#DIV/0!</v>
      </c>
      <c r="Z148" s="9" t="e">
        <f t="shared" si="24"/>
        <v>#DIV/0!</v>
      </c>
      <c r="AA148" s="137" t="e">
        <f t="shared" si="24"/>
        <v>#DIV/0!</v>
      </c>
      <c r="AB148" s="137" t="e">
        <f t="shared" si="24"/>
        <v>#DIV/0!</v>
      </c>
      <c r="AC148" s="137" t="e">
        <f t="shared" ref="AC148:AY148" si="25">AC10/AC$137</f>
        <v>#DIV/0!</v>
      </c>
      <c r="AD148" s="137" t="e">
        <f t="shared" si="25"/>
        <v>#DIV/0!</v>
      </c>
      <c r="AE148" s="9" t="e">
        <f t="shared" si="25"/>
        <v>#DIV/0!</v>
      </c>
      <c r="AF148" s="137" t="e">
        <f t="shared" si="25"/>
        <v>#DIV/0!</v>
      </c>
      <c r="AG148" s="137" t="e">
        <f t="shared" si="25"/>
        <v>#DIV/0!</v>
      </c>
      <c r="AH148" s="137" t="e">
        <f t="shared" si="25"/>
        <v>#DIV/0!</v>
      </c>
      <c r="AI148" s="137" t="e">
        <f t="shared" si="25"/>
        <v>#DIV/0!</v>
      </c>
      <c r="AJ148" s="9" t="e">
        <f t="shared" si="25"/>
        <v>#DIV/0!</v>
      </c>
      <c r="AK148" s="137" t="e">
        <f t="shared" si="25"/>
        <v>#DIV/0!</v>
      </c>
      <c r="AL148" s="137" t="e">
        <f t="shared" si="25"/>
        <v>#DIV/0!</v>
      </c>
      <c r="AM148" s="137" t="e">
        <f t="shared" si="25"/>
        <v>#DIV/0!</v>
      </c>
      <c r="AN148" s="137" t="e">
        <f t="shared" si="25"/>
        <v>#DIV/0!</v>
      </c>
      <c r="AO148" s="9" t="e">
        <f t="shared" si="25"/>
        <v>#DIV/0!</v>
      </c>
      <c r="AP148" s="137" t="e">
        <f t="shared" si="25"/>
        <v>#DIV/0!</v>
      </c>
      <c r="AQ148" s="137" t="e">
        <f t="shared" si="25"/>
        <v>#DIV/0!</v>
      </c>
      <c r="AR148" s="137" t="e">
        <f t="shared" si="25"/>
        <v>#DIV/0!</v>
      </c>
      <c r="AS148" s="137" t="e">
        <f t="shared" si="25"/>
        <v>#DIV/0!</v>
      </c>
      <c r="AT148" s="9" t="e">
        <f t="shared" si="25"/>
        <v>#DIV/0!</v>
      </c>
      <c r="AU148" s="137" t="e">
        <f t="shared" si="25"/>
        <v>#DIV/0!</v>
      </c>
      <c r="AV148" s="137" t="e">
        <f t="shared" si="25"/>
        <v>#DIV/0!</v>
      </c>
      <c r="AW148" s="137" t="e">
        <f t="shared" si="25"/>
        <v>#DIV/0!</v>
      </c>
      <c r="AX148" s="137" t="e">
        <f t="shared" si="25"/>
        <v>#DIV/0!</v>
      </c>
      <c r="AY148" s="106" t="e">
        <f t="shared" si="25"/>
        <v>#DIV/0!</v>
      </c>
    </row>
    <row r="149" spans="1:51">
      <c r="A149" s="128" t="s">
        <v>47</v>
      </c>
      <c r="B149" s="106" t="e">
        <f t="shared" ref="B149:AB149" si="26">B11/B$137</f>
        <v>#DIV/0!</v>
      </c>
      <c r="C149" s="106" t="e">
        <f t="shared" si="26"/>
        <v>#DIV/0!</v>
      </c>
      <c r="D149" s="106" t="e">
        <f t="shared" si="26"/>
        <v>#DIV/0!</v>
      </c>
      <c r="E149" s="106" t="e">
        <f t="shared" si="26"/>
        <v>#DIV/0!</v>
      </c>
      <c r="F149" s="9" t="e">
        <f t="shared" si="26"/>
        <v>#DIV/0!</v>
      </c>
      <c r="G149" s="106" t="e">
        <f t="shared" si="26"/>
        <v>#DIV/0!</v>
      </c>
      <c r="H149" s="106" t="e">
        <f t="shared" si="26"/>
        <v>#DIV/0!</v>
      </c>
      <c r="I149" s="106" t="e">
        <f t="shared" si="26"/>
        <v>#DIV/0!</v>
      </c>
      <c r="J149" s="106" t="e">
        <f t="shared" si="26"/>
        <v>#DIV/0!</v>
      </c>
      <c r="K149" s="9" t="e">
        <f t="shared" si="26"/>
        <v>#DIV/0!</v>
      </c>
      <c r="L149" s="106" t="e">
        <f t="shared" si="26"/>
        <v>#DIV/0!</v>
      </c>
      <c r="M149" s="106" t="e">
        <f t="shared" si="26"/>
        <v>#DIV/0!</v>
      </c>
      <c r="N149" s="106" t="e">
        <f t="shared" si="26"/>
        <v>#DIV/0!</v>
      </c>
      <c r="O149" s="106" t="e">
        <f t="shared" si="26"/>
        <v>#DIV/0!</v>
      </c>
      <c r="P149" s="9" t="e">
        <f t="shared" si="26"/>
        <v>#DIV/0!</v>
      </c>
      <c r="Q149" s="137" t="e">
        <f t="shared" si="26"/>
        <v>#DIV/0!</v>
      </c>
      <c r="R149" s="137" t="e">
        <f t="shared" si="26"/>
        <v>#DIV/0!</v>
      </c>
      <c r="S149" s="137" t="e">
        <f t="shared" si="26"/>
        <v>#DIV/0!</v>
      </c>
      <c r="T149" s="137" t="e">
        <f t="shared" si="26"/>
        <v>#DIV/0!</v>
      </c>
      <c r="U149" s="9" t="e">
        <f t="shared" si="26"/>
        <v>#DIV/0!</v>
      </c>
      <c r="V149" s="137" t="e">
        <f t="shared" si="26"/>
        <v>#DIV/0!</v>
      </c>
      <c r="W149" s="137" t="e">
        <f t="shared" si="26"/>
        <v>#DIV/0!</v>
      </c>
      <c r="X149" s="137" t="e">
        <f t="shared" si="26"/>
        <v>#DIV/0!</v>
      </c>
      <c r="Y149" s="137" t="e">
        <f t="shared" si="26"/>
        <v>#DIV/0!</v>
      </c>
      <c r="Z149" s="9" t="e">
        <f t="shared" si="26"/>
        <v>#DIV/0!</v>
      </c>
      <c r="AA149" s="137" t="e">
        <f t="shared" si="26"/>
        <v>#DIV/0!</v>
      </c>
      <c r="AB149" s="137" t="e">
        <f t="shared" si="26"/>
        <v>#DIV/0!</v>
      </c>
      <c r="AC149" s="137" t="e">
        <f t="shared" ref="AC149:AY149" si="27">AC11/AC$137</f>
        <v>#DIV/0!</v>
      </c>
      <c r="AD149" s="137" t="e">
        <f t="shared" si="27"/>
        <v>#DIV/0!</v>
      </c>
      <c r="AE149" s="9" t="e">
        <f t="shared" si="27"/>
        <v>#DIV/0!</v>
      </c>
      <c r="AF149" s="137" t="e">
        <f t="shared" si="27"/>
        <v>#DIV/0!</v>
      </c>
      <c r="AG149" s="137" t="e">
        <f t="shared" si="27"/>
        <v>#DIV/0!</v>
      </c>
      <c r="AH149" s="137" t="e">
        <f t="shared" si="27"/>
        <v>#DIV/0!</v>
      </c>
      <c r="AI149" s="137" t="e">
        <f t="shared" si="27"/>
        <v>#DIV/0!</v>
      </c>
      <c r="AJ149" s="9" t="e">
        <f t="shared" si="27"/>
        <v>#DIV/0!</v>
      </c>
      <c r="AK149" s="137" t="e">
        <f t="shared" si="27"/>
        <v>#DIV/0!</v>
      </c>
      <c r="AL149" s="137" t="e">
        <f t="shared" si="27"/>
        <v>#DIV/0!</v>
      </c>
      <c r="AM149" s="137" t="e">
        <f t="shared" si="27"/>
        <v>#DIV/0!</v>
      </c>
      <c r="AN149" s="137" t="e">
        <f t="shared" si="27"/>
        <v>#DIV/0!</v>
      </c>
      <c r="AO149" s="9" t="e">
        <f t="shared" si="27"/>
        <v>#DIV/0!</v>
      </c>
      <c r="AP149" s="137" t="e">
        <f t="shared" si="27"/>
        <v>#DIV/0!</v>
      </c>
      <c r="AQ149" s="137" t="e">
        <f t="shared" si="27"/>
        <v>#DIV/0!</v>
      </c>
      <c r="AR149" s="137" t="e">
        <f t="shared" si="27"/>
        <v>#DIV/0!</v>
      </c>
      <c r="AS149" s="137" t="e">
        <f t="shared" si="27"/>
        <v>#DIV/0!</v>
      </c>
      <c r="AT149" s="9" t="e">
        <f t="shared" si="27"/>
        <v>#DIV/0!</v>
      </c>
      <c r="AU149" s="137" t="e">
        <f t="shared" si="27"/>
        <v>#DIV/0!</v>
      </c>
      <c r="AV149" s="137" t="e">
        <f t="shared" si="27"/>
        <v>#DIV/0!</v>
      </c>
      <c r="AW149" s="137" t="e">
        <f t="shared" si="27"/>
        <v>#DIV/0!</v>
      </c>
      <c r="AX149" s="137" t="e">
        <f t="shared" si="27"/>
        <v>#DIV/0!</v>
      </c>
      <c r="AY149" s="106" t="e">
        <f t="shared" si="27"/>
        <v>#DIV/0!</v>
      </c>
    </row>
    <row r="150" spans="1:51">
      <c r="A150" s="128" t="s">
        <v>49</v>
      </c>
      <c r="B150" s="106" t="e">
        <f t="shared" ref="B150:AB150" si="28">B12/B$137</f>
        <v>#DIV/0!</v>
      </c>
      <c r="C150" s="106" t="e">
        <f t="shared" si="28"/>
        <v>#DIV/0!</v>
      </c>
      <c r="D150" s="106" t="e">
        <f t="shared" si="28"/>
        <v>#DIV/0!</v>
      </c>
      <c r="E150" s="106" t="e">
        <f t="shared" si="28"/>
        <v>#DIV/0!</v>
      </c>
      <c r="F150" s="9" t="e">
        <f t="shared" si="28"/>
        <v>#DIV/0!</v>
      </c>
      <c r="G150" s="106" t="e">
        <f t="shared" si="28"/>
        <v>#DIV/0!</v>
      </c>
      <c r="H150" s="106" t="e">
        <f t="shared" si="28"/>
        <v>#DIV/0!</v>
      </c>
      <c r="I150" s="106" t="e">
        <f t="shared" si="28"/>
        <v>#DIV/0!</v>
      </c>
      <c r="J150" s="106" t="e">
        <f t="shared" si="28"/>
        <v>#DIV/0!</v>
      </c>
      <c r="K150" s="9" t="e">
        <f t="shared" si="28"/>
        <v>#DIV/0!</v>
      </c>
      <c r="L150" s="106" t="e">
        <f t="shared" si="28"/>
        <v>#DIV/0!</v>
      </c>
      <c r="M150" s="106" t="e">
        <f t="shared" si="28"/>
        <v>#DIV/0!</v>
      </c>
      <c r="N150" s="106" t="e">
        <f t="shared" si="28"/>
        <v>#DIV/0!</v>
      </c>
      <c r="O150" s="106" t="e">
        <f t="shared" si="28"/>
        <v>#DIV/0!</v>
      </c>
      <c r="P150" s="9" t="e">
        <f t="shared" si="28"/>
        <v>#DIV/0!</v>
      </c>
      <c r="Q150" s="137" t="e">
        <f t="shared" si="28"/>
        <v>#DIV/0!</v>
      </c>
      <c r="R150" s="137" t="e">
        <f t="shared" si="28"/>
        <v>#DIV/0!</v>
      </c>
      <c r="S150" s="137" t="e">
        <f t="shared" si="28"/>
        <v>#DIV/0!</v>
      </c>
      <c r="T150" s="137" t="e">
        <f t="shared" si="28"/>
        <v>#DIV/0!</v>
      </c>
      <c r="U150" s="9" t="e">
        <f t="shared" si="28"/>
        <v>#DIV/0!</v>
      </c>
      <c r="V150" s="137" t="e">
        <f t="shared" si="28"/>
        <v>#DIV/0!</v>
      </c>
      <c r="W150" s="137" t="e">
        <f t="shared" si="28"/>
        <v>#DIV/0!</v>
      </c>
      <c r="X150" s="137" t="e">
        <f t="shared" si="28"/>
        <v>#DIV/0!</v>
      </c>
      <c r="Y150" s="137" t="e">
        <f t="shared" si="28"/>
        <v>#DIV/0!</v>
      </c>
      <c r="Z150" s="9" t="e">
        <f t="shared" si="28"/>
        <v>#DIV/0!</v>
      </c>
      <c r="AA150" s="137" t="e">
        <f t="shared" si="28"/>
        <v>#DIV/0!</v>
      </c>
      <c r="AB150" s="137" t="e">
        <f t="shared" si="28"/>
        <v>#DIV/0!</v>
      </c>
      <c r="AC150" s="137" t="e">
        <f t="shared" ref="AC150:AY150" si="29">AC12/AC$137</f>
        <v>#DIV/0!</v>
      </c>
      <c r="AD150" s="137" t="e">
        <f t="shared" si="29"/>
        <v>#DIV/0!</v>
      </c>
      <c r="AE150" s="9" t="e">
        <f t="shared" si="29"/>
        <v>#DIV/0!</v>
      </c>
      <c r="AF150" s="137" t="e">
        <f t="shared" si="29"/>
        <v>#DIV/0!</v>
      </c>
      <c r="AG150" s="137" t="e">
        <f t="shared" si="29"/>
        <v>#DIV/0!</v>
      </c>
      <c r="AH150" s="137" t="e">
        <f t="shared" si="29"/>
        <v>#DIV/0!</v>
      </c>
      <c r="AI150" s="137" t="e">
        <f t="shared" si="29"/>
        <v>#DIV/0!</v>
      </c>
      <c r="AJ150" s="9" t="e">
        <f t="shared" si="29"/>
        <v>#DIV/0!</v>
      </c>
      <c r="AK150" s="137" t="e">
        <f t="shared" si="29"/>
        <v>#DIV/0!</v>
      </c>
      <c r="AL150" s="137" t="e">
        <f t="shared" si="29"/>
        <v>#DIV/0!</v>
      </c>
      <c r="AM150" s="137" t="e">
        <f t="shared" si="29"/>
        <v>#DIV/0!</v>
      </c>
      <c r="AN150" s="137" t="e">
        <f t="shared" si="29"/>
        <v>#DIV/0!</v>
      </c>
      <c r="AO150" s="9" t="e">
        <f t="shared" si="29"/>
        <v>#DIV/0!</v>
      </c>
      <c r="AP150" s="137" t="e">
        <f t="shared" si="29"/>
        <v>#DIV/0!</v>
      </c>
      <c r="AQ150" s="137" t="e">
        <f t="shared" si="29"/>
        <v>#DIV/0!</v>
      </c>
      <c r="AR150" s="137" t="e">
        <f t="shared" si="29"/>
        <v>#DIV/0!</v>
      </c>
      <c r="AS150" s="137" t="e">
        <f t="shared" si="29"/>
        <v>#DIV/0!</v>
      </c>
      <c r="AT150" s="9" t="e">
        <f t="shared" si="29"/>
        <v>#DIV/0!</v>
      </c>
      <c r="AU150" s="137" t="e">
        <f t="shared" si="29"/>
        <v>#DIV/0!</v>
      </c>
      <c r="AV150" s="137" t="e">
        <f t="shared" si="29"/>
        <v>#DIV/0!</v>
      </c>
      <c r="AW150" s="137" t="e">
        <f t="shared" si="29"/>
        <v>#DIV/0!</v>
      </c>
      <c r="AX150" s="137" t="e">
        <f t="shared" si="29"/>
        <v>#DIV/0!</v>
      </c>
      <c r="AY150" s="106" t="e">
        <f t="shared" si="29"/>
        <v>#DIV/0!</v>
      </c>
    </row>
    <row r="151" spans="1:51">
      <c r="A151" s="128" t="s">
        <v>51</v>
      </c>
      <c r="B151" s="106" t="e">
        <f t="shared" ref="B151:AB151" si="30">B13/B$137</f>
        <v>#DIV/0!</v>
      </c>
      <c r="C151" s="106" t="e">
        <f t="shared" si="30"/>
        <v>#DIV/0!</v>
      </c>
      <c r="D151" s="106" t="e">
        <f t="shared" si="30"/>
        <v>#DIV/0!</v>
      </c>
      <c r="E151" s="106" t="e">
        <f t="shared" si="30"/>
        <v>#DIV/0!</v>
      </c>
      <c r="F151" s="9" t="e">
        <f t="shared" si="30"/>
        <v>#DIV/0!</v>
      </c>
      <c r="G151" s="106" t="e">
        <f t="shared" si="30"/>
        <v>#DIV/0!</v>
      </c>
      <c r="H151" s="106" t="e">
        <f t="shared" si="30"/>
        <v>#DIV/0!</v>
      </c>
      <c r="I151" s="106" t="e">
        <f t="shared" si="30"/>
        <v>#DIV/0!</v>
      </c>
      <c r="J151" s="106" t="e">
        <f t="shared" si="30"/>
        <v>#DIV/0!</v>
      </c>
      <c r="K151" s="9" t="e">
        <f t="shared" si="30"/>
        <v>#DIV/0!</v>
      </c>
      <c r="L151" s="106" t="e">
        <f t="shared" si="30"/>
        <v>#DIV/0!</v>
      </c>
      <c r="M151" s="106" t="e">
        <f t="shared" si="30"/>
        <v>#DIV/0!</v>
      </c>
      <c r="N151" s="106" t="e">
        <f t="shared" si="30"/>
        <v>#DIV/0!</v>
      </c>
      <c r="O151" s="106" t="e">
        <f t="shared" si="30"/>
        <v>#DIV/0!</v>
      </c>
      <c r="P151" s="9" t="e">
        <f t="shared" si="30"/>
        <v>#DIV/0!</v>
      </c>
      <c r="Q151" s="137" t="e">
        <f t="shared" si="30"/>
        <v>#DIV/0!</v>
      </c>
      <c r="R151" s="137" t="e">
        <f t="shared" si="30"/>
        <v>#DIV/0!</v>
      </c>
      <c r="S151" s="137" t="e">
        <f t="shared" si="30"/>
        <v>#DIV/0!</v>
      </c>
      <c r="T151" s="137" t="e">
        <f t="shared" si="30"/>
        <v>#DIV/0!</v>
      </c>
      <c r="U151" s="9" t="e">
        <f t="shared" si="30"/>
        <v>#DIV/0!</v>
      </c>
      <c r="V151" s="137" t="e">
        <f t="shared" si="30"/>
        <v>#DIV/0!</v>
      </c>
      <c r="W151" s="137" t="e">
        <f t="shared" si="30"/>
        <v>#DIV/0!</v>
      </c>
      <c r="X151" s="137" t="e">
        <f t="shared" si="30"/>
        <v>#DIV/0!</v>
      </c>
      <c r="Y151" s="137" t="e">
        <f t="shared" si="30"/>
        <v>#DIV/0!</v>
      </c>
      <c r="Z151" s="9" t="e">
        <f t="shared" si="30"/>
        <v>#DIV/0!</v>
      </c>
      <c r="AA151" s="137" t="e">
        <f t="shared" si="30"/>
        <v>#DIV/0!</v>
      </c>
      <c r="AB151" s="137" t="e">
        <f t="shared" si="30"/>
        <v>#DIV/0!</v>
      </c>
      <c r="AC151" s="137" t="e">
        <f t="shared" ref="AC151:AY151" si="31">AC13/AC$137</f>
        <v>#DIV/0!</v>
      </c>
      <c r="AD151" s="137" t="e">
        <f t="shared" si="31"/>
        <v>#DIV/0!</v>
      </c>
      <c r="AE151" s="9" t="e">
        <f t="shared" si="31"/>
        <v>#DIV/0!</v>
      </c>
      <c r="AF151" s="137" t="e">
        <f t="shared" si="31"/>
        <v>#DIV/0!</v>
      </c>
      <c r="AG151" s="137" t="e">
        <f t="shared" si="31"/>
        <v>#DIV/0!</v>
      </c>
      <c r="AH151" s="137" t="e">
        <f t="shared" si="31"/>
        <v>#DIV/0!</v>
      </c>
      <c r="AI151" s="137" t="e">
        <f t="shared" si="31"/>
        <v>#DIV/0!</v>
      </c>
      <c r="AJ151" s="9" t="e">
        <f t="shared" si="31"/>
        <v>#DIV/0!</v>
      </c>
      <c r="AK151" s="137" t="e">
        <f t="shared" si="31"/>
        <v>#DIV/0!</v>
      </c>
      <c r="AL151" s="137" t="e">
        <f t="shared" si="31"/>
        <v>#DIV/0!</v>
      </c>
      <c r="AM151" s="137" t="e">
        <f t="shared" si="31"/>
        <v>#DIV/0!</v>
      </c>
      <c r="AN151" s="137" t="e">
        <f t="shared" si="31"/>
        <v>#DIV/0!</v>
      </c>
      <c r="AO151" s="9" t="e">
        <f t="shared" si="31"/>
        <v>#DIV/0!</v>
      </c>
      <c r="AP151" s="137" t="e">
        <f t="shared" si="31"/>
        <v>#DIV/0!</v>
      </c>
      <c r="AQ151" s="137" t="e">
        <f t="shared" si="31"/>
        <v>#DIV/0!</v>
      </c>
      <c r="AR151" s="137" t="e">
        <f t="shared" si="31"/>
        <v>#DIV/0!</v>
      </c>
      <c r="AS151" s="137" t="e">
        <f t="shared" si="31"/>
        <v>#DIV/0!</v>
      </c>
      <c r="AT151" s="9" t="e">
        <f t="shared" si="31"/>
        <v>#DIV/0!</v>
      </c>
      <c r="AU151" s="137" t="e">
        <f t="shared" si="31"/>
        <v>#DIV/0!</v>
      </c>
      <c r="AV151" s="137" t="e">
        <f t="shared" si="31"/>
        <v>#DIV/0!</v>
      </c>
      <c r="AW151" s="137" t="e">
        <f t="shared" si="31"/>
        <v>#DIV/0!</v>
      </c>
      <c r="AX151" s="137" t="e">
        <f t="shared" si="31"/>
        <v>#DIV/0!</v>
      </c>
      <c r="AY151" s="106" t="e">
        <f t="shared" si="31"/>
        <v>#DIV/0!</v>
      </c>
    </row>
    <row r="152" spans="1:51">
      <c r="A152" s="128" t="s">
        <v>53</v>
      </c>
      <c r="B152" s="106" t="e">
        <f t="shared" ref="B152:AB152" si="32">B14/B$137</f>
        <v>#DIV/0!</v>
      </c>
      <c r="C152" s="106" t="e">
        <f t="shared" si="32"/>
        <v>#DIV/0!</v>
      </c>
      <c r="D152" s="106" t="e">
        <f t="shared" si="32"/>
        <v>#DIV/0!</v>
      </c>
      <c r="E152" s="106" t="e">
        <f t="shared" si="32"/>
        <v>#DIV/0!</v>
      </c>
      <c r="F152" s="9" t="e">
        <f t="shared" si="32"/>
        <v>#DIV/0!</v>
      </c>
      <c r="G152" s="106" t="e">
        <f t="shared" si="32"/>
        <v>#DIV/0!</v>
      </c>
      <c r="H152" s="106" t="e">
        <f t="shared" si="32"/>
        <v>#DIV/0!</v>
      </c>
      <c r="I152" s="106" t="e">
        <f t="shared" si="32"/>
        <v>#DIV/0!</v>
      </c>
      <c r="J152" s="106" t="e">
        <f t="shared" si="32"/>
        <v>#DIV/0!</v>
      </c>
      <c r="K152" s="9" t="e">
        <f t="shared" si="32"/>
        <v>#DIV/0!</v>
      </c>
      <c r="L152" s="106" t="e">
        <f t="shared" si="32"/>
        <v>#DIV/0!</v>
      </c>
      <c r="M152" s="106" t="e">
        <f t="shared" si="32"/>
        <v>#DIV/0!</v>
      </c>
      <c r="N152" s="106" t="e">
        <f t="shared" si="32"/>
        <v>#DIV/0!</v>
      </c>
      <c r="O152" s="106" t="e">
        <f t="shared" si="32"/>
        <v>#DIV/0!</v>
      </c>
      <c r="P152" s="9" t="e">
        <f t="shared" si="32"/>
        <v>#DIV/0!</v>
      </c>
      <c r="Q152" s="137" t="e">
        <f t="shared" si="32"/>
        <v>#DIV/0!</v>
      </c>
      <c r="R152" s="137" t="e">
        <f t="shared" si="32"/>
        <v>#DIV/0!</v>
      </c>
      <c r="S152" s="137" t="e">
        <f t="shared" si="32"/>
        <v>#DIV/0!</v>
      </c>
      <c r="T152" s="137" t="e">
        <f t="shared" si="32"/>
        <v>#DIV/0!</v>
      </c>
      <c r="U152" s="9" t="e">
        <f t="shared" si="32"/>
        <v>#DIV/0!</v>
      </c>
      <c r="V152" s="137" t="e">
        <f t="shared" si="32"/>
        <v>#DIV/0!</v>
      </c>
      <c r="W152" s="137" t="e">
        <f t="shared" si="32"/>
        <v>#DIV/0!</v>
      </c>
      <c r="X152" s="137" t="e">
        <f t="shared" si="32"/>
        <v>#DIV/0!</v>
      </c>
      <c r="Y152" s="137" t="e">
        <f t="shared" si="32"/>
        <v>#DIV/0!</v>
      </c>
      <c r="Z152" s="9" t="e">
        <f t="shared" si="32"/>
        <v>#DIV/0!</v>
      </c>
      <c r="AA152" s="137" t="e">
        <f t="shared" si="32"/>
        <v>#DIV/0!</v>
      </c>
      <c r="AB152" s="137" t="e">
        <f t="shared" si="32"/>
        <v>#DIV/0!</v>
      </c>
      <c r="AC152" s="137" t="e">
        <f t="shared" ref="AC152:AY152" si="33">AC14/AC$137</f>
        <v>#DIV/0!</v>
      </c>
      <c r="AD152" s="137" t="e">
        <f t="shared" si="33"/>
        <v>#DIV/0!</v>
      </c>
      <c r="AE152" s="9" t="e">
        <f t="shared" si="33"/>
        <v>#DIV/0!</v>
      </c>
      <c r="AF152" s="137" t="e">
        <f t="shared" si="33"/>
        <v>#DIV/0!</v>
      </c>
      <c r="AG152" s="137" t="e">
        <f t="shared" si="33"/>
        <v>#DIV/0!</v>
      </c>
      <c r="AH152" s="137" t="e">
        <f t="shared" si="33"/>
        <v>#DIV/0!</v>
      </c>
      <c r="AI152" s="137" t="e">
        <f t="shared" si="33"/>
        <v>#DIV/0!</v>
      </c>
      <c r="AJ152" s="9" t="e">
        <f t="shared" si="33"/>
        <v>#DIV/0!</v>
      </c>
      <c r="AK152" s="137" t="e">
        <f t="shared" si="33"/>
        <v>#DIV/0!</v>
      </c>
      <c r="AL152" s="137" t="e">
        <f t="shared" si="33"/>
        <v>#DIV/0!</v>
      </c>
      <c r="AM152" s="137" t="e">
        <f t="shared" si="33"/>
        <v>#DIV/0!</v>
      </c>
      <c r="AN152" s="137" t="e">
        <f t="shared" si="33"/>
        <v>#DIV/0!</v>
      </c>
      <c r="AO152" s="9" t="e">
        <f t="shared" si="33"/>
        <v>#DIV/0!</v>
      </c>
      <c r="AP152" s="137" t="e">
        <f t="shared" si="33"/>
        <v>#DIV/0!</v>
      </c>
      <c r="AQ152" s="137" t="e">
        <f t="shared" si="33"/>
        <v>#DIV/0!</v>
      </c>
      <c r="AR152" s="137" t="e">
        <f t="shared" si="33"/>
        <v>#DIV/0!</v>
      </c>
      <c r="AS152" s="137" t="e">
        <f t="shared" si="33"/>
        <v>#DIV/0!</v>
      </c>
      <c r="AT152" s="9" t="e">
        <f t="shared" si="33"/>
        <v>#DIV/0!</v>
      </c>
      <c r="AU152" s="137" t="e">
        <f t="shared" si="33"/>
        <v>#DIV/0!</v>
      </c>
      <c r="AV152" s="137" t="e">
        <f t="shared" si="33"/>
        <v>#DIV/0!</v>
      </c>
      <c r="AW152" s="137" t="e">
        <f t="shared" si="33"/>
        <v>#DIV/0!</v>
      </c>
      <c r="AX152" s="137" t="e">
        <f t="shared" si="33"/>
        <v>#DIV/0!</v>
      </c>
      <c r="AY152" s="106" t="e">
        <f t="shared" si="33"/>
        <v>#DIV/0!</v>
      </c>
    </row>
    <row r="153" spans="1:51">
      <c r="A153" s="128" t="s">
        <v>55</v>
      </c>
      <c r="B153" s="106" t="e">
        <f t="shared" ref="B153:AB153" si="34">B15/B$137</f>
        <v>#DIV/0!</v>
      </c>
      <c r="C153" s="106" t="e">
        <f t="shared" si="34"/>
        <v>#DIV/0!</v>
      </c>
      <c r="D153" s="106" t="e">
        <f t="shared" si="34"/>
        <v>#DIV/0!</v>
      </c>
      <c r="E153" s="106" t="e">
        <f t="shared" si="34"/>
        <v>#DIV/0!</v>
      </c>
      <c r="F153" s="9" t="e">
        <f t="shared" si="34"/>
        <v>#DIV/0!</v>
      </c>
      <c r="G153" s="106" t="e">
        <f t="shared" si="34"/>
        <v>#DIV/0!</v>
      </c>
      <c r="H153" s="106" t="e">
        <f t="shared" si="34"/>
        <v>#DIV/0!</v>
      </c>
      <c r="I153" s="106" t="e">
        <f t="shared" si="34"/>
        <v>#DIV/0!</v>
      </c>
      <c r="J153" s="106" t="e">
        <f t="shared" si="34"/>
        <v>#DIV/0!</v>
      </c>
      <c r="K153" s="9" t="e">
        <f t="shared" si="34"/>
        <v>#DIV/0!</v>
      </c>
      <c r="L153" s="106" t="e">
        <f t="shared" si="34"/>
        <v>#DIV/0!</v>
      </c>
      <c r="M153" s="106" t="e">
        <f t="shared" si="34"/>
        <v>#DIV/0!</v>
      </c>
      <c r="N153" s="106" t="e">
        <f t="shared" si="34"/>
        <v>#DIV/0!</v>
      </c>
      <c r="O153" s="106" t="e">
        <f t="shared" si="34"/>
        <v>#DIV/0!</v>
      </c>
      <c r="P153" s="9" t="e">
        <f t="shared" si="34"/>
        <v>#DIV/0!</v>
      </c>
      <c r="Q153" s="137" t="e">
        <f t="shared" si="34"/>
        <v>#DIV/0!</v>
      </c>
      <c r="R153" s="137" t="e">
        <f t="shared" si="34"/>
        <v>#DIV/0!</v>
      </c>
      <c r="S153" s="137" t="e">
        <f t="shared" si="34"/>
        <v>#DIV/0!</v>
      </c>
      <c r="T153" s="137" t="e">
        <f t="shared" si="34"/>
        <v>#DIV/0!</v>
      </c>
      <c r="U153" s="9" t="e">
        <f t="shared" si="34"/>
        <v>#DIV/0!</v>
      </c>
      <c r="V153" s="137" t="e">
        <f t="shared" si="34"/>
        <v>#DIV/0!</v>
      </c>
      <c r="W153" s="137" t="e">
        <f t="shared" si="34"/>
        <v>#DIV/0!</v>
      </c>
      <c r="X153" s="137" t="e">
        <f t="shared" si="34"/>
        <v>#DIV/0!</v>
      </c>
      <c r="Y153" s="137" t="e">
        <f t="shared" si="34"/>
        <v>#DIV/0!</v>
      </c>
      <c r="Z153" s="9" t="e">
        <f t="shared" si="34"/>
        <v>#DIV/0!</v>
      </c>
      <c r="AA153" s="137" t="e">
        <f t="shared" si="34"/>
        <v>#DIV/0!</v>
      </c>
      <c r="AB153" s="137" t="e">
        <f t="shared" si="34"/>
        <v>#DIV/0!</v>
      </c>
      <c r="AC153" s="137" t="e">
        <f t="shared" ref="AC153:AY153" si="35">AC15/AC$137</f>
        <v>#DIV/0!</v>
      </c>
      <c r="AD153" s="137" t="e">
        <f t="shared" si="35"/>
        <v>#DIV/0!</v>
      </c>
      <c r="AE153" s="9" t="e">
        <f t="shared" si="35"/>
        <v>#DIV/0!</v>
      </c>
      <c r="AF153" s="137" t="e">
        <f t="shared" si="35"/>
        <v>#DIV/0!</v>
      </c>
      <c r="AG153" s="137" t="e">
        <f t="shared" si="35"/>
        <v>#DIV/0!</v>
      </c>
      <c r="AH153" s="137" t="e">
        <f t="shared" si="35"/>
        <v>#DIV/0!</v>
      </c>
      <c r="AI153" s="137" t="e">
        <f t="shared" si="35"/>
        <v>#DIV/0!</v>
      </c>
      <c r="AJ153" s="9" t="e">
        <f t="shared" si="35"/>
        <v>#DIV/0!</v>
      </c>
      <c r="AK153" s="137" t="e">
        <f t="shared" si="35"/>
        <v>#DIV/0!</v>
      </c>
      <c r="AL153" s="137" t="e">
        <f t="shared" si="35"/>
        <v>#DIV/0!</v>
      </c>
      <c r="AM153" s="137" t="e">
        <f t="shared" si="35"/>
        <v>#DIV/0!</v>
      </c>
      <c r="AN153" s="137" t="e">
        <f t="shared" si="35"/>
        <v>#DIV/0!</v>
      </c>
      <c r="AO153" s="9" t="e">
        <f t="shared" si="35"/>
        <v>#DIV/0!</v>
      </c>
      <c r="AP153" s="137" t="e">
        <f t="shared" si="35"/>
        <v>#DIV/0!</v>
      </c>
      <c r="AQ153" s="137" t="e">
        <f t="shared" si="35"/>
        <v>#DIV/0!</v>
      </c>
      <c r="AR153" s="137" t="e">
        <f t="shared" si="35"/>
        <v>#DIV/0!</v>
      </c>
      <c r="AS153" s="137" t="e">
        <f t="shared" si="35"/>
        <v>#DIV/0!</v>
      </c>
      <c r="AT153" s="9" t="e">
        <f t="shared" si="35"/>
        <v>#DIV/0!</v>
      </c>
      <c r="AU153" s="137" t="e">
        <f t="shared" si="35"/>
        <v>#DIV/0!</v>
      </c>
      <c r="AV153" s="137" t="e">
        <f t="shared" si="35"/>
        <v>#DIV/0!</v>
      </c>
      <c r="AW153" s="137" t="e">
        <f t="shared" si="35"/>
        <v>#DIV/0!</v>
      </c>
      <c r="AX153" s="137" t="e">
        <f t="shared" si="35"/>
        <v>#DIV/0!</v>
      </c>
      <c r="AY153" s="106" t="e">
        <f t="shared" si="35"/>
        <v>#DIV/0!</v>
      </c>
    </row>
    <row r="154" spans="1:51">
      <c r="A154" s="128" t="s">
        <v>57</v>
      </c>
      <c r="B154" s="106" t="e">
        <f t="shared" ref="B154:AB154" si="36">B16/B$137</f>
        <v>#DIV/0!</v>
      </c>
      <c r="C154" s="106" t="e">
        <f t="shared" si="36"/>
        <v>#DIV/0!</v>
      </c>
      <c r="D154" s="106" t="e">
        <f t="shared" si="36"/>
        <v>#DIV/0!</v>
      </c>
      <c r="E154" s="106" t="e">
        <f t="shared" si="36"/>
        <v>#DIV/0!</v>
      </c>
      <c r="F154" s="9" t="e">
        <f t="shared" si="36"/>
        <v>#DIV/0!</v>
      </c>
      <c r="G154" s="106" t="e">
        <f t="shared" si="36"/>
        <v>#DIV/0!</v>
      </c>
      <c r="H154" s="106" t="e">
        <f t="shared" si="36"/>
        <v>#DIV/0!</v>
      </c>
      <c r="I154" s="106" t="e">
        <f t="shared" si="36"/>
        <v>#DIV/0!</v>
      </c>
      <c r="J154" s="106" t="e">
        <f t="shared" si="36"/>
        <v>#DIV/0!</v>
      </c>
      <c r="K154" s="9" t="e">
        <f t="shared" si="36"/>
        <v>#DIV/0!</v>
      </c>
      <c r="L154" s="106" t="e">
        <f t="shared" si="36"/>
        <v>#DIV/0!</v>
      </c>
      <c r="M154" s="106" t="e">
        <f t="shared" si="36"/>
        <v>#DIV/0!</v>
      </c>
      <c r="N154" s="106" t="e">
        <f t="shared" si="36"/>
        <v>#DIV/0!</v>
      </c>
      <c r="O154" s="106" t="e">
        <f t="shared" si="36"/>
        <v>#DIV/0!</v>
      </c>
      <c r="P154" s="9" t="e">
        <f t="shared" si="36"/>
        <v>#DIV/0!</v>
      </c>
      <c r="Q154" s="137" t="e">
        <f t="shared" si="36"/>
        <v>#DIV/0!</v>
      </c>
      <c r="R154" s="137" t="e">
        <f t="shared" si="36"/>
        <v>#DIV/0!</v>
      </c>
      <c r="S154" s="137" t="e">
        <f t="shared" si="36"/>
        <v>#DIV/0!</v>
      </c>
      <c r="T154" s="137" t="e">
        <f t="shared" si="36"/>
        <v>#DIV/0!</v>
      </c>
      <c r="U154" s="9" t="e">
        <f t="shared" si="36"/>
        <v>#DIV/0!</v>
      </c>
      <c r="V154" s="137" t="e">
        <f t="shared" si="36"/>
        <v>#DIV/0!</v>
      </c>
      <c r="W154" s="137" t="e">
        <f t="shared" si="36"/>
        <v>#DIV/0!</v>
      </c>
      <c r="X154" s="137" t="e">
        <f t="shared" si="36"/>
        <v>#DIV/0!</v>
      </c>
      <c r="Y154" s="137" t="e">
        <f t="shared" si="36"/>
        <v>#DIV/0!</v>
      </c>
      <c r="Z154" s="9" t="e">
        <f t="shared" si="36"/>
        <v>#DIV/0!</v>
      </c>
      <c r="AA154" s="137" t="e">
        <f t="shared" si="36"/>
        <v>#DIV/0!</v>
      </c>
      <c r="AB154" s="137" t="e">
        <f t="shared" si="36"/>
        <v>#DIV/0!</v>
      </c>
      <c r="AC154" s="137" t="e">
        <f t="shared" ref="AC154:AY154" si="37">AC16/AC$137</f>
        <v>#DIV/0!</v>
      </c>
      <c r="AD154" s="137" t="e">
        <f t="shared" si="37"/>
        <v>#DIV/0!</v>
      </c>
      <c r="AE154" s="9" t="e">
        <f t="shared" si="37"/>
        <v>#DIV/0!</v>
      </c>
      <c r="AF154" s="137" t="e">
        <f t="shared" si="37"/>
        <v>#DIV/0!</v>
      </c>
      <c r="AG154" s="137" t="e">
        <f t="shared" si="37"/>
        <v>#DIV/0!</v>
      </c>
      <c r="AH154" s="137" t="e">
        <f t="shared" si="37"/>
        <v>#DIV/0!</v>
      </c>
      <c r="AI154" s="137" t="e">
        <f t="shared" si="37"/>
        <v>#DIV/0!</v>
      </c>
      <c r="AJ154" s="9" t="e">
        <f t="shared" si="37"/>
        <v>#DIV/0!</v>
      </c>
      <c r="AK154" s="137" t="e">
        <f t="shared" si="37"/>
        <v>#DIV/0!</v>
      </c>
      <c r="AL154" s="137" t="e">
        <f t="shared" si="37"/>
        <v>#DIV/0!</v>
      </c>
      <c r="AM154" s="137" t="e">
        <f t="shared" si="37"/>
        <v>#DIV/0!</v>
      </c>
      <c r="AN154" s="137" t="e">
        <f t="shared" si="37"/>
        <v>#DIV/0!</v>
      </c>
      <c r="AO154" s="9" t="e">
        <f t="shared" si="37"/>
        <v>#DIV/0!</v>
      </c>
      <c r="AP154" s="137" t="e">
        <f t="shared" si="37"/>
        <v>#DIV/0!</v>
      </c>
      <c r="AQ154" s="137" t="e">
        <f t="shared" si="37"/>
        <v>#DIV/0!</v>
      </c>
      <c r="AR154" s="137" t="e">
        <f t="shared" si="37"/>
        <v>#DIV/0!</v>
      </c>
      <c r="AS154" s="137" t="e">
        <f t="shared" si="37"/>
        <v>#DIV/0!</v>
      </c>
      <c r="AT154" s="9" t="e">
        <f t="shared" si="37"/>
        <v>#DIV/0!</v>
      </c>
      <c r="AU154" s="137" t="e">
        <f t="shared" si="37"/>
        <v>#DIV/0!</v>
      </c>
      <c r="AV154" s="137" t="e">
        <f t="shared" si="37"/>
        <v>#DIV/0!</v>
      </c>
      <c r="AW154" s="137" t="e">
        <f t="shared" si="37"/>
        <v>#DIV/0!</v>
      </c>
      <c r="AX154" s="137" t="e">
        <f t="shared" si="37"/>
        <v>#DIV/0!</v>
      </c>
      <c r="AY154" s="106" t="e">
        <f t="shared" si="37"/>
        <v>#DIV/0!</v>
      </c>
    </row>
    <row r="155" spans="1:51">
      <c r="A155" s="128" t="s">
        <v>59</v>
      </c>
      <c r="B155" s="106" t="e">
        <f t="shared" ref="B155:AB155" si="38">B17/B$137</f>
        <v>#DIV/0!</v>
      </c>
      <c r="C155" s="106" t="e">
        <f t="shared" si="38"/>
        <v>#DIV/0!</v>
      </c>
      <c r="D155" s="106" t="e">
        <f t="shared" si="38"/>
        <v>#DIV/0!</v>
      </c>
      <c r="E155" s="106" t="e">
        <f t="shared" si="38"/>
        <v>#DIV/0!</v>
      </c>
      <c r="F155" s="9" t="e">
        <f t="shared" si="38"/>
        <v>#DIV/0!</v>
      </c>
      <c r="G155" s="106" t="e">
        <f t="shared" si="38"/>
        <v>#DIV/0!</v>
      </c>
      <c r="H155" s="106" t="e">
        <f t="shared" si="38"/>
        <v>#DIV/0!</v>
      </c>
      <c r="I155" s="106" t="e">
        <f t="shared" si="38"/>
        <v>#DIV/0!</v>
      </c>
      <c r="J155" s="106" t="e">
        <f t="shared" si="38"/>
        <v>#DIV/0!</v>
      </c>
      <c r="K155" s="9" t="e">
        <f t="shared" si="38"/>
        <v>#DIV/0!</v>
      </c>
      <c r="L155" s="106" t="e">
        <f t="shared" si="38"/>
        <v>#DIV/0!</v>
      </c>
      <c r="M155" s="106" t="e">
        <f t="shared" si="38"/>
        <v>#DIV/0!</v>
      </c>
      <c r="N155" s="106" t="e">
        <f t="shared" si="38"/>
        <v>#DIV/0!</v>
      </c>
      <c r="O155" s="106" t="e">
        <f t="shared" si="38"/>
        <v>#DIV/0!</v>
      </c>
      <c r="P155" s="9" t="e">
        <f t="shared" si="38"/>
        <v>#DIV/0!</v>
      </c>
      <c r="Q155" s="137" t="e">
        <f t="shared" si="38"/>
        <v>#DIV/0!</v>
      </c>
      <c r="R155" s="137" t="e">
        <f t="shared" si="38"/>
        <v>#DIV/0!</v>
      </c>
      <c r="S155" s="137" t="e">
        <f t="shared" si="38"/>
        <v>#DIV/0!</v>
      </c>
      <c r="T155" s="137" t="e">
        <f t="shared" si="38"/>
        <v>#DIV/0!</v>
      </c>
      <c r="U155" s="9" t="e">
        <f t="shared" si="38"/>
        <v>#DIV/0!</v>
      </c>
      <c r="V155" s="137" t="e">
        <f t="shared" si="38"/>
        <v>#DIV/0!</v>
      </c>
      <c r="W155" s="137" t="e">
        <f t="shared" si="38"/>
        <v>#DIV/0!</v>
      </c>
      <c r="X155" s="137" t="e">
        <f t="shared" si="38"/>
        <v>#DIV/0!</v>
      </c>
      <c r="Y155" s="137" t="e">
        <f t="shared" si="38"/>
        <v>#DIV/0!</v>
      </c>
      <c r="Z155" s="9" t="e">
        <f t="shared" si="38"/>
        <v>#DIV/0!</v>
      </c>
      <c r="AA155" s="137" t="e">
        <f t="shared" si="38"/>
        <v>#DIV/0!</v>
      </c>
      <c r="AB155" s="137" t="e">
        <f t="shared" si="38"/>
        <v>#DIV/0!</v>
      </c>
      <c r="AC155" s="137" t="e">
        <f t="shared" ref="AC155:AY155" si="39">AC17/AC$137</f>
        <v>#DIV/0!</v>
      </c>
      <c r="AD155" s="137" t="e">
        <f t="shared" si="39"/>
        <v>#DIV/0!</v>
      </c>
      <c r="AE155" s="9" t="e">
        <f t="shared" si="39"/>
        <v>#DIV/0!</v>
      </c>
      <c r="AF155" s="137" t="e">
        <f t="shared" si="39"/>
        <v>#DIV/0!</v>
      </c>
      <c r="AG155" s="137" t="e">
        <f t="shared" si="39"/>
        <v>#DIV/0!</v>
      </c>
      <c r="AH155" s="137" t="e">
        <f t="shared" si="39"/>
        <v>#DIV/0!</v>
      </c>
      <c r="AI155" s="137" t="e">
        <f t="shared" si="39"/>
        <v>#DIV/0!</v>
      </c>
      <c r="AJ155" s="9" t="e">
        <f t="shared" si="39"/>
        <v>#DIV/0!</v>
      </c>
      <c r="AK155" s="137" t="e">
        <f t="shared" si="39"/>
        <v>#DIV/0!</v>
      </c>
      <c r="AL155" s="137" t="e">
        <f t="shared" si="39"/>
        <v>#DIV/0!</v>
      </c>
      <c r="AM155" s="137" t="e">
        <f t="shared" si="39"/>
        <v>#DIV/0!</v>
      </c>
      <c r="AN155" s="137" t="e">
        <f t="shared" si="39"/>
        <v>#DIV/0!</v>
      </c>
      <c r="AO155" s="9" t="e">
        <f t="shared" si="39"/>
        <v>#DIV/0!</v>
      </c>
      <c r="AP155" s="137" t="e">
        <f t="shared" si="39"/>
        <v>#DIV/0!</v>
      </c>
      <c r="AQ155" s="137" t="e">
        <f t="shared" si="39"/>
        <v>#DIV/0!</v>
      </c>
      <c r="AR155" s="137" t="e">
        <f t="shared" si="39"/>
        <v>#DIV/0!</v>
      </c>
      <c r="AS155" s="137" t="e">
        <f t="shared" si="39"/>
        <v>#DIV/0!</v>
      </c>
      <c r="AT155" s="9" t="e">
        <f t="shared" si="39"/>
        <v>#DIV/0!</v>
      </c>
      <c r="AU155" s="137" t="e">
        <f t="shared" si="39"/>
        <v>#DIV/0!</v>
      </c>
      <c r="AV155" s="137" t="e">
        <f t="shared" si="39"/>
        <v>#DIV/0!</v>
      </c>
      <c r="AW155" s="137" t="e">
        <f t="shared" si="39"/>
        <v>#DIV/0!</v>
      </c>
      <c r="AX155" s="137" t="e">
        <f t="shared" si="39"/>
        <v>#DIV/0!</v>
      </c>
      <c r="AY155" s="106" t="e">
        <f t="shared" si="39"/>
        <v>#DIV/0!</v>
      </c>
    </row>
    <row r="156" spans="1:51">
      <c r="A156" s="128" t="s">
        <v>61</v>
      </c>
      <c r="B156" s="106" t="e">
        <f t="shared" ref="B156:AB156" si="40">B18/B$137</f>
        <v>#DIV/0!</v>
      </c>
      <c r="C156" s="106" t="e">
        <f t="shared" si="40"/>
        <v>#DIV/0!</v>
      </c>
      <c r="D156" s="106" t="e">
        <f t="shared" si="40"/>
        <v>#DIV/0!</v>
      </c>
      <c r="E156" s="106" t="e">
        <f t="shared" si="40"/>
        <v>#DIV/0!</v>
      </c>
      <c r="F156" s="9" t="e">
        <f t="shared" si="40"/>
        <v>#DIV/0!</v>
      </c>
      <c r="G156" s="106" t="e">
        <f t="shared" si="40"/>
        <v>#DIV/0!</v>
      </c>
      <c r="H156" s="106" t="e">
        <f t="shared" si="40"/>
        <v>#DIV/0!</v>
      </c>
      <c r="I156" s="106" t="e">
        <f t="shared" si="40"/>
        <v>#DIV/0!</v>
      </c>
      <c r="J156" s="106" t="e">
        <f t="shared" si="40"/>
        <v>#DIV/0!</v>
      </c>
      <c r="K156" s="9" t="e">
        <f t="shared" si="40"/>
        <v>#DIV/0!</v>
      </c>
      <c r="L156" s="106" t="e">
        <f t="shared" si="40"/>
        <v>#DIV/0!</v>
      </c>
      <c r="M156" s="106" t="e">
        <f t="shared" si="40"/>
        <v>#DIV/0!</v>
      </c>
      <c r="N156" s="106" t="e">
        <f t="shared" si="40"/>
        <v>#DIV/0!</v>
      </c>
      <c r="O156" s="106" t="e">
        <f t="shared" si="40"/>
        <v>#DIV/0!</v>
      </c>
      <c r="P156" s="9" t="e">
        <f t="shared" si="40"/>
        <v>#DIV/0!</v>
      </c>
      <c r="Q156" s="137" t="e">
        <f t="shared" si="40"/>
        <v>#DIV/0!</v>
      </c>
      <c r="R156" s="137" t="e">
        <f t="shared" si="40"/>
        <v>#DIV/0!</v>
      </c>
      <c r="S156" s="137" t="e">
        <f t="shared" si="40"/>
        <v>#DIV/0!</v>
      </c>
      <c r="T156" s="137" t="e">
        <f t="shared" si="40"/>
        <v>#DIV/0!</v>
      </c>
      <c r="U156" s="9" t="e">
        <f t="shared" si="40"/>
        <v>#DIV/0!</v>
      </c>
      <c r="V156" s="137" t="e">
        <f t="shared" si="40"/>
        <v>#DIV/0!</v>
      </c>
      <c r="W156" s="137" t="e">
        <f t="shared" si="40"/>
        <v>#DIV/0!</v>
      </c>
      <c r="X156" s="137" t="e">
        <f t="shared" si="40"/>
        <v>#DIV/0!</v>
      </c>
      <c r="Y156" s="137" t="e">
        <f t="shared" si="40"/>
        <v>#DIV/0!</v>
      </c>
      <c r="Z156" s="9" t="e">
        <f t="shared" si="40"/>
        <v>#DIV/0!</v>
      </c>
      <c r="AA156" s="137" t="e">
        <f t="shared" si="40"/>
        <v>#DIV/0!</v>
      </c>
      <c r="AB156" s="137" t="e">
        <f t="shared" si="40"/>
        <v>#DIV/0!</v>
      </c>
      <c r="AC156" s="137" t="e">
        <f t="shared" ref="AC156:AY156" si="41">AC18/AC$137</f>
        <v>#DIV/0!</v>
      </c>
      <c r="AD156" s="137" t="e">
        <f t="shared" si="41"/>
        <v>#DIV/0!</v>
      </c>
      <c r="AE156" s="9" t="e">
        <f t="shared" si="41"/>
        <v>#DIV/0!</v>
      </c>
      <c r="AF156" s="137" t="e">
        <f t="shared" si="41"/>
        <v>#DIV/0!</v>
      </c>
      <c r="AG156" s="137" t="e">
        <f t="shared" si="41"/>
        <v>#DIV/0!</v>
      </c>
      <c r="AH156" s="137" t="e">
        <f t="shared" si="41"/>
        <v>#DIV/0!</v>
      </c>
      <c r="AI156" s="137" t="e">
        <f t="shared" si="41"/>
        <v>#DIV/0!</v>
      </c>
      <c r="AJ156" s="9" t="e">
        <f t="shared" si="41"/>
        <v>#DIV/0!</v>
      </c>
      <c r="AK156" s="137" t="e">
        <f t="shared" si="41"/>
        <v>#DIV/0!</v>
      </c>
      <c r="AL156" s="137" t="e">
        <f t="shared" si="41"/>
        <v>#DIV/0!</v>
      </c>
      <c r="AM156" s="137" t="e">
        <f t="shared" si="41"/>
        <v>#DIV/0!</v>
      </c>
      <c r="AN156" s="137" t="e">
        <f t="shared" si="41"/>
        <v>#DIV/0!</v>
      </c>
      <c r="AO156" s="9" t="e">
        <f t="shared" si="41"/>
        <v>#DIV/0!</v>
      </c>
      <c r="AP156" s="137" t="e">
        <f t="shared" si="41"/>
        <v>#DIV/0!</v>
      </c>
      <c r="AQ156" s="137" t="e">
        <f t="shared" si="41"/>
        <v>#DIV/0!</v>
      </c>
      <c r="AR156" s="137" t="e">
        <f t="shared" si="41"/>
        <v>#DIV/0!</v>
      </c>
      <c r="AS156" s="137" t="e">
        <f t="shared" si="41"/>
        <v>#DIV/0!</v>
      </c>
      <c r="AT156" s="9" t="e">
        <f t="shared" si="41"/>
        <v>#DIV/0!</v>
      </c>
      <c r="AU156" s="137" t="e">
        <f t="shared" si="41"/>
        <v>#DIV/0!</v>
      </c>
      <c r="AV156" s="137" t="e">
        <f t="shared" si="41"/>
        <v>#DIV/0!</v>
      </c>
      <c r="AW156" s="137" t="e">
        <f t="shared" si="41"/>
        <v>#DIV/0!</v>
      </c>
      <c r="AX156" s="137" t="e">
        <f t="shared" si="41"/>
        <v>#DIV/0!</v>
      </c>
      <c r="AY156" s="106" t="e">
        <f t="shared" si="41"/>
        <v>#DIV/0!</v>
      </c>
    </row>
    <row r="157" spans="1:51">
      <c r="A157" s="128" t="s">
        <v>63</v>
      </c>
      <c r="B157" s="106" t="e">
        <f t="shared" ref="B157:AB157" si="42">B19/B$137</f>
        <v>#DIV/0!</v>
      </c>
      <c r="C157" s="106" t="e">
        <f t="shared" si="42"/>
        <v>#DIV/0!</v>
      </c>
      <c r="D157" s="106" t="e">
        <f t="shared" si="42"/>
        <v>#DIV/0!</v>
      </c>
      <c r="E157" s="106" t="e">
        <f t="shared" si="42"/>
        <v>#DIV/0!</v>
      </c>
      <c r="F157" s="9" t="e">
        <f t="shared" si="42"/>
        <v>#DIV/0!</v>
      </c>
      <c r="G157" s="106" t="e">
        <f t="shared" si="42"/>
        <v>#DIV/0!</v>
      </c>
      <c r="H157" s="106" t="e">
        <f t="shared" si="42"/>
        <v>#DIV/0!</v>
      </c>
      <c r="I157" s="106" t="e">
        <f t="shared" si="42"/>
        <v>#DIV/0!</v>
      </c>
      <c r="J157" s="106" t="e">
        <f t="shared" si="42"/>
        <v>#DIV/0!</v>
      </c>
      <c r="K157" s="9" t="e">
        <f t="shared" si="42"/>
        <v>#DIV/0!</v>
      </c>
      <c r="L157" s="106" t="e">
        <f t="shared" si="42"/>
        <v>#DIV/0!</v>
      </c>
      <c r="M157" s="106" t="e">
        <f t="shared" si="42"/>
        <v>#DIV/0!</v>
      </c>
      <c r="N157" s="106" t="e">
        <f t="shared" si="42"/>
        <v>#DIV/0!</v>
      </c>
      <c r="O157" s="106" t="e">
        <f t="shared" si="42"/>
        <v>#DIV/0!</v>
      </c>
      <c r="P157" s="9" t="e">
        <f t="shared" si="42"/>
        <v>#DIV/0!</v>
      </c>
      <c r="Q157" s="137" t="e">
        <f t="shared" si="42"/>
        <v>#DIV/0!</v>
      </c>
      <c r="R157" s="137" t="e">
        <f t="shared" si="42"/>
        <v>#DIV/0!</v>
      </c>
      <c r="S157" s="137" t="e">
        <f t="shared" si="42"/>
        <v>#DIV/0!</v>
      </c>
      <c r="T157" s="137" t="e">
        <f t="shared" si="42"/>
        <v>#DIV/0!</v>
      </c>
      <c r="U157" s="9" t="e">
        <f t="shared" si="42"/>
        <v>#DIV/0!</v>
      </c>
      <c r="V157" s="137" t="e">
        <f t="shared" si="42"/>
        <v>#DIV/0!</v>
      </c>
      <c r="W157" s="137" t="e">
        <f t="shared" si="42"/>
        <v>#DIV/0!</v>
      </c>
      <c r="X157" s="137" t="e">
        <f t="shared" si="42"/>
        <v>#DIV/0!</v>
      </c>
      <c r="Y157" s="137" t="e">
        <f t="shared" si="42"/>
        <v>#DIV/0!</v>
      </c>
      <c r="Z157" s="9" t="e">
        <f t="shared" si="42"/>
        <v>#DIV/0!</v>
      </c>
      <c r="AA157" s="137" t="e">
        <f t="shared" si="42"/>
        <v>#DIV/0!</v>
      </c>
      <c r="AB157" s="137" t="e">
        <f t="shared" si="42"/>
        <v>#DIV/0!</v>
      </c>
      <c r="AC157" s="137" t="e">
        <f t="shared" ref="AC157:AY157" si="43">AC19/AC$137</f>
        <v>#DIV/0!</v>
      </c>
      <c r="AD157" s="137" t="e">
        <f t="shared" si="43"/>
        <v>#DIV/0!</v>
      </c>
      <c r="AE157" s="9" t="e">
        <f t="shared" si="43"/>
        <v>#DIV/0!</v>
      </c>
      <c r="AF157" s="137" t="e">
        <f t="shared" si="43"/>
        <v>#DIV/0!</v>
      </c>
      <c r="AG157" s="137" t="e">
        <f t="shared" si="43"/>
        <v>#DIV/0!</v>
      </c>
      <c r="AH157" s="137" t="e">
        <f t="shared" si="43"/>
        <v>#DIV/0!</v>
      </c>
      <c r="AI157" s="137" t="e">
        <f t="shared" si="43"/>
        <v>#DIV/0!</v>
      </c>
      <c r="AJ157" s="9" t="e">
        <f t="shared" si="43"/>
        <v>#DIV/0!</v>
      </c>
      <c r="AK157" s="137" t="e">
        <f t="shared" si="43"/>
        <v>#DIV/0!</v>
      </c>
      <c r="AL157" s="137" t="e">
        <f t="shared" si="43"/>
        <v>#DIV/0!</v>
      </c>
      <c r="AM157" s="137" t="e">
        <f t="shared" si="43"/>
        <v>#DIV/0!</v>
      </c>
      <c r="AN157" s="137" t="e">
        <f t="shared" si="43"/>
        <v>#DIV/0!</v>
      </c>
      <c r="AO157" s="9" t="e">
        <f t="shared" si="43"/>
        <v>#DIV/0!</v>
      </c>
      <c r="AP157" s="137" t="e">
        <f t="shared" si="43"/>
        <v>#DIV/0!</v>
      </c>
      <c r="AQ157" s="137" t="e">
        <f t="shared" si="43"/>
        <v>#DIV/0!</v>
      </c>
      <c r="AR157" s="137" t="e">
        <f t="shared" si="43"/>
        <v>#DIV/0!</v>
      </c>
      <c r="AS157" s="137" t="e">
        <f t="shared" si="43"/>
        <v>#DIV/0!</v>
      </c>
      <c r="AT157" s="9" t="e">
        <f t="shared" si="43"/>
        <v>#DIV/0!</v>
      </c>
      <c r="AU157" s="137" t="e">
        <f t="shared" si="43"/>
        <v>#DIV/0!</v>
      </c>
      <c r="AV157" s="137" t="e">
        <f t="shared" si="43"/>
        <v>#DIV/0!</v>
      </c>
      <c r="AW157" s="137" t="e">
        <f t="shared" si="43"/>
        <v>#DIV/0!</v>
      </c>
      <c r="AX157" s="137" t="e">
        <f t="shared" si="43"/>
        <v>#DIV/0!</v>
      </c>
      <c r="AY157" s="106" t="e">
        <f t="shared" si="43"/>
        <v>#DIV/0!</v>
      </c>
    </row>
    <row r="158" spans="1:51">
      <c r="A158" s="128" t="s">
        <v>65</v>
      </c>
      <c r="B158" s="106" t="e">
        <f t="shared" ref="B158:AB158" si="44">B20/B$137</f>
        <v>#DIV/0!</v>
      </c>
      <c r="C158" s="106" t="e">
        <f t="shared" si="44"/>
        <v>#DIV/0!</v>
      </c>
      <c r="D158" s="106" t="e">
        <f t="shared" si="44"/>
        <v>#DIV/0!</v>
      </c>
      <c r="E158" s="106" t="e">
        <f t="shared" si="44"/>
        <v>#DIV/0!</v>
      </c>
      <c r="F158" s="9" t="e">
        <f t="shared" si="44"/>
        <v>#DIV/0!</v>
      </c>
      <c r="G158" s="106" t="e">
        <f t="shared" si="44"/>
        <v>#DIV/0!</v>
      </c>
      <c r="H158" s="106" t="e">
        <f t="shared" si="44"/>
        <v>#DIV/0!</v>
      </c>
      <c r="I158" s="106" t="e">
        <f t="shared" si="44"/>
        <v>#DIV/0!</v>
      </c>
      <c r="J158" s="106" t="e">
        <f t="shared" si="44"/>
        <v>#DIV/0!</v>
      </c>
      <c r="K158" s="9" t="e">
        <f t="shared" si="44"/>
        <v>#DIV/0!</v>
      </c>
      <c r="L158" s="106" t="e">
        <f t="shared" si="44"/>
        <v>#DIV/0!</v>
      </c>
      <c r="M158" s="106" t="e">
        <f t="shared" si="44"/>
        <v>#DIV/0!</v>
      </c>
      <c r="N158" s="106" t="e">
        <f t="shared" si="44"/>
        <v>#DIV/0!</v>
      </c>
      <c r="O158" s="106" t="e">
        <f t="shared" si="44"/>
        <v>#DIV/0!</v>
      </c>
      <c r="P158" s="9" t="e">
        <f t="shared" si="44"/>
        <v>#DIV/0!</v>
      </c>
      <c r="Q158" s="137" t="e">
        <f t="shared" si="44"/>
        <v>#DIV/0!</v>
      </c>
      <c r="R158" s="137" t="e">
        <f t="shared" si="44"/>
        <v>#DIV/0!</v>
      </c>
      <c r="S158" s="137" t="e">
        <f t="shared" si="44"/>
        <v>#DIV/0!</v>
      </c>
      <c r="T158" s="137" t="e">
        <f t="shared" si="44"/>
        <v>#DIV/0!</v>
      </c>
      <c r="U158" s="9" t="e">
        <f t="shared" si="44"/>
        <v>#DIV/0!</v>
      </c>
      <c r="V158" s="137" t="e">
        <f t="shared" si="44"/>
        <v>#DIV/0!</v>
      </c>
      <c r="W158" s="137" t="e">
        <f t="shared" si="44"/>
        <v>#DIV/0!</v>
      </c>
      <c r="X158" s="137" t="e">
        <f t="shared" si="44"/>
        <v>#DIV/0!</v>
      </c>
      <c r="Y158" s="137" t="e">
        <f t="shared" si="44"/>
        <v>#DIV/0!</v>
      </c>
      <c r="Z158" s="9" t="e">
        <f t="shared" si="44"/>
        <v>#DIV/0!</v>
      </c>
      <c r="AA158" s="137" t="e">
        <f t="shared" si="44"/>
        <v>#DIV/0!</v>
      </c>
      <c r="AB158" s="137" t="e">
        <f t="shared" si="44"/>
        <v>#DIV/0!</v>
      </c>
      <c r="AC158" s="137" t="e">
        <f t="shared" ref="AC158:AY158" si="45">AC20/AC$137</f>
        <v>#DIV/0!</v>
      </c>
      <c r="AD158" s="137" t="e">
        <f t="shared" si="45"/>
        <v>#DIV/0!</v>
      </c>
      <c r="AE158" s="9" t="e">
        <f t="shared" si="45"/>
        <v>#DIV/0!</v>
      </c>
      <c r="AF158" s="137" t="e">
        <f t="shared" si="45"/>
        <v>#DIV/0!</v>
      </c>
      <c r="AG158" s="137" t="e">
        <f t="shared" si="45"/>
        <v>#DIV/0!</v>
      </c>
      <c r="AH158" s="137" t="e">
        <f t="shared" si="45"/>
        <v>#DIV/0!</v>
      </c>
      <c r="AI158" s="137" t="e">
        <f t="shared" si="45"/>
        <v>#DIV/0!</v>
      </c>
      <c r="AJ158" s="9" t="e">
        <f t="shared" si="45"/>
        <v>#DIV/0!</v>
      </c>
      <c r="AK158" s="137" t="e">
        <f t="shared" si="45"/>
        <v>#DIV/0!</v>
      </c>
      <c r="AL158" s="137" t="e">
        <f t="shared" si="45"/>
        <v>#DIV/0!</v>
      </c>
      <c r="AM158" s="137" t="e">
        <f t="shared" si="45"/>
        <v>#DIV/0!</v>
      </c>
      <c r="AN158" s="137" t="e">
        <f t="shared" si="45"/>
        <v>#DIV/0!</v>
      </c>
      <c r="AO158" s="9" t="e">
        <f t="shared" si="45"/>
        <v>#DIV/0!</v>
      </c>
      <c r="AP158" s="137" t="e">
        <f t="shared" si="45"/>
        <v>#DIV/0!</v>
      </c>
      <c r="AQ158" s="137" t="e">
        <f t="shared" si="45"/>
        <v>#DIV/0!</v>
      </c>
      <c r="AR158" s="137" t="e">
        <f t="shared" si="45"/>
        <v>#DIV/0!</v>
      </c>
      <c r="AS158" s="137" t="e">
        <f t="shared" si="45"/>
        <v>#DIV/0!</v>
      </c>
      <c r="AT158" s="9" t="e">
        <f t="shared" si="45"/>
        <v>#DIV/0!</v>
      </c>
      <c r="AU158" s="137" t="e">
        <f t="shared" si="45"/>
        <v>#DIV/0!</v>
      </c>
      <c r="AV158" s="137" t="e">
        <f t="shared" si="45"/>
        <v>#DIV/0!</v>
      </c>
      <c r="AW158" s="137" t="e">
        <f t="shared" si="45"/>
        <v>#DIV/0!</v>
      </c>
      <c r="AX158" s="137" t="e">
        <f t="shared" si="45"/>
        <v>#DIV/0!</v>
      </c>
      <c r="AY158" s="106" t="e">
        <f t="shared" si="45"/>
        <v>#DIV/0!</v>
      </c>
    </row>
    <row r="159" spans="1:51">
      <c r="A159" s="128" t="s">
        <v>67</v>
      </c>
      <c r="B159" s="106" t="e">
        <f t="shared" ref="B159:AB159" si="46">B21/B$137</f>
        <v>#DIV/0!</v>
      </c>
      <c r="C159" s="106" t="e">
        <f t="shared" si="46"/>
        <v>#DIV/0!</v>
      </c>
      <c r="D159" s="106" t="e">
        <f t="shared" si="46"/>
        <v>#DIV/0!</v>
      </c>
      <c r="E159" s="106" t="e">
        <f t="shared" si="46"/>
        <v>#DIV/0!</v>
      </c>
      <c r="F159" s="9" t="e">
        <f t="shared" si="46"/>
        <v>#DIV/0!</v>
      </c>
      <c r="G159" s="106" t="e">
        <f t="shared" si="46"/>
        <v>#DIV/0!</v>
      </c>
      <c r="H159" s="106" t="e">
        <f t="shared" si="46"/>
        <v>#DIV/0!</v>
      </c>
      <c r="I159" s="106" t="e">
        <f t="shared" si="46"/>
        <v>#DIV/0!</v>
      </c>
      <c r="J159" s="106" t="e">
        <f t="shared" si="46"/>
        <v>#DIV/0!</v>
      </c>
      <c r="K159" s="9" t="e">
        <f t="shared" si="46"/>
        <v>#DIV/0!</v>
      </c>
      <c r="L159" s="106" t="e">
        <f t="shared" si="46"/>
        <v>#DIV/0!</v>
      </c>
      <c r="M159" s="106" t="e">
        <f t="shared" si="46"/>
        <v>#DIV/0!</v>
      </c>
      <c r="N159" s="106" t="e">
        <f t="shared" si="46"/>
        <v>#DIV/0!</v>
      </c>
      <c r="O159" s="106" t="e">
        <f t="shared" si="46"/>
        <v>#DIV/0!</v>
      </c>
      <c r="P159" s="9" t="e">
        <f t="shared" si="46"/>
        <v>#DIV/0!</v>
      </c>
      <c r="Q159" s="137" t="e">
        <f t="shared" si="46"/>
        <v>#DIV/0!</v>
      </c>
      <c r="R159" s="137" t="e">
        <f t="shared" si="46"/>
        <v>#DIV/0!</v>
      </c>
      <c r="S159" s="137" t="e">
        <f t="shared" si="46"/>
        <v>#DIV/0!</v>
      </c>
      <c r="T159" s="137" t="e">
        <f t="shared" si="46"/>
        <v>#DIV/0!</v>
      </c>
      <c r="U159" s="9" t="e">
        <f t="shared" si="46"/>
        <v>#DIV/0!</v>
      </c>
      <c r="V159" s="137" t="e">
        <f t="shared" si="46"/>
        <v>#DIV/0!</v>
      </c>
      <c r="W159" s="137" t="e">
        <f t="shared" si="46"/>
        <v>#DIV/0!</v>
      </c>
      <c r="X159" s="137" t="e">
        <f t="shared" si="46"/>
        <v>#DIV/0!</v>
      </c>
      <c r="Y159" s="137" t="e">
        <f t="shared" si="46"/>
        <v>#DIV/0!</v>
      </c>
      <c r="Z159" s="9" t="e">
        <f t="shared" si="46"/>
        <v>#DIV/0!</v>
      </c>
      <c r="AA159" s="137" t="e">
        <f t="shared" si="46"/>
        <v>#DIV/0!</v>
      </c>
      <c r="AB159" s="137" t="e">
        <f t="shared" si="46"/>
        <v>#DIV/0!</v>
      </c>
      <c r="AC159" s="137" t="e">
        <f t="shared" ref="AC159:AY159" si="47">AC21/AC$137</f>
        <v>#DIV/0!</v>
      </c>
      <c r="AD159" s="137" t="e">
        <f t="shared" si="47"/>
        <v>#DIV/0!</v>
      </c>
      <c r="AE159" s="9" t="e">
        <f t="shared" si="47"/>
        <v>#DIV/0!</v>
      </c>
      <c r="AF159" s="137" t="e">
        <f t="shared" si="47"/>
        <v>#DIV/0!</v>
      </c>
      <c r="AG159" s="137" t="e">
        <f t="shared" si="47"/>
        <v>#DIV/0!</v>
      </c>
      <c r="AH159" s="137" t="e">
        <f t="shared" si="47"/>
        <v>#DIV/0!</v>
      </c>
      <c r="AI159" s="137" t="e">
        <f t="shared" si="47"/>
        <v>#DIV/0!</v>
      </c>
      <c r="AJ159" s="9" t="e">
        <f t="shared" si="47"/>
        <v>#DIV/0!</v>
      </c>
      <c r="AK159" s="137" t="e">
        <f t="shared" si="47"/>
        <v>#DIV/0!</v>
      </c>
      <c r="AL159" s="137" t="e">
        <f t="shared" si="47"/>
        <v>#DIV/0!</v>
      </c>
      <c r="AM159" s="137" t="e">
        <f t="shared" si="47"/>
        <v>#DIV/0!</v>
      </c>
      <c r="AN159" s="137" t="e">
        <f t="shared" si="47"/>
        <v>#DIV/0!</v>
      </c>
      <c r="AO159" s="9" t="e">
        <f t="shared" si="47"/>
        <v>#DIV/0!</v>
      </c>
      <c r="AP159" s="137" t="e">
        <f t="shared" si="47"/>
        <v>#DIV/0!</v>
      </c>
      <c r="AQ159" s="137" t="e">
        <f t="shared" si="47"/>
        <v>#DIV/0!</v>
      </c>
      <c r="AR159" s="137" t="e">
        <f t="shared" si="47"/>
        <v>#DIV/0!</v>
      </c>
      <c r="AS159" s="137" t="e">
        <f t="shared" si="47"/>
        <v>#DIV/0!</v>
      </c>
      <c r="AT159" s="9" t="e">
        <f t="shared" si="47"/>
        <v>#DIV/0!</v>
      </c>
      <c r="AU159" s="137" t="e">
        <f t="shared" si="47"/>
        <v>#DIV/0!</v>
      </c>
      <c r="AV159" s="137" t="e">
        <f t="shared" si="47"/>
        <v>#DIV/0!</v>
      </c>
      <c r="AW159" s="137" t="e">
        <f t="shared" si="47"/>
        <v>#DIV/0!</v>
      </c>
      <c r="AX159" s="137" t="e">
        <f t="shared" si="47"/>
        <v>#DIV/0!</v>
      </c>
      <c r="AY159" s="106" t="e">
        <f t="shared" si="47"/>
        <v>#DIV/0!</v>
      </c>
    </row>
    <row r="160" spans="1:51">
      <c r="A160" s="128" t="s">
        <v>69</v>
      </c>
      <c r="B160" s="106" t="e">
        <f t="shared" ref="B160:AB160" si="48">B22/B$137</f>
        <v>#DIV/0!</v>
      </c>
      <c r="C160" s="106" t="e">
        <f t="shared" si="48"/>
        <v>#DIV/0!</v>
      </c>
      <c r="D160" s="106" t="e">
        <f t="shared" si="48"/>
        <v>#DIV/0!</v>
      </c>
      <c r="E160" s="106" t="e">
        <f t="shared" si="48"/>
        <v>#DIV/0!</v>
      </c>
      <c r="F160" s="9" t="e">
        <f t="shared" si="48"/>
        <v>#DIV/0!</v>
      </c>
      <c r="G160" s="106" t="e">
        <f t="shared" si="48"/>
        <v>#DIV/0!</v>
      </c>
      <c r="H160" s="106" t="e">
        <f t="shared" si="48"/>
        <v>#DIV/0!</v>
      </c>
      <c r="I160" s="106" t="e">
        <f t="shared" si="48"/>
        <v>#DIV/0!</v>
      </c>
      <c r="J160" s="106" t="e">
        <f t="shared" si="48"/>
        <v>#DIV/0!</v>
      </c>
      <c r="K160" s="9" t="e">
        <f t="shared" si="48"/>
        <v>#DIV/0!</v>
      </c>
      <c r="L160" s="106" t="e">
        <f t="shared" si="48"/>
        <v>#DIV/0!</v>
      </c>
      <c r="M160" s="106" t="e">
        <f t="shared" si="48"/>
        <v>#DIV/0!</v>
      </c>
      <c r="N160" s="106" t="e">
        <f t="shared" si="48"/>
        <v>#DIV/0!</v>
      </c>
      <c r="O160" s="106" t="e">
        <f t="shared" si="48"/>
        <v>#DIV/0!</v>
      </c>
      <c r="P160" s="9" t="e">
        <f t="shared" si="48"/>
        <v>#DIV/0!</v>
      </c>
      <c r="Q160" s="137" t="e">
        <f t="shared" si="48"/>
        <v>#DIV/0!</v>
      </c>
      <c r="R160" s="137" t="e">
        <f t="shared" si="48"/>
        <v>#DIV/0!</v>
      </c>
      <c r="S160" s="137" t="e">
        <f t="shared" si="48"/>
        <v>#DIV/0!</v>
      </c>
      <c r="T160" s="137" t="e">
        <f t="shared" si="48"/>
        <v>#DIV/0!</v>
      </c>
      <c r="U160" s="9" t="e">
        <f t="shared" si="48"/>
        <v>#DIV/0!</v>
      </c>
      <c r="V160" s="137" t="e">
        <f t="shared" si="48"/>
        <v>#DIV/0!</v>
      </c>
      <c r="W160" s="137" t="e">
        <f t="shared" si="48"/>
        <v>#DIV/0!</v>
      </c>
      <c r="X160" s="137" t="e">
        <f t="shared" si="48"/>
        <v>#DIV/0!</v>
      </c>
      <c r="Y160" s="137" t="e">
        <f t="shared" si="48"/>
        <v>#DIV/0!</v>
      </c>
      <c r="Z160" s="9" t="e">
        <f t="shared" si="48"/>
        <v>#DIV/0!</v>
      </c>
      <c r="AA160" s="137" t="e">
        <f t="shared" si="48"/>
        <v>#DIV/0!</v>
      </c>
      <c r="AB160" s="137" t="e">
        <f t="shared" si="48"/>
        <v>#DIV/0!</v>
      </c>
      <c r="AC160" s="137" t="e">
        <f t="shared" ref="AC160:AY160" si="49">AC22/AC$137</f>
        <v>#DIV/0!</v>
      </c>
      <c r="AD160" s="137" t="e">
        <f t="shared" si="49"/>
        <v>#DIV/0!</v>
      </c>
      <c r="AE160" s="9" t="e">
        <f t="shared" si="49"/>
        <v>#DIV/0!</v>
      </c>
      <c r="AF160" s="137" t="e">
        <f t="shared" si="49"/>
        <v>#DIV/0!</v>
      </c>
      <c r="AG160" s="137" t="e">
        <f t="shared" si="49"/>
        <v>#DIV/0!</v>
      </c>
      <c r="AH160" s="137" t="e">
        <f t="shared" si="49"/>
        <v>#DIV/0!</v>
      </c>
      <c r="AI160" s="137" t="e">
        <f t="shared" si="49"/>
        <v>#DIV/0!</v>
      </c>
      <c r="AJ160" s="9" t="e">
        <f t="shared" si="49"/>
        <v>#DIV/0!</v>
      </c>
      <c r="AK160" s="137" t="e">
        <f t="shared" si="49"/>
        <v>#DIV/0!</v>
      </c>
      <c r="AL160" s="137" t="e">
        <f t="shared" si="49"/>
        <v>#DIV/0!</v>
      </c>
      <c r="AM160" s="137" t="e">
        <f t="shared" si="49"/>
        <v>#DIV/0!</v>
      </c>
      <c r="AN160" s="137" t="e">
        <f t="shared" si="49"/>
        <v>#DIV/0!</v>
      </c>
      <c r="AO160" s="9" t="e">
        <f t="shared" si="49"/>
        <v>#DIV/0!</v>
      </c>
      <c r="AP160" s="137" t="e">
        <f t="shared" si="49"/>
        <v>#DIV/0!</v>
      </c>
      <c r="AQ160" s="137" t="e">
        <f t="shared" si="49"/>
        <v>#DIV/0!</v>
      </c>
      <c r="AR160" s="137" t="e">
        <f t="shared" si="49"/>
        <v>#DIV/0!</v>
      </c>
      <c r="AS160" s="137" t="e">
        <f t="shared" si="49"/>
        <v>#DIV/0!</v>
      </c>
      <c r="AT160" s="9" t="e">
        <f t="shared" si="49"/>
        <v>#DIV/0!</v>
      </c>
      <c r="AU160" s="137" t="e">
        <f t="shared" si="49"/>
        <v>#DIV/0!</v>
      </c>
      <c r="AV160" s="137" t="e">
        <f t="shared" si="49"/>
        <v>#DIV/0!</v>
      </c>
      <c r="AW160" s="137" t="e">
        <f t="shared" si="49"/>
        <v>#DIV/0!</v>
      </c>
      <c r="AX160" s="137" t="e">
        <f t="shared" si="49"/>
        <v>#DIV/0!</v>
      </c>
      <c r="AY160" s="106" t="e">
        <f t="shared" si="49"/>
        <v>#DIV/0!</v>
      </c>
    </row>
    <row r="161" spans="1:51">
      <c r="A161" s="128" t="s">
        <v>71</v>
      </c>
      <c r="B161" s="106" t="e">
        <f t="shared" ref="B161:AB161" si="50">B23/B$137</f>
        <v>#DIV/0!</v>
      </c>
      <c r="C161" s="106" t="e">
        <f t="shared" si="50"/>
        <v>#DIV/0!</v>
      </c>
      <c r="D161" s="106" t="e">
        <f t="shared" si="50"/>
        <v>#DIV/0!</v>
      </c>
      <c r="E161" s="106" t="e">
        <f t="shared" si="50"/>
        <v>#DIV/0!</v>
      </c>
      <c r="F161" s="9" t="e">
        <f t="shared" si="50"/>
        <v>#DIV/0!</v>
      </c>
      <c r="G161" s="106" t="e">
        <f t="shared" si="50"/>
        <v>#DIV/0!</v>
      </c>
      <c r="H161" s="106" t="e">
        <f t="shared" si="50"/>
        <v>#DIV/0!</v>
      </c>
      <c r="I161" s="106" t="e">
        <f t="shared" si="50"/>
        <v>#DIV/0!</v>
      </c>
      <c r="J161" s="106" t="e">
        <f t="shared" si="50"/>
        <v>#DIV/0!</v>
      </c>
      <c r="K161" s="9" t="e">
        <f t="shared" si="50"/>
        <v>#DIV/0!</v>
      </c>
      <c r="L161" s="106" t="e">
        <f t="shared" si="50"/>
        <v>#DIV/0!</v>
      </c>
      <c r="M161" s="106" t="e">
        <f t="shared" si="50"/>
        <v>#DIV/0!</v>
      </c>
      <c r="N161" s="106" t="e">
        <f t="shared" si="50"/>
        <v>#DIV/0!</v>
      </c>
      <c r="O161" s="106" t="e">
        <f t="shared" si="50"/>
        <v>#DIV/0!</v>
      </c>
      <c r="P161" s="9" t="e">
        <f t="shared" si="50"/>
        <v>#DIV/0!</v>
      </c>
      <c r="Q161" s="137" t="e">
        <f t="shared" si="50"/>
        <v>#DIV/0!</v>
      </c>
      <c r="R161" s="137" t="e">
        <f t="shared" si="50"/>
        <v>#DIV/0!</v>
      </c>
      <c r="S161" s="137" t="e">
        <f t="shared" si="50"/>
        <v>#DIV/0!</v>
      </c>
      <c r="T161" s="137" t="e">
        <f t="shared" si="50"/>
        <v>#DIV/0!</v>
      </c>
      <c r="U161" s="9" t="e">
        <f t="shared" si="50"/>
        <v>#DIV/0!</v>
      </c>
      <c r="V161" s="137" t="e">
        <f t="shared" si="50"/>
        <v>#DIV/0!</v>
      </c>
      <c r="W161" s="137" t="e">
        <f t="shared" si="50"/>
        <v>#DIV/0!</v>
      </c>
      <c r="X161" s="137" t="e">
        <f t="shared" si="50"/>
        <v>#DIV/0!</v>
      </c>
      <c r="Y161" s="137" t="e">
        <f t="shared" si="50"/>
        <v>#DIV/0!</v>
      </c>
      <c r="Z161" s="9" t="e">
        <f t="shared" si="50"/>
        <v>#DIV/0!</v>
      </c>
      <c r="AA161" s="137" t="e">
        <f t="shared" si="50"/>
        <v>#DIV/0!</v>
      </c>
      <c r="AB161" s="137" t="e">
        <f t="shared" si="50"/>
        <v>#DIV/0!</v>
      </c>
      <c r="AC161" s="137" t="e">
        <f t="shared" ref="AC161:AY161" si="51">AC23/AC$137</f>
        <v>#DIV/0!</v>
      </c>
      <c r="AD161" s="137" t="e">
        <f t="shared" si="51"/>
        <v>#DIV/0!</v>
      </c>
      <c r="AE161" s="9" t="e">
        <f t="shared" si="51"/>
        <v>#DIV/0!</v>
      </c>
      <c r="AF161" s="137" t="e">
        <f t="shared" si="51"/>
        <v>#DIV/0!</v>
      </c>
      <c r="AG161" s="137" t="e">
        <f t="shared" si="51"/>
        <v>#DIV/0!</v>
      </c>
      <c r="AH161" s="137" t="e">
        <f t="shared" si="51"/>
        <v>#DIV/0!</v>
      </c>
      <c r="AI161" s="137" t="e">
        <f t="shared" si="51"/>
        <v>#DIV/0!</v>
      </c>
      <c r="AJ161" s="9" t="e">
        <f t="shared" si="51"/>
        <v>#DIV/0!</v>
      </c>
      <c r="AK161" s="137" t="e">
        <f t="shared" si="51"/>
        <v>#DIV/0!</v>
      </c>
      <c r="AL161" s="137" t="e">
        <f t="shared" si="51"/>
        <v>#DIV/0!</v>
      </c>
      <c r="AM161" s="137" t="e">
        <f t="shared" si="51"/>
        <v>#DIV/0!</v>
      </c>
      <c r="AN161" s="137" t="e">
        <f t="shared" si="51"/>
        <v>#DIV/0!</v>
      </c>
      <c r="AO161" s="9" t="e">
        <f t="shared" si="51"/>
        <v>#DIV/0!</v>
      </c>
      <c r="AP161" s="137" t="e">
        <f t="shared" si="51"/>
        <v>#DIV/0!</v>
      </c>
      <c r="AQ161" s="137" t="e">
        <f t="shared" si="51"/>
        <v>#DIV/0!</v>
      </c>
      <c r="AR161" s="137" t="e">
        <f t="shared" si="51"/>
        <v>#DIV/0!</v>
      </c>
      <c r="AS161" s="137" t="e">
        <f t="shared" si="51"/>
        <v>#DIV/0!</v>
      </c>
      <c r="AT161" s="9" t="e">
        <f t="shared" si="51"/>
        <v>#DIV/0!</v>
      </c>
      <c r="AU161" s="137" t="e">
        <f t="shared" si="51"/>
        <v>#DIV/0!</v>
      </c>
      <c r="AV161" s="137" t="e">
        <f t="shared" si="51"/>
        <v>#DIV/0!</v>
      </c>
      <c r="AW161" s="137" t="e">
        <f t="shared" si="51"/>
        <v>#DIV/0!</v>
      </c>
      <c r="AX161" s="137" t="e">
        <f t="shared" si="51"/>
        <v>#DIV/0!</v>
      </c>
      <c r="AY161" s="106" t="e">
        <f t="shared" si="51"/>
        <v>#DIV/0!</v>
      </c>
    </row>
    <row r="162" spans="1:51">
      <c r="A162" s="128" t="s">
        <v>73</v>
      </c>
      <c r="B162" s="106" t="e">
        <f t="shared" ref="B162:AB162" si="52">B24/B$137</f>
        <v>#DIV/0!</v>
      </c>
      <c r="C162" s="106" t="e">
        <f t="shared" si="52"/>
        <v>#DIV/0!</v>
      </c>
      <c r="D162" s="106" t="e">
        <f t="shared" si="52"/>
        <v>#DIV/0!</v>
      </c>
      <c r="E162" s="106" t="e">
        <f t="shared" si="52"/>
        <v>#DIV/0!</v>
      </c>
      <c r="F162" s="9" t="e">
        <f t="shared" si="52"/>
        <v>#DIV/0!</v>
      </c>
      <c r="G162" s="106" t="e">
        <f t="shared" si="52"/>
        <v>#DIV/0!</v>
      </c>
      <c r="H162" s="106" t="e">
        <f t="shared" si="52"/>
        <v>#DIV/0!</v>
      </c>
      <c r="I162" s="106" t="e">
        <f t="shared" si="52"/>
        <v>#DIV/0!</v>
      </c>
      <c r="J162" s="106" t="e">
        <f t="shared" si="52"/>
        <v>#DIV/0!</v>
      </c>
      <c r="K162" s="9" t="e">
        <f t="shared" si="52"/>
        <v>#DIV/0!</v>
      </c>
      <c r="L162" s="106" t="e">
        <f t="shared" si="52"/>
        <v>#DIV/0!</v>
      </c>
      <c r="M162" s="106" t="e">
        <f t="shared" si="52"/>
        <v>#DIV/0!</v>
      </c>
      <c r="N162" s="106" t="e">
        <f t="shared" si="52"/>
        <v>#DIV/0!</v>
      </c>
      <c r="O162" s="106" t="e">
        <f t="shared" si="52"/>
        <v>#DIV/0!</v>
      </c>
      <c r="P162" s="9" t="e">
        <f t="shared" si="52"/>
        <v>#DIV/0!</v>
      </c>
      <c r="Q162" s="137" t="e">
        <f t="shared" si="52"/>
        <v>#DIV/0!</v>
      </c>
      <c r="R162" s="137" t="e">
        <f t="shared" si="52"/>
        <v>#DIV/0!</v>
      </c>
      <c r="S162" s="137" t="e">
        <f t="shared" si="52"/>
        <v>#DIV/0!</v>
      </c>
      <c r="T162" s="137" t="e">
        <f t="shared" si="52"/>
        <v>#DIV/0!</v>
      </c>
      <c r="U162" s="9" t="e">
        <f t="shared" si="52"/>
        <v>#DIV/0!</v>
      </c>
      <c r="V162" s="137" t="e">
        <f t="shared" si="52"/>
        <v>#DIV/0!</v>
      </c>
      <c r="W162" s="137" t="e">
        <f t="shared" si="52"/>
        <v>#DIV/0!</v>
      </c>
      <c r="X162" s="137" t="e">
        <f t="shared" si="52"/>
        <v>#DIV/0!</v>
      </c>
      <c r="Y162" s="137" t="e">
        <f t="shared" si="52"/>
        <v>#DIV/0!</v>
      </c>
      <c r="Z162" s="9" t="e">
        <f t="shared" si="52"/>
        <v>#DIV/0!</v>
      </c>
      <c r="AA162" s="137" t="e">
        <f t="shared" si="52"/>
        <v>#DIV/0!</v>
      </c>
      <c r="AB162" s="137" t="e">
        <f t="shared" si="52"/>
        <v>#DIV/0!</v>
      </c>
      <c r="AC162" s="137" t="e">
        <f t="shared" ref="AC162:AY162" si="53">AC24/AC$137</f>
        <v>#DIV/0!</v>
      </c>
      <c r="AD162" s="137" t="e">
        <f t="shared" si="53"/>
        <v>#DIV/0!</v>
      </c>
      <c r="AE162" s="9" t="e">
        <f t="shared" si="53"/>
        <v>#DIV/0!</v>
      </c>
      <c r="AF162" s="137" t="e">
        <f t="shared" si="53"/>
        <v>#DIV/0!</v>
      </c>
      <c r="AG162" s="137" t="e">
        <f t="shared" si="53"/>
        <v>#DIV/0!</v>
      </c>
      <c r="AH162" s="137" t="e">
        <f t="shared" si="53"/>
        <v>#DIV/0!</v>
      </c>
      <c r="AI162" s="137" t="e">
        <f t="shared" si="53"/>
        <v>#DIV/0!</v>
      </c>
      <c r="AJ162" s="9" t="e">
        <f t="shared" si="53"/>
        <v>#DIV/0!</v>
      </c>
      <c r="AK162" s="137" t="e">
        <f t="shared" si="53"/>
        <v>#DIV/0!</v>
      </c>
      <c r="AL162" s="137" t="e">
        <f t="shared" si="53"/>
        <v>#DIV/0!</v>
      </c>
      <c r="AM162" s="137" t="e">
        <f t="shared" si="53"/>
        <v>#DIV/0!</v>
      </c>
      <c r="AN162" s="137" t="e">
        <f t="shared" si="53"/>
        <v>#DIV/0!</v>
      </c>
      <c r="AO162" s="9" t="e">
        <f t="shared" si="53"/>
        <v>#DIV/0!</v>
      </c>
      <c r="AP162" s="137" t="e">
        <f t="shared" si="53"/>
        <v>#DIV/0!</v>
      </c>
      <c r="AQ162" s="137" t="e">
        <f t="shared" si="53"/>
        <v>#DIV/0!</v>
      </c>
      <c r="AR162" s="137" t="e">
        <f t="shared" si="53"/>
        <v>#DIV/0!</v>
      </c>
      <c r="AS162" s="137" t="e">
        <f t="shared" si="53"/>
        <v>#DIV/0!</v>
      </c>
      <c r="AT162" s="9" t="e">
        <f t="shared" si="53"/>
        <v>#DIV/0!</v>
      </c>
      <c r="AU162" s="137" t="e">
        <f t="shared" si="53"/>
        <v>#DIV/0!</v>
      </c>
      <c r="AV162" s="137" t="e">
        <f t="shared" si="53"/>
        <v>#DIV/0!</v>
      </c>
      <c r="AW162" s="137" t="e">
        <f t="shared" si="53"/>
        <v>#DIV/0!</v>
      </c>
      <c r="AX162" s="137" t="e">
        <f t="shared" si="53"/>
        <v>#DIV/0!</v>
      </c>
      <c r="AY162" s="106" t="e">
        <f t="shared" si="53"/>
        <v>#DIV/0!</v>
      </c>
    </row>
    <row r="163" spans="1:51">
      <c r="A163" s="128" t="s">
        <v>75</v>
      </c>
      <c r="B163" s="106" t="e">
        <f t="shared" ref="B163:AB163" si="54">B25/B$137</f>
        <v>#DIV/0!</v>
      </c>
      <c r="C163" s="106" t="e">
        <f t="shared" si="54"/>
        <v>#DIV/0!</v>
      </c>
      <c r="D163" s="106" t="e">
        <f t="shared" si="54"/>
        <v>#DIV/0!</v>
      </c>
      <c r="E163" s="106" t="e">
        <f t="shared" si="54"/>
        <v>#DIV/0!</v>
      </c>
      <c r="F163" s="9" t="e">
        <f t="shared" si="54"/>
        <v>#DIV/0!</v>
      </c>
      <c r="G163" s="106" t="e">
        <f t="shared" si="54"/>
        <v>#DIV/0!</v>
      </c>
      <c r="H163" s="106" t="e">
        <f t="shared" si="54"/>
        <v>#DIV/0!</v>
      </c>
      <c r="I163" s="106" t="e">
        <f t="shared" si="54"/>
        <v>#DIV/0!</v>
      </c>
      <c r="J163" s="106" t="e">
        <f t="shared" si="54"/>
        <v>#DIV/0!</v>
      </c>
      <c r="K163" s="9" t="e">
        <f t="shared" si="54"/>
        <v>#DIV/0!</v>
      </c>
      <c r="L163" s="106" t="e">
        <f t="shared" si="54"/>
        <v>#DIV/0!</v>
      </c>
      <c r="M163" s="106" t="e">
        <f t="shared" si="54"/>
        <v>#DIV/0!</v>
      </c>
      <c r="N163" s="106" t="e">
        <f t="shared" si="54"/>
        <v>#DIV/0!</v>
      </c>
      <c r="O163" s="106" t="e">
        <f t="shared" si="54"/>
        <v>#DIV/0!</v>
      </c>
      <c r="P163" s="9" t="e">
        <f t="shared" si="54"/>
        <v>#DIV/0!</v>
      </c>
      <c r="Q163" s="137" t="e">
        <f t="shared" si="54"/>
        <v>#DIV/0!</v>
      </c>
      <c r="R163" s="137" t="e">
        <f t="shared" si="54"/>
        <v>#DIV/0!</v>
      </c>
      <c r="S163" s="137" t="e">
        <f t="shared" si="54"/>
        <v>#DIV/0!</v>
      </c>
      <c r="T163" s="137" t="e">
        <f t="shared" si="54"/>
        <v>#DIV/0!</v>
      </c>
      <c r="U163" s="9" t="e">
        <f t="shared" si="54"/>
        <v>#DIV/0!</v>
      </c>
      <c r="V163" s="137" t="e">
        <f t="shared" si="54"/>
        <v>#DIV/0!</v>
      </c>
      <c r="W163" s="137" t="e">
        <f t="shared" si="54"/>
        <v>#DIV/0!</v>
      </c>
      <c r="X163" s="137" t="e">
        <f t="shared" si="54"/>
        <v>#DIV/0!</v>
      </c>
      <c r="Y163" s="137" t="e">
        <f t="shared" si="54"/>
        <v>#DIV/0!</v>
      </c>
      <c r="Z163" s="9" t="e">
        <f t="shared" si="54"/>
        <v>#DIV/0!</v>
      </c>
      <c r="AA163" s="137" t="e">
        <f t="shared" si="54"/>
        <v>#DIV/0!</v>
      </c>
      <c r="AB163" s="137" t="e">
        <f t="shared" si="54"/>
        <v>#DIV/0!</v>
      </c>
      <c r="AC163" s="137" t="e">
        <f t="shared" ref="AC163:AY163" si="55">AC25/AC$137</f>
        <v>#DIV/0!</v>
      </c>
      <c r="AD163" s="137" t="e">
        <f t="shared" si="55"/>
        <v>#DIV/0!</v>
      </c>
      <c r="AE163" s="9" t="e">
        <f t="shared" si="55"/>
        <v>#DIV/0!</v>
      </c>
      <c r="AF163" s="137" t="e">
        <f t="shared" si="55"/>
        <v>#DIV/0!</v>
      </c>
      <c r="AG163" s="137" t="e">
        <f t="shared" si="55"/>
        <v>#DIV/0!</v>
      </c>
      <c r="AH163" s="137" t="e">
        <f t="shared" si="55"/>
        <v>#DIV/0!</v>
      </c>
      <c r="AI163" s="137" t="e">
        <f t="shared" si="55"/>
        <v>#DIV/0!</v>
      </c>
      <c r="AJ163" s="9" t="e">
        <f t="shared" si="55"/>
        <v>#DIV/0!</v>
      </c>
      <c r="AK163" s="137" t="e">
        <f t="shared" si="55"/>
        <v>#DIV/0!</v>
      </c>
      <c r="AL163" s="137" t="e">
        <f t="shared" si="55"/>
        <v>#DIV/0!</v>
      </c>
      <c r="AM163" s="137" t="e">
        <f t="shared" si="55"/>
        <v>#DIV/0!</v>
      </c>
      <c r="AN163" s="137" t="e">
        <f t="shared" si="55"/>
        <v>#DIV/0!</v>
      </c>
      <c r="AO163" s="9" t="e">
        <f t="shared" si="55"/>
        <v>#DIV/0!</v>
      </c>
      <c r="AP163" s="137" t="e">
        <f t="shared" si="55"/>
        <v>#DIV/0!</v>
      </c>
      <c r="AQ163" s="137" t="e">
        <f t="shared" si="55"/>
        <v>#DIV/0!</v>
      </c>
      <c r="AR163" s="137" t="e">
        <f t="shared" si="55"/>
        <v>#DIV/0!</v>
      </c>
      <c r="AS163" s="137" t="e">
        <f t="shared" si="55"/>
        <v>#DIV/0!</v>
      </c>
      <c r="AT163" s="9" t="e">
        <f t="shared" si="55"/>
        <v>#DIV/0!</v>
      </c>
      <c r="AU163" s="137" t="e">
        <f t="shared" si="55"/>
        <v>#DIV/0!</v>
      </c>
      <c r="AV163" s="137" t="e">
        <f t="shared" si="55"/>
        <v>#DIV/0!</v>
      </c>
      <c r="AW163" s="137" t="e">
        <f t="shared" si="55"/>
        <v>#DIV/0!</v>
      </c>
      <c r="AX163" s="137" t="e">
        <f t="shared" si="55"/>
        <v>#DIV/0!</v>
      </c>
      <c r="AY163" s="106" t="e">
        <f t="shared" si="55"/>
        <v>#DIV/0!</v>
      </c>
    </row>
    <row r="164" spans="1:51">
      <c r="A164" s="128" t="s">
        <v>77</v>
      </c>
      <c r="B164" s="106" t="e">
        <f t="shared" ref="B164:AB164" si="56">B26/B$137</f>
        <v>#DIV/0!</v>
      </c>
      <c r="C164" s="106" t="e">
        <f t="shared" si="56"/>
        <v>#DIV/0!</v>
      </c>
      <c r="D164" s="106" t="e">
        <f t="shared" si="56"/>
        <v>#DIV/0!</v>
      </c>
      <c r="E164" s="106" t="e">
        <f t="shared" si="56"/>
        <v>#DIV/0!</v>
      </c>
      <c r="F164" s="9" t="e">
        <f t="shared" si="56"/>
        <v>#DIV/0!</v>
      </c>
      <c r="G164" s="106" t="e">
        <f t="shared" si="56"/>
        <v>#DIV/0!</v>
      </c>
      <c r="H164" s="106" t="e">
        <f t="shared" si="56"/>
        <v>#DIV/0!</v>
      </c>
      <c r="I164" s="106" t="e">
        <f t="shared" si="56"/>
        <v>#DIV/0!</v>
      </c>
      <c r="J164" s="106" t="e">
        <f t="shared" si="56"/>
        <v>#DIV/0!</v>
      </c>
      <c r="K164" s="9" t="e">
        <f t="shared" si="56"/>
        <v>#DIV/0!</v>
      </c>
      <c r="L164" s="106" t="e">
        <f t="shared" si="56"/>
        <v>#DIV/0!</v>
      </c>
      <c r="M164" s="106" t="e">
        <f t="shared" si="56"/>
        <v>#DIV/0!</v>
      </c>
      <c r="N164" s="106" t="e">
        <f t="shared" si="56"/>
        <v>#DIV/0!</v>
      </c>
      <c r="O164" s="106" t="e">
        <f t="shared" si="56"/>
        <v>#DIV/0!</v>
      </c>
      <c r="P164" s="9" t="e">
        <f t="shared" si="56"/>
        <v>#DIV/0!</v>
      </c>
      <c r="Q164" s="137" t="e">
        <f t="shared" si="56"/>
        <v>#DIV/0!</v>
      </c>
      <c r="R164" s="137" t="e">
        <f t="shared" si="56"/>
        <v>#DIV/0!</v>
      </c>
      <c r="S164" s="137" t="e">
        <f t="shared" si="56"/>
        <v>#DIV/0!</v>
      </c>
      <c r="T164" s="137" t="e">
        <f t="shared" si="56"/>
        <v>#DIV/0!</v>
      </c>
      <c r="U164" s="9" t="e">
        <f t="shared" si="56"/>
        <v>#DIV/0!</v>
      </c>
      <c r="V164" s="137" t="e">
        <f t="shared" si="56"/>
        <v>#DIV/0!</v>
      </c>
      <c r="W164" s="137" t="e">
        <f t="shared" si="56"/>
        <v>#DIV/0!</v>
      </c>
      <c r="X164" s="137" t="e">
        <f t="shared" si="56"/>
        <v>#DIV/0!</v>
      </c>
      <c r="Y164" s="137" t="e">
        <f t="shared" si="56"/>
        <v>#DIV/0!</v>
      </c>
      <c r="Z164" s="9" t="e">
        <f t="shared" si="56"/>
        <v>#DIV/0!</v>
      </c>
      <c r="AA164" s="137" t="e">
        <f t="shared" si="56"/>
        <v>#DIV/0!</v>
      </c>
      <c r="AB164" s="137" t="e">
        <f t="shared" si="56"/>
        <v>#DIV/0!</v>
      </c>
      <c r="AC164" s="137" t="e">
        <f t="shared" ref="AC164:AY164" si="57">AC26/AC$137</f>
        <v>#DIV/0!</v>
      </c>
      <c r="AD164" s="137" t="e">
        <f t="shared" si="57"/>
        <v>#DIV/0!</v>
      </c>
      <c r="AE164" s="9" t="e">
        <f t="shared" si="57"/>
        <v>#DIV/0!</v>
      </c>
      <c r="AF164" s="137" t="e">
        <f t="shared" si="57"/>
        <v>#DIV/0!</v>
      </c>
      <c r="AG164" s="137" t="e">
        <f t="shared" si="57"/>
        <v>#DIV/0!</v>
      </c>
      <c r="AH164" s="137" t="e">
        <f t="shared" si="57"/>
        <v>#DIV/0!</v>
      </c>
      <c r="AI164" s="137" t="e">
        <f t="shared" si="57"/>
        <v>#DIV/0!</v>
      </c>
      <c r="AJ164" s="9" t="e">
        <f t="shared" si="57"/>
        <v>#DIV/0!</v>
      </c>
      <c r="AK164" s="137" t="e">
        <f t="shared" si="57"/>
        <v>#DIV/0!</v>
      </c>
      <c r="AL164" s="137" t="e">
        <f t="shared" si="57"/>
        <v>#DIV/0!</v>
      </c>
      <c r="AM164" s="137" t="e">
        <f t="shared" si="57"/>
        <v>#DIV/0!</v>
      </c>
      <c r="AN164" s="137" t="e">
        <f t="shared" si="57"/>
        <v>#DIV/0!</v>
      </c>
      <c r="AO164" s="9" t="e">
        <f t="shared" si="57"/>
        <v>#DIV/0!</v>
      </c>
      <c r="AP164" s="137" t="e">
        <f t="shared" si="57"/>
        <v>#DIV/0!</v>
      </c>
      <c r="AQ164" s="137" t="e">
        <f t="shared" si="57"/>
        <v>#DIV/0!</v>
      </c>
      <c r="AR164" s="137" t="e">
        <f t="shared" si="57"/>
        <v>#DIV/0!</v>
      </c>
      <c r="AS164" s="137" t="e">
        <f t="shared" si="57"/>
        <v>#DIV/0!</v>
      </c>
      <c r="AT164" s="9" t="e">
        <f t="shared" si="57"/>
        <v>#DIV/0!</v>
      </c>
      <c r="AU164" s="137" t="e">
        <f t="shared" si="57"/>
        <v>#DIV/0!</v>
      </c>
      <c r="AV164" s="137" t="e">
        <f t="shared" si="57"/>
        <v>#DIV/0!</v>
      </c>
      <c r="AW164" s="137" t="e">
        <f t="shared" si="57"/>
        <v>#DIV/0!</v>
      </c>
      <c r="AX164" s="137" t="e">
        <f t="shared" si="57"/>
        <v>#DIV/0!</v>
      </c>
      <c r="AY164" s="106" t="e">
        <f t="shared" si="57"/>
        <v>#DIV/0!</v>
      </c>
    </row>
    <row r="165" spans="1:51">
      <c r="A165" s="128" t="s">
        <v>79</v>
      </c>
      <c r="B165" s="106" t="e">
        <f t="shared" ref="B165:AB165" si="58">B27/B$137</f>
        <v>#DIV/0!</v>
      </c>
      <c r="C165" s="106" t="e">
        <f t="shared" si="58"/>
        <v>#DIV/0!</v>
      </c>
      <c r="D165" s="106" t="e">
        <f t="shared" si="58"/>
        <v>#DIV/0!</v>
      </c>
      <c r="E165" s="106" t="e">
        <f t="shared" si="58"/>
        <v>#DIV/0!</v>
      </c>
      <c r="F165" s="9" t="e">
        <f t="shared" si="58"/>
        <v>#DIV/0!</v>
      </c>
      <c r="G165" s="106" t="e">
        <f t="shared" si="58"/>
        <v>#DIV/0!</v>
      </c>
      <c r="H165" s="106" t="e">
        <f t="shared" si="58"/>
        <v>#DIV/0!</v>
      </c>
      <c r="I165" s="106" t="e">
        <f t="shared" si="58"/>
        <v>#DIV/0!</v>
      </c>
      <c r="J165" s="106" t="e">
        <f t="shared" si="58"/>
        <v>#DIV/0!</v>
      </c>
      <c r="K165" s="9" t="e">
        <f t="shared" si="58"/>
        <v>#DIV/0!</v>
      </c>
      <c r="L165" s="106" t="e">
        <f t="shared" si="58"/>
        <v>#DIV/0!</v>
      </c>
      <c r="M165" s="106" t="e">
        <f t="shared" si="58"/>
        <v>#DIV/0!</v>
      </c>
      <c r="N165" s="106" t="e">
        <f t="shared" si="58"/>
        <v>#DIV/0!</v>
      </c>
      <c r="O165" s="106" t="e">
        <f t="shared" si="58"/>
        <v>#DIV/0!</v>
      </c>
      <c r="P165" s="9" t="e">
        <f t="shared" si="58"/>
        <v>#DIV/0!</v>
      </c>
      <c r="Q165" s="137" t="e">
        <f t="shared" si="58"/>
        <v>#DIV/0!</v>
      </c>
      <c r="R165" s="137" t="e">
        <f t="shared" si="58"/>
        <v>#DIV/0!</v>
      </c>
      <c r="S165" s="137" t="e">
        <f t="shared" si="58"/>
        <v>#DIV/0!</v>
      </c>
      <c r="T165" s="137" t="e">
        <f t="shared" si="58"/>
        <v>#DIV/0!</v>
      </c>
      <c r="U165" s="9" t="e">
        <f t="shared" si="58"/>
        <v>#DIV/0!</v>
      </c>
      <c r="V165" s="137" t="e">
        <f t="shared" si="58"/>
        <v>#DIV/0!</v>
      </c>
      <c r="W165" s="137" t="e">
        <f t="shared" si="58"/>
        <v>#DIV/0!</v>
      </c>
      <c r="X165" s="137" t="e">
        <f t="shared" si="58"/>
        <v>#DIV/0!</v>
      </c>
      <c r="Y165" s="137" t="e">
        <f t="shared" si="58"/>
        <v>#DIV/0!</v>
      </c>
      <c r="Z165" s="9" t="e">
        <f t="shared" si="58"/>
        <v>#DIV/0!</v>
      </c>
      <c r="AA165" s="137" t="e">
        <f t="shared" si="58"/>
        <v>#DIV/0!</v>
      </c>
      <c r="AB165" s="137" t="e">
        <f t="shared" si="58"/>
        <v>#DIV/0!</v>
      </c>
      <c r="AC165" s="137" t="e">
        <f t="shared" ref="AC165:AY165" si="59">AC27/AC$137</f>
        <v>#DIV/0!</v>
      </c>
      <c r="AD165" s="137" t="e">
        <f t="shared" si="59"/>
        <v>#DIV/0!</v>
      </c>
      <c r="AE165" s="9" t="e">
        <f t="shared" si="59"/>
        <v>#DIV/0!</v>
      </c>
      <c r="AF165" s="137" t="e">
        <f t="shared" si="59"/>
        <v>#DIV/0!</v>
      </c>
      <c r="AG165" s="137" t="e">
        <f t="shared" si="59"/>
        <v>#DIV/0!</v>
      </c>
      <c r="AH165" s="137" t="e">
        <f t="shared" si="59"/>
        <v>#DIV/0!</v>
      </c>
      <c r="AI165" s="137" t="e">
        <f t="shared" si="59"/>
        <v>#DIV/0!</v>
      </c>
      <c r="AJ165" s="9" t="e">
        <f t="shared" si="59"/>
        <v>#DIV/0!</v>
      </c>
      <c r="AK165" s="137" t="e">
        <f t="shared" si="59"/>
        <v>#DIV/0!</v>
      </c>
      <c r="AL165" s="137" t="e">
        <f t="shared" si="59"/>
        <v>#DIV/0!</v>
      </c>
      <c r="AM165" s="137" t="e">
        <f t="shared" si="59"/>
        <v>#DIV/0!</v>
      </c>
      <c r="AN165" s="137" t="e">
        <f t="shared" si="59"/>
        <v>#DIV/0!</v>
      </c>
      <c r="AO165" s="9" t="e">
        <f t="shared" si="59"/>
        <v>#DIV/0!</v>
      </c>
      <c r="AP165" s="137" t="e">
        <f t="shared" si="59"/>
        <v>#DIV/0!</v>
      </c>
      <c r="AQ165" s="137" t="e">
        <f t="shared" si="59"/>
        <v>#DIV/0!</v>
      </c>
      <c r="AR165" s="137" t="e">
        <f t="shared" si="59"/>
        <v>#DIV/0!</v>
      </c>
      <c r="AS165" s="137" t="e">
        <f t="shared" si="59"/>
        <v>#DIV/0!</v>
      </c>
      <c r="AT165" s="9" t="e">
        <f t="shared" si="59"/>
        <v>#DIV/0!</v>
      </c>
      <c r="AU165" s="137" t="e">
        <f t="shared" si="59"/>
        <v>#DIV/0!</v>
      </c>
      <c r="AV165" s="137" t="e">
        <f t="shared" si="59"/>
        <v>#DIV/0!</v>
      </c>
      <c r="AW165" s="137" t="e">
        <f t="shared" si="59"/>
        <v>#DIV/0!</v>
      </c>
      <c r="AX165" s="137" t="e">
        <f t="shared" si="59"/>
        <v>#DIV/0!</v>
      </c>
      <c r="AY165" s="106" t="e">
        <f t="shared" si="59"/>
        <v>#DIV/0!</v>
      </c>
    </row>
    <row r="166" spans="1:51">
      <c r="A166" s="128" t="s">
        <v>81</v>
      </c>
      <c r="B166" s="106" t="e">
        <f t="shared" ref="B166:AB166" si="60">B28/B$137</f>
        <v>#DIV/0!</v>
      </c>
      <c r="C166" s="106" t="e">
        <f t="shared" si="60"/>
        <v>#DIV/0!</v>
      </c>
      <c r="D166" s="106" t="e">
        <f t="shared" si="60"/>
        <v>#DIV/0!</v>
      </c>
      <c r="E166" s="106" t="e">
        <f t="shared" si="60"/>
        <v>#DIV/0!</v>
      </c>
      <c r="F166" s="9" t="e">
        <f t="shared" si="60"/>
        <v>#DIV/0!</v>
      </c>
      <c r="G166" s="106" t="e">
        <f t="shared" si="60"/>
        <v>#DIV/0!</v>
      </c>
      <c r="H166" s="106" t="e">
        <f t="shared" si="60"/>
        <v>#DIV/0!</v>
      </c>
      <c r="I166" s="106" t="e">
        <f t="shared" si="60"/>
        <v>#DIV/0!</v>
      </c>
      <c r="J166" s="106" t="e">
        <f t="shared" si="60"/>
        <v>#DIV/0!</v>
      </c>
      <c r="K166" s="9" t="e">
        <f t="shared" si="60"/>
        <v>#DIV/0!</v>
      </c>
      <c r="L166" s="106" t="e">
        <f t="shared" si="60"/>
        <v>#DIV/0!</v>
      </c>
      <c r="M166" s="106" t="e">
        <f t="shared" si="60"/>
        <v>#DIV/0!</v>
      </c>
      <c r="N166" s="106" t="e">
        <f t="shared" si="60"/>
        <v>#DIV/0!</v>
      </c>
      <c r="O166" s="106" t="e">
        <f t="shared" si="60"/>
        <v>#DIV/0!</v>
      </c>
      <c r="P166" s="9" t="e">
        <f t="shared" si="60"/>
        <v>#DIV/0!</v>
      </c>
      <c r="Q166" s="137" t="e">
        <f t="shared" si="60"/>
        <v>#DIV/0!</v>
      </c>
      <c r="R166" s="137" t="e">
        <f t="shared" si="60"/>
        <v>#DIV/0!</v>
      </c>
      <c r="S166" s="137" t="e">
        <f t="shared" si="60"/>
        <v>#DIV/0!</v>
      </c>
      <c r="T166" s="137" t="e">
        <f t="shared" si="60"/>
        <v>#DIV/0!</v>
      </c>
      <c r="U166" s="9" t="e">
        <f t="shared" si="60"/>
        <v>#DIV/0!</v>
      </c>
      <c r="V166" s="137" t="e">
        <f t="shared" si="60"/>
        <v>#DIV/0!</v>
      </c>
      <c r="W166" s="137" t="e">
        <f t="shared" si="60"/>
        <v>#DIV/0!</v>
      </c>
      <c r="X166" s="137" t="e">
        <f t="shared" si="60"/>
        <v>#DIV/0!</v>
      </c>
      <c r="Y166" s="137" t="e">
        <f t="shared" si="60"/>
        <v>#DIV/0!</v>
      </c>
      <c r="Z166" s="9" t="e">
        <f t="shared" si="60"/>
        <v>#DIV/0!</v>
      </c>
      <c r="AA166" s="137" t="e">
        <f t="shared" si="60"/>
        <v>#DIV/0!</v>
      </c>
      <c r="AB166" s="137" t="e">
        <f t="shared" si="60"/>
        <v>#DIV/0!</v>
      </c>
      <c r="AC166" s="137" t="e">
        <f t="shared" ref="AC166:AY166" si="61">AC28/AC$137</f>
        <v>#DIV/0!</v>
      </c>
      <c r="AD166" s="137" t="e">
        <f t="shared" si="61"/>
        <v>#DIV/0!</v>
      </c>
      <c r="AE166" s="9" t="e">
        <f t="shared" si="61"/>
        <v>#DIV/0!</v>
      </c>
      <c r="AF166" s="137" t="e">
        <f t="shared" si="61"/>
        <v>#DIV/0!</v>
      </c>
      <c r="AG166" s="137" t="e">
        <f t="shared" si="61"/>
        <v>#DIV/0!</v>
      </c>
      <c r="AH166" s="137" t="e">
        <f t="shared" si="61"/>
        <v>#DIV/0!</v>
      </c>
      <c r="AI166" s="137" t="e">
        <f t="shared" si="61"/>
        <v>#DIV/0!</v>
      </c>
      <c r="AJ166" s="9" t="e">
        <f t="shared" si="61"/>
        <v>#DIV/0!</v>
      </c>
      <c r="AK166" s="137" t="e">
        <f t="shared" si="61"/>
        <v>#DIV/0!</v>
      </c>
      <c r="AL166" s="137" t="e">
        <f t="shared" si="61"/>
        <v>#DIV/0!</v>
      </c>
      <c r="AM166" s="137" t="e">
        <f t="shared" si="61"/>
        <v>#DIV/0!</v>
      </c>
      <c r="AN166" s="137" t="e">
        <f t="shared" si="61"/>
        <v>#DIV/0!</v>
      </c>
      <c r="AO166" s="9" t="e">
        <f t="shared" si="61"/>
        <v>#DIV/0!</v>
      </c>
      <c r="AP166" s="137" t="e">
        <f t="shared" si="61"/>
        <v>#DIV/0!</v>
      </c>
      <c r="AQ166" s="137" t="e">
        <f t="shared" si="61"/>
        <v>#DIV/0!</v>
      </c>
      <c r="AR166" s="137" t="e">
        <f t="shared" si="61"/>
        <v>#DIV/0!</v>
      </c>
      <c r="AS166" s="137" t="e">
        <f t="shared" si="61"/>
        <v>#DIV/0!</v>
      </c>
      <c r="AT166" s="9" t="e">
        <f t="shared" si="61"/>
        <v>#DIV/0!</v>
      </c>
      <c r="AU166" s="137" t="e">
        <f t="shared" si="61"/>
        <v>#DIV/0!</v>
      </c>
      <c r="AV166" s="137" t="e">
        <f t="shared" si="61"/>
        <v>#DIV/0!</v>
      </c>
      <c r="AW166" s="137" t="e">
        <f t="shared" si="61"/>
        <v>#DIV/0!</v>
      </c>
      <c r="AX166" s="137" t="e">
        <f t="shared" si="61"/>
        <v>#DIV/0!</v>
      </c>
      <c r="AY166" s="106" t="e">
        <f t="shared" si="61"/>
        <v>#DIV/0!</v>
      </c>
    </row>
    <row r="167" spans="1:51">
      <c r="A167" s="128" t="s">
        <v>83</v>
      </c>
      <c r="B167" s="106" t="e">
        <f t="shared" ref="B167:AB167" si="62">B29/B$137</f>
        <v>#DIV/0!</v>
      </c>
      <c r="C167" s="106" t="e">
        <f t="shared" si="62"/>
        <v>#DIV/0!</v>
      </c>
      <c r="D167" s="106" t="e">
        <f t="shared" si="62"/>
        <v>#DIV/0!</v>
      </c>
      <c r="E167" s="106" t="e">
        <f t="shared" si="62"/>
        <v>#DIV/0!</v>
      </c>
      <c r="F167" s="9" t="e">
        <f t="shared" si="62"/>
        <v>#DIV/0!</v>
      </c>
      <c r="G167" s="106" t="e">
        <f t="shared" si="62"/>
        <v>#DIV/0!</v>
      </c>
      <c r="H167" s="106" t="e">
        <f t="shared" si="62"/>
        <v>#DIV/0!</v>
      </c>
      <c r="I167" s="106" t="e">
        <f t="shared" si="62"/>
        <v>#DIV/0!</v>
      </c>
      <c r="J167" s="106" t="e">
        <f t="shared" si="62"/>
        <v>#DIV/0!</v>
      </c>
      <c r="K167" s="9" t="e">
        <f t="shared" si="62"/>
        <v>#DIV/0!</v>
      </c>
      <c r="L167" s="106" t="e">
        <f t="shared" si="62"/>
        <v>#DIV/0!</v>
      </c>
      <c r="M167" s="106" t="e">
        <f t="shared" si="62"/>
        <v>#DIV/0!</v>
      </c>
      <c r="N167" s="106" t="e">
        <f t="shared" si="62"/>
        <v>#DIV/0!</v>
      </c>
      <c r="O167" s="106" t="e">
        <f t="shared" si="62"/>
        <v>#DIV/0!</v>
      </c>
      <c r="P167" s="9" t="e">
        <f t="shared" si="62"/>
        <v>#DIV/0!</v>
      </c>
      <c r="Q167" s="137" t="e">
        <f t="shared" si="62"/>
        <v>#DIV/0!</v>
      </c>
      <c r="R167" s="137" t="e">
        <f t="shared" si="62"/>
        <v>#DIV/0!</v>
      </c>
      <c r="S167" s="137" t="e">
        <f t="shared" si="62"/>
        <v>#DIV/0!</v>
      </c>
      <c r="T167" s="137" t="e">
        <f t="shared" si="62"/>
        <v>#DIV/0!</v>
      </c>
      <c r="U167" s="9" t="e">
        <f t="shared" si="62"/>
        <v>#DIV/0!</v>
      </c>
      <c r="V167" s="137" t="e">
        <f t="shared" si="62"/>
        <v>#DIV/0!</v>
      </c>
      <c r="W167" s="137" t="e">
        <f t="shared" si="62"/>
        <v>#DIV/0!</v>
      </c>
      <c r="X167" s="137" t="e">
        <f t="shared" si="62"/>
        <v>#DIV/0!</v>
      </c>
      <c r="Y167" s="137" t="e">
        <f t="shared" si="62"/>
        <v>#DIV/0!</v>
      </c>
      <c r="Z167" s="9" t="e">
        <f t="shared" si="62"/>
        <v>#DIV/0!</v>
      </c>
      <c r="AA167" s="137" t="e">
        <f t="shared" si="62"/>
        <v>#DIV/0!</v>
      </c>
      <c r="AB167" s="137" t="e">
        <f t="shared" si="62"/>
        <v>#DIV/0!</v>
      </c>
      <c r="AC167" s="137" t="e">
        <f t="shared" ref="AC167:AY167" si="63">AC29/AC$137</f>
        <v>#DIV/0!</v>
      </c>
      <c r="AD167" s="137" t="e">
        <f t="shared" si="63"/>
        <v>#DIV/0!</v>
      </c>
      <c r="AE167" s="9" t="e">
        <f t="shared" si="63"/>
        <v>#DIV/0!</v>
      </c>
      <c r="AF167" s="137" t="e">
        <f t="shared" si="63"/>
        <v>#DIV/0!</v>
      </c>
      <c r="AG167" s="137" t="e">
        <f t="shared" si="63"/>
        <v>#DIV/0!</v>
      </c>
      <c r="AH167" s="137" t="e">
        <f t="shared" si="63"/>
        <v>#DIV/0!</v>
      </c>
      <c r="AI167" s="137" t="e">
        <f t="shared" si="63"/>
        <v>#DIV/0!</v>
      </c>
      <c r="AJ167" s="9" t="e">
        <f t="shared" si="63"/>
        <v>#DIV/0!</v>
      </c>
      <c r="AK167" s="137" t="e">
        <f t="shared" si="63"/>
        <v>#DIV/0!</v>
      </c>
      <c r="AL167" s="137" t="e">
        <f t="shared" si="63"/>
        <v>#DIV/0!</v>
      </c>
      <c r="AM167" s="137" t="e">
        <f t="shared" si="63"/>
        <v>#DIV/0!</v>
      </c>
      <c r="AN167" s="137" t="e">
        <f t="shared" si="63"/>
        <v>#DIV/0!</v>
      </c>
      <c r="AO167" s="9" t="e">
        <f t="shared" si="63"/>
        <v>#DIV/0!</v>
      </c>
      <c r="AP167" s="137" t="e">
        <f t="shared" si="63"/>
        <v>#DIV/0!</v>
      </c>
      <c r="AQ167" s="137" t="e">
        <f t="shared" si="63"/>
        <v>#DIV/0!</v>
      </c>
      <c r="AR167" s="137" t="e">
        <f t="shared" si="63"/>
        <v>#DIV/0!</v>
      </c>
      <c r="AS167" s="137" t="e">
        <f t="shared" si="63"/>
        <v>#DIV/0!</v>
      </c>
      <c r="AT167" s="9" t="e">
        <f t="shared" si="63"/>
        <v>#DIV/0!</v>
      </c>
      <c r="AU167" s="137" t="e">
        <f t="shared" si="63"/>
        <v>#DIV/0!</v>
      </c>
      <c r="AV167" s="137" t="e">
        <f t="shared" si="63"/>
        <v>#DIV/0!</v>
      </c>
      <c r="AW167" s="137" t="e">
        <f t="shared" si="63"/>
        <v>#DIV/0!</v>
      </c>
      <c r="AX167" s="137" t="e">
        <f t="shared" si="63"/>
        <v>#DIV/0!</v>
      </c>
      <c r="AY167" s="106" t="e">
        <f t="shared" si="63"/>
        <v>#DIV/0!</v>
      </c>
    </row>
    <row r="168" spans="1:51">
      <c r="A168" s="128" t="s">
        <v>85</v>
      </c>
      <c r="B168" s="106" t="e">
        <f t="shared" ref="B168:AB168" si="64">B30/B$137</f>
        <v>#DIV/0!</v>
      </c>
      <c r="C168" s="106" t="e">
        <f t="shared" si="64"/>
        <v>#DIV/0!</v>
      </c>
      <c r="D168" s="106" t="e">
        <f t="shared" si="64"/>
        <v>#DIV/0!</v>
      </c>
      <c r="E168" s="106" t="e">
        <f t="shared" si="64"/>
        <v>#DIV/0!</v>
      </c>
      <c r="F168" s="9" t="e">
        <f t="shared" si="64"/>
        <v>#DIV/0!</v>
      </c>
      <c r="G168" s="106" t="e">
        <f t="shared" si="64"/>
        <v>#DIV/0!</v>
      </c>
      <c r="H168" s="106" t="e">
        <f t="shared" si="64"/>
        <v>#DIV/0!</v>
      </c>
      <c r="I168" s="106" t="e">
        <f t="shared" si="64"/>
        <v>#DIV/0!</v>
      </c>
      <c r="J168" s="106" t="e">
        <f t="shared" si="64"/>
        <v>#DIV/0!</v>
      </c>
      <c r="K168" s="9" t="e">
        <f t="shared" si="64"/>
        <v>#DIV/0!</v>
      </c>
      <c r="L168" s="106" t="e">
        <f t="shared" si="64"/>
        <v>#DIV/0!</v>
      </c>
      <c r="M168" s="106" t="e">
        <f t="shared" si="64"/>
        <v>#DIV/0!</v>
      </c>
      <c r="N168" s="106" t="e">
        <f t="shared" si="64"/>
        <v>#DIV/0!</v>
      </c>
      <c r="O168" s="106" t="e">
        <f t="shared" si="64"/>
        <v>#DIV/0!</v>
      </c>
      <c r="P168" s="9" t="e">
        <f t="shared" si="64"/>
        <v>#DIV/0!</v>
      </c>
      <c r="Q168" s="137" t="e">
        <f t="shared" si="64"/>
        <v>#DIV/0!</v>
      </c>
      <c r="R168" s="137" t="e">
        <f t="shared" si="64"/>
        <v>#DIV/0!</v>
      </c>
      <c r="S168" s="137" t="e">
        <f t="shared" si="64"/>
        <v>#DIV/0!</v>
      </c>
      <c r="T168" s="137" t="e">
        <f t="shared" si="64"/>
        <v>#DIV/0!</v>
      </c>
      <c r="U168" s="9" t="e">
        <f t="shared" si="64"/>
        <v>#DIV/0!</v>
      </c>
      <c r="V168" s="137" t="e">
        <f t="shared" si="64"/>
        <v>#DIV/0!</v>
      </c>
      <c r="W168" s="137" t="e">
        <f t="shared" si="64"/>
        <v>#DIV/0!</v>
      </c>
      <c r="X168" s="137" t="e">
        <f t="shared" si="64"/>
        <v>#DIV/0!</v>
      </c>
      <c r="Y168" s="137" t="e">
        <f t="shared" si="64"/>
        <v>#DIV/0!</v>
      </c>
      <c r="Z168" s="9" t="e">
        <f t="shared" si="64"/>
        <v>#DIV/0!</v>
      </c>
      <c r="AA168" s="137" t="e">
        <f t="shared" si="64"/>
        <v>#DIV/0!</v>
      </c>
      <c r="AB168" s="137" t="e">
        <f t="shared" si="64"/>
        <v>#DIV/0!</v>
      </c>
      <c r="AC168" s="137" t="e">
        <f t="shared" ref="AC168:AY168" si="65">AC30/AC$137</f>
        <v>#DIV/0!</v>
      </c>
      <c r="AD168" s="137" t="e">
        <f t="shared" si="65"/>
        <v>#DIV/0!</v>
      </c>
      <c r="AE168" s="9" t="e">
        <f t="shared" si="65"/>
        <v>#DIV/0!</v>
      </c>
      <c r="AF168" s="137" t="e">
        <f t="shared" si="65"/>
        <v>#DIV/0!</v>
      </c>
      <c r="AG168" s="137" t="e">
        <f t="shared" si="65"/>
        <v>#DIV/0!</v>
      </c>
      <c r="AH168" s="137" t="e">
        <f t="shared" si="65"/>
        <v>#DIV/0!</v>
      </c>
      <c r="AI168" s="137" t="e">
        <f t="shared" si="65"/>
        <v>#DIV/0!</v>
      </c>
      <c r="AJ168" s="9" t="e">
        <f t="shared" si="65"/>
        <v>#DIV/0!</v>
      </c>
      <c r="AK168" s="137" t="e">
        <f t="shared" si="65"/>
        <v>#DIV/0!</v>
      </c>
      <c r="AL168" s="137" t="e">
        <f t="shared" si="65"/>
        <v>#DIV/0!</v>
      </c>
      <c r="AM168" s="137" t="e">
        <f t="shared" si="65"/>
        <v>#DIV/0!</v>
      </c>
      <c r="AN168" s="137" t="e">
        <f t="shared" si="65"/>
        <v>#DIV/0!</v>
      </c>
      <c r="AO168" s="9" t="e">
        <f t="shared" si="65"/>
        <v>#DIV/0!</v>
      </c>
      <c r="AP168" s="137" t="e">
        <f t="shared" si="65"/>
        <v>#DIV/0!</v>
      </c>
      <c r="AQ168" s="137" t="e">
        <f t="shared" si="65"/>
        <v>#DIV/0!</v>
      </c>
      <c r="AR168" s="137" t="e">
        <f t="shared" si="65"/>
        <v>#DIV/0!</v>
      </c>
      <c r="AS168" s="137" t="e">
        <f t="shared" si="65"/>
        <v>#DIV/0!</v>
      </c>
      <c r="AT168" s="9" t="e">
        <f t="shared" si="65"/>
        <v>#DIV/0!</v>
      </c>
      <c r="AU168" s="137" t="e">
        <f t="shared" si="65"/>
        <v>#DIV/0!</v>
      </c>
      <c r="AV168" s="137" t="e">
        <f t="shared" si="65"/>
        <v>#DIV/0!</v>
      </c>
      <c r="AW168" s="137" t="e">
        <f t="shared" si="65"/>
        <v>#DIV/0!</v>
      </c>
      <c r="AX168" s="137" t="e">
        <f t="shared" si="65"/>
        <v>#DIV/0!</v>
      </c>
      <c r="AY168" s="106" t="e">
        <f t="shared" si="65"/>
        <v>#DIV/0!</v>
      </c>
    </row>
    <row r="169" spans="1:51">
      <c r="A169" s="128" t="s">
        <v>87</v>
      </c>
      <c r="B169" s="106" t="e">
        <f t="shared" ref="B169:AB169" si="66">B31/B$137</f>
        <v>#DIV/0!</v>
      </c>
      <c r="C169" s="106" t="e">
        <f t="shared" si="66"/>
        <v>#DIV/0!</v>
      </c>
      <c r="D169" s="106" t="e">
        <f t="shared" si="66"/>
        <v>#DIV/0!</v>
      </c>
      <c r="E169" s="106" t="e">
        <f t="shared" si="66"/>
        <v>#DIV/0!</v>
      </c>
      <c r="F169" s="9" t="e">
        <f t="shared" si="66"/>
        <v>#DIV/0!</v>
      </c>
      <c r="G169" s="106" t="e">
        <f t="shared" si="66"/>
        <v>#DIV/0!</v>
      </c>
      <c r="H169" s="106" t="e">
        <f t="shared" si="66"/>
        <v>#DIV/0!</v>
      </c>
      <c r="I169" s="106" t="e">
        <f t="shared" si="66"/>
        <v>#DIV/0!</v>
      </c>
      <c r="J169" s="106" t="e">
        <f t="shared" si="66"/>
        <v>#DIV/0!</v>
      </c>
      <c r="K169" s="9" t="e">
        <f t="shared" si="66"/>
        <v>#DIV/0!</v>
      </c>
      <c r="L169" s="106" t="e">
        <f t="shared" si="66"/>
        <v>#DIV/0!</v>
      </c>
      <c r="M169" s="106" t="e">
        <f t="shared" si="66"/>
        <v>#DIV/0!</v>
      </c>
      <c r="N169" s="106" t="e">
        <f t="shared" si="66"/>
        <v>#DIV/0!</v>
      </c>
      <c r="O169" s="106" t="e">
        <f t="shared" si="66"/>
        <v>#DIV/0!</v>
      </c>
      <c r="P169" s="9" t="e">
        <f t="shared" si="66"/>
        <v>#DIV/0!</v>
      </c>
      <c r="Q169" s="137" t="e">
        <f t="shared" si="66"/>
        <v>#DIV/0!</v>
      </c>
      <c r="R169" s="137" t="e">
        <f t="shared" si="66"/>
        <v>#DIV/0!</v>
      </c>
      <c r="S169" s="137" t="e">
        <f t="shared" si="66"/>
        <v>#DIV/0!</v>
      </c>
      <c r="T169" s="137" t="e">
        <f t="shared" si="66"/>
        <v>#DIV/0!</v>
      </c>
      <c r="U169" s="9" t="e">
        <f t="shared" si="66"/>
        <v>#DIV/0!</v>
      </c>
      <c r="V169" s="137" t="e">
        <f t="shared" si="66"/>
        <v>#DIV/0!</v>
      </c>
      <c r="W169" s="137" t="e">
        <f t="shared" si="66"/>
        <v>#DIV/0!</v>
      </c>
      <c r="X169" s="137" t="e">
        <f t="shared" si="66"/>
        <v>#DIV/0!</v>
      </c>
      <c r="Y169" s="137" t="e">
        <f t="shared" si="66"/>
        <v>#DIV/0!</v>
      </c>
      <c r="Z169" s="9" t="e">
        <f t="shared" si="66"/>
        <v>#DIV/0!</v>
      </c>
      <c r="AA169" s="137" t="e">
        <f t="shared" si="66"/>
        <v>#DIV/0!</v>
      </c>
      <c r="AB169" s="137" t="e">
        <f t="shared" si="66"/>
        <v>#DIV/0!</v>
      </c>
      <c r="AC169" s="137" t="e">
        <f t="shared" ref="AC169:AY169" si="67">AC31/AC$137</f>
        <v>#DIV/0!</v>
      </c>
      <c r="AD169" s="137" t="e">
        <f t="shared" si="67"/>
        <v>#DIV/0!</v>
      </c>
      <c r="AE169" s="9" t="e">
        <f t="shared" si="67"/>
        <v>#DIV/0!</v>
      </c>
      <c r="AF169" s="137" t="e">
        <f t="shared" si="67"/>
        <v>#DIV/0!</v>
      </c>
      <c r="AG169" s="137" t="e">
        <f t="shared" si="67"/>
        <v>#DIV/0!</v>
      </c>
      <c r="AH169" s="137" t="e">
        <f t="shared" si="67"/>
        <v>#DIV/0!</v>
      </c>
      <c r="AI169" s="137" t="e">
        <f t="shared" si="67"/>
        <v>#DIV/0!</v>
      </c>
      <c r="AJ169" s="9" t="e">
        <f t="shared" si="67"/>
        <v>#DIV/0!</v>
      </c>
      <c r="AK169" s="137" t="e">
        <f t="shared" si="67"/>
        <v>#DIV/0!</v>
      </c>
      <c r="AL169" s="137" t="e">
        <f t="shared" si="67"/>
        <v>#DIV/0!</v>
      </c>
      <c r="AM169" s="137" t="e">
        <f t="shared" si="67"/>
        <v>#DIV/0!</v>
      </c>
      <c r="AN169" s="137" t="e">
        <f t="shared" si="67"/>
        <v>#DIV/0!</v>
      </c>
      <c r="AO169" s="9" t="e">
        <f t="shared" si="67"/>
        <v>#DIV/0!</v>
      </c>
      <c r="AP169" s="137" t="e">
        <f t="shared" si="67"/>
        <v>#DIV/0!</v>
      </c>
      <c r="AQ169" s="137" t="e">
        <f t="shared" si="67"/>
        <v>#DIV/0!</v>
      </c>
      <c r="AR169" s="137" t="e">
        <f t="shared" si="67"/>
        <v>#DIV/0!</v>
      </c>
      <c r="AS169" s="137" t="e">
        <f t="shared" si="67"/>
        <v>#DIV/0!</v>
      </c>
      <c r="AT169" s="9" t="e">
        <f t="shared" si="67"/>
        <v>#DIV/0!</v>
      </c>
      <c r="AU169" s="137" t="e">
        <f t="shared" si="67"/>
        <v>#DIV/0!</v>
      </c>
      <c r="AV169" s="137" t="e">
        <f t="shared" si="67"/>
        <v>#DIV/0!</v>
      </c>
      <c r="AW169" s="137" t="e">
        <f t="shared" si="67"/>
        <v>#DIV/0!</v>
      </c>
      <c r="AX169" s="137" t="e">
        <f t="shared" si="67"/>
        <v>#DIV/0!</v>
      </c>
      <c r="AY169" s="106" t="e">
        <f t="shared" si="67"/>
        <v>#DIV/0!</v>
      </c>
    </row>
    <row r="170" spans="1:51">
      <c r="A170" s="128" t="s">
        <v>89</v>
      </c>
      <c r="B170" s="106" t="e">
        <f t="shared" ref="B170:AB170" si="68">B32/B$137</f>
        <v>#DIV/0!</v>
      </c>
      <c r="C170" s="106" t="e">
        <f t="shared" si="68"/>
        <v>#DIV/0!</v>
      </c>
      <c r="D170" s="106" t="e">
        <f t="shared" si="68"/>
        <v>#DIV/0!</v>
      </c>
      <c r="E170" s="106" t="e">
        <f t="shared" si="68"/>
        <v>#DIV/0!</v>
      </c>
      <c r="F170" s="9" t="e">
        <f t="shared" si="68"/>
        <v>#DIV/0!</v>
      </c>
      <c r="G170" s="106" t="e">
        <f t="shared" si="68"/>
        <v>#DIV/0!</v>
      </c>
      <c r="H170" s="106" t="e">
        <f t="shared" si="68"/>
        <v>#DIV/0!</v>
      </c>
      <c r="I170" s="106" t="e">
        <f t="shared" si="68"/>
        <v>#DIV/0!</v>
      </c>
      <c r="J170" s="106" t="e">
        <f t="shared" si="68"/>
        <v>#DIV/0!</v>
      </c>
      <c r="K170" s="9" t="e">
        <f t="shared" si="68"/>
        <v>#DIV/0!</v>
      </c>
      <c r="L170" s="106" t="e">
        <f t="shared" si="68"/>
        <v>#DIV/0!</v>
      </c>
      <c r="M170" s="106" t="e">
        <f t="shared" si="68"/>
        <v>#DIV/0!</v>
      </c>
      <c r="N170" s="106" t="e">
        <f t="shared" si="68"/>
        <v>#DIV/0!</v>
      </c>
      <c r="O170" s="106" t="e">
        <f t="shared" si="68"/>
        <v>#DIV/0!</v>
      </c>
      <c r="P170" s="9" t="e">
        <f t="shared" si="68"/>
        <v>#DIV/0!</v>
      </c>
      <c r="Q170" s="137" t="e">
        <f t="shared" si="68"/>
        <v>#DIV/0!</v>
      </c>
      <c r="R170" s="137" t="e">
        <f t="shared" si="68"/>
        <v>#DIV/0!</v>
      </c>
      <c r="S170" s="137" t="e">
        <f t="shared" si="68"/>
        <v>#DIV/0!</v>
      </c>
      <c r="T170" s="137" t="e">
        <f t="shared" si="68"/>
        <v>#DIV/0!</v>
      </c>
      <c r="U170" s="9" t="e">
        <f t="shared" si="68"/>
        <v>#DIV/0!</v>
      </c>
      <c r="V170" s="137" t="e">
        <f t="shared" si="68"/>
        <v>#DIV/0!</v>
      </c>
      <c r="W170" s="137" t="e">
        <f t="shared" si="68"/>
        <v>#DIV/0!</v>
      </c>
      <c r="X170" s="137" t="e">
        <f t="shared" si="68"/>
        <v>#DIV/0!</v>
      </c>
      <c r="Y170" s="137" t="e">
        <f t="shared" si="68"/>
        <v>#DIV/0!</v>
      </c>
      <c r="Z170" s="9" t="e">
        <f t="shared" si="68"/>
        <v>#DIV/0!</v>
      </c>
      <c r="AA170" s="137" t="e">
        <f t="shared" si="68"/>
        <v>#DIV/0!</v>
      </c>
      <c r="AB170" s="137" t="e">
        <f t="shared" si="68"/>
        <v>#DIV/0!</v>
      </c>
      <c r="AC170" s="137" t="e">
        <f t="shared" ref="AC170:AY170" si="69">AC32/AC$137</f>
        <v>#DIV/0!</v>
      </c>
      <c r="AD170" s="137" t="e">
        <f t="shared" si="69"/>
        <v>#DIV/0!</v>
      </c>
      <c r="AE170" s="9" t="e">
        <f t="shared" si="69"/>
        <v>#DIV/0!</v>
      </c>
      <c r="AF170" s="137" t="e">
        <f t="shared" si="69"/>
        <v>#DIV/0!</v>
      </c>
      <c r="AG170" s="137" t="e">
        <f t="shared" si="69"/>
        <v>#DIV/0!</v>
      </c>
      <c r="AH170" s="137" t="e">
        <f t="shared" si="69"/>
        <v>#DIV/0!</v>
      </c>
      <c r="AI170" s="137" t="e">
        <f t="shared" si="69"/>
        <v>#DIV/0!</v>
      </c>
      <c r="AJ170" s="9" t="e">
        <f t="shared" si="69"/>
        <v>#DIV/0!</v>
      </c>
      <c r="AK170" s="137" t="e">
        <f t="shared" si="69"/>
        <v>#DIV/0!</v>
      </c>
      <c r="AL170" s="137" t="e">
        <f t="shared" si="69"/>
        <v>#DIV/0!</v>
      </c>
      <c r="AM170" s="137" t="e">
        <f t="shared" si="69"/>
        <v>#DIV/0!</v>
      </c>
      <c r="AN170" s="137" t="e">
        <f t="shared" si="69"/>
        <v>#DIV/0!</v>
      </c>
      <c r="AO170" s="9" t="e">
        <f t="shared" si="69"/>
        <v>#DIV/0!</v>
      </c>
      <c r="AP170" s="137" t="e">
        <f t="shared" si="69"/>
        <v>#DIV/0!</v>
      </c>
      <c r="AQ170" s="137" t="e">
        <f t="shared" si="69"/>
        <v>#DIV/0!</v>
      </c>
      <c r="AR170" s="137" t="e">
        <f t="shared" si="69"/>
        <v>#DIV/0!</v>
      </c>
      <c r="AS170" s="137" t="e">
        <f t="shared" si="69"/>
        <v>#DIV/0!</v>
      </c>
      <c r="AT170" s="9" t="e">
        <f t="shared" si="69"/>
        <v>#DIV/0!</v>
      </c>
      <c r="AU170" s="137" t="e">
        <f t="shared" si="69"/>
        <v>#DIV/0!</v>
      </c>
      <c r="AV170" s="137" t="e">
        <f t="shared" si="69"/>
        <v>#DIV/0!</v>
      </c>
      <c r="AW170" s="137" t="e">
        <f t="shared" si="69"/>
        <v>#DIV/0!</v>
      </c>
      <c r="AX170" s="137" t="e">
        <f t="shared" si="69"/>
        <v>#DIV/0!</v>
      </c>
      <c r="AY170" s="106" t="e">
        <f t="shared" si="69"/>
        <v>#DIV/0!</v>
      </c>
    </row>
    <row r="171" spans="1:51">
      <c r="A171" s="128" t="s">
        <v>91</v>
      </c>
      <c r="B171" s="106" t="e">
        <f t="shared" ref="B171:AB171" si="70">B33/B$137</f>
        <v>#DIV/0!</v>
      </c>
      <c r="C171" s="106" t="e">
        <f t="shared" si="70"/>
        <v>#DIV/0!</v>
      </c>
      <c r="D171" s="106" t="e">
        <f t="shared" si="70"/>
        <v>#DIV/0!</v>
      </c>
      <c r="E171" s="106" t="e">
        <f t="shared" si="70"/>
        <v>#DIV/0!</v>
      </c>
      <c r="F171" s="9" t="e">
        <f t="shared" si="70"/>
        <v>#DIV/0!</v>
      </c>
      <c r="G171" s="106" t="e">
        <f t="shared" si="70"/>
        <v>#DIV/0!</v>
      </c>
      <c r="H171" s="106" t="e">
        <f t="shared" si="70"/>
        <v>#DIV/0!</v>
      </c>
      <c r="I171" s="106" t="e">
        <f t="shared" si="70"/>
        <v>#DIV/0!</v>
      </c>
      <c r="J171" s="106" t="e">
        <f t="shared" si="70"/>
        <v>#DIV/0!</v>
      </c>
      <c r="K171" s="9" t="e">
        <f t="shared" si="70"/>
        <v>#DIV/0!</v>
      </c>
      <c r="L171" s="106" t="e">
        <f t="shared" si="70"/>
        <v>#DIV/0!</v>
      </c>
      <c r="M171" s="106" t="e">
        <f t="shared" si="70"/>
        <v>#DIV/0!</v>
      </c>
      <c r="N171" s="106" t="e">
        <f t="shared" si="70"/>
        <v>#DIV/0!</v>
      </c>
      <c r="O171" s="106" t="e">
        <f t="shared" si="70"/>
        <v>#DIV/0!</v>
      </c>
      <c r="P171" s="9" t="e">
        <f t="shared" si="70"/>
        <v>#DIV/0!</v>
      </c>
      <c r="Q171" s="137" t="e">
        <f t="shared" si="70"/>
        <v>#DIV/0!</v>
      </c>
      <c r="R171" s="137" t="e">
        <f t="shared" si="70"/>
        <v>#DIV/0!</v>
      </c>
      <c r="S171" s="137" t="e">
        <f t="shared" si="70"/>
        <v>#DIV/0!</v>
      </c>
      <c r="T171" s="137" t="e">
        <f t="shared" si="70"/>
        <v>#DIV/0!</v>
      </c>
      <c r="U171" s="9" t="e">
        <f t="shared" si="70"/>
        <v>#DIV/0!</v>
      </c>
      <c r="V171" s="137" t="e">
        <f t="shared" si="70"/>
        <v>#DIV/0!</v>
      </c>
      <c r="W171" s="137" t="e">
        <f t="shared" si="70"/>
        <v>#DIV/0!</v>
      </c>
      <c r="X171" s="137" t="e">
        <f t="shared" si="70"/>
        <v>#DIV/0!</v>
      </c>
      <c r="Y171" s="137" t="e">
        <f t="shared" si="70"/>
        <v>#DIV/0!</v>
      </c>
      <c r="Z171" s="9" t="e">
        <f t="shared" si="70"/>
        <v>#DIV/0!</v>
      </c>
      <c r="AA171" s="137" t="e">
        <f t="shared" si="70"/>
        <v>#DIV/0!</v>
      </c>
      <c r="AB171" s="137" t="e">
        <f t="shared" si="70"/>
        <v>#DIV/0!</v>
      </c>
      <c r="AC171" s="137" t="e">
        <f t="shared" ref="AC171:AY171" si="71">AC33/AC$137</f>
        <v>#DIV/0!</v>
      </c>
      <c r="AD171" s="137" t="e">
        <f t="shared" si="71"/>
        <v>#DIV/0!</v>
      </c>
      <c r="AE171" s="9" t="e">
        <f t="shared" si="71"/>
        <v>#DIV/0!</v>
      </c>
      <c r="AF171" s="137" t="e">
        <f t="shared" si="71"/>
        <v>#DIV/0!</v>
      </c>
      <c r="AG171" s="137" t="e">
        <f t="shared" si="71"/>
        <v>#DIV/0!</v>
      </c>
      <c r="AH171" s="137" t="e">
        <f t="shared" si="71"/>
        <v>#DIV/0!</v>
      </c>
      <c r="AI171" s="137" t="e">
        <f t="shared" si="71"/>
        <v>#DIV/0!</v>
      </c>
      <c r="AJ171" s="9" t="e">
        <f t="shared" si="71"/>
        <v>#DIV/0!</v>
      </c>
      <c r="AK171" s="137" t="e">
        <f t="shared" si="71"/>
        <v>#DIV/0!</v>
      </c>
      <c r="AL171" s="137" t="e">
        <f t="shared" si="71"/>
        <v>#DIV/0!</v>
      </c>
      <c r="AM171" s="137" t="e">
        <f t="shared" si="71"/>
        <v>#DIV/0!</v>
      </c>
      <c r="AN171" s="137" t="e">
        <f t="shared" si="71"/>
        <v>#DIV/0!</v>
      </c>
      <c r="AO171" s="9" t="e">
        <f t="shared" si="71"/>
        <v>#DIV/0!</v>
      </c>
      <c r="AP171" s="137" t="e">
        <f t="shared" si="71"/>
        <v>#DIV/0!</v>
      </c>
      <c r="AQ171" s="137" t="e">
        <f t="shared" si="71"/>
        <v>#DIV/0!</v>
      </c>
      <c r="AR171" s="137" t="e">
        <f t="shared" si="71"/>
        <v>#DIV/0!</v>
      </c>
      <c r="AS171" s="137" t="e">
        <f t="shared" si="71"/>
        <v>#DIV/0!</v>
      </c>
      <c r="AT171" s="9" t="e">
        <f t="shared" si="71"/>
        <v>#DIV/0!</v>
      </c>
      <c r="AU171" s="137" t="e">
        <f t="shared" si="71"/>
        <v>#DIV/0!</v>
      </c>
      <c r="AV171" s="137" t="e">
        <f t="shared" si="71"/>
        <v>#DIV/0!</v>
      </c>
      <c r="AW171" s="137" t="e">
        <f t="shared" si="71"/>
        <v>#DIV/0!</v>
      </c>
      <c r="AX171" s="137" t="e">
        <f t="shared" si="71"/>
        <v>#DIV/0!</v>
      </c>
      <c r="AY171" s="106" t="e">
        <f t="shared" si="71"/>
        <v>#DIV/0!</v>
      </c>
    </row>
    <row r="172" spans="1:51">
      <c r="A172" s="128" t="s">
        <v>93</v>
      </c>
      <c r="B172" s="106" t="e">
        <f t="shared" ref="B172:AB172" si="72">B34/B$137</f>
        <v>#DIV/0!</v>
      </c>
      <c r="C172" s="106" t="e">
        <f t="shared" si="72"/>
        <v>#DIV/0!</v>
      </c>
      <c r="D172" s="106" t="e">
        <f t="shared" si="72"/>
        <v>#DIV/0!</v>
      </c>
      <c r="E172" s="106" t="e">
        <f t="shared" si="72"/>
        <v>#DIV/0!</v>
      </c>
      <c r="F172" s="9" t="e">
        <f t="shared" si="72"/>
        <v>#DIV/0!</v>
      </c>
      <c r="G172" s="106" t="e">
        <f t="shared" si="72"/>
        <v>#DIV/0!</v>
      </c>
      <c r="H172" s="106" t="e">
        <f t="shared" si="72"/>
        <v>#DIV/0!</v>
      </c>
      <c r="I172" s="106" t="e">
        <f t="shared" si="72"/>
        <v>#DIV/0!</v>
      </c>
      <c r="J172" s="106" t="e">
        <f t="shared" si="72"/>
        <v>#DIV/0!</v>
      </c>
      <c r="K172" s="9" t="e">
        <f t="shared" si="72"/>
        <v>#DIV/0!</v>
      </c>
      <c r="L172" s="106" t="e">
        <f t="shared" si="72"/>
        <v>#DIV/0!</v>
      </c>
      <c r="M172" s="106" t="e">
        <f t="shared" si="72"/>
        <v>#DIV/0!</v>
      </c>
      <c r="N172" s="106" t="e">
        <f t="shared" si="72"/>
        <v>#DIV/0!</v>
      </c>
      <c r="O172" s="106" t="e">
        <f t="shared" si="72"/>
        <v>#DIV/0!</v>
      </c>
      <c r="P172" s="9" t="e">
        <f t="shared" si="72"/>
        <v>#DIV/0!</v>
      </c>
      <c r="Q172" s="137" t="e">
        <f t="shared" si="72"/>
        <v>#DIV/0!</v>
      </c>
      <c r="R172" s="137" t="e">
        <f t="shared" si="72"/>
        <v>#DIV/0!</v>
      </c>
      <c r="S172" s="137" t="e">
        <f t="shared" si="72"/>
        <v>#DIV/0!</v>
      </c>
      <c r="T172" s="137" t="e">
        <f t="shared" si="72"/>
        <v>#DIV/0!</v>
      </c>
      <c r="U172" s="9" t="e">
        <f t="shared" si="72"/>
        <v>#DIV/0!</v>
      </c>
      <c r="V172" s="137" t="e">
        <f t="shared" si="72"/>
        <v>#DIV/0!</v>
      </c>
      <c r="W172" s="137" t="e">
        <f t="shared" si="72"/>
        <v>#DIV/0!</v>
      </c>
      <c r="X172" s="137" t="e">
        <f t="shared" si="72"/>
        <v>#DIV/0!</v>
      </c>
      <c r="Y172" s="137" t="e">
        <f t="shared" si="72"/>
        <v>#DIV/0!</v>
      </c>
      <c r="Z172" s="9" t="e">
        <f t="shared" si="72"/>
        <v>#DIV/0!</v>
      </c>
      <c r="AA172" s="137" t="e">
        <f t="shared" si="72"/>
        <v>#DIV/0!</v>
      </c>
      <c r="AB172" s="137" t="e">
        <f t="shared" si="72"/>
        <v>#DIV/0!</v>
      </c>
      <c r="AC172" s="137" t="e">
        <f t="shared" ref="AC172:AY172" si="73">AC34/AC$137</f>
        <v>#DIV/0!</v>
      </c>
      <c r="AD172" s="137" t="e">
        <f t="shared" si="73"/>
        <v>#DIV/0!</v>
      </c>
      <c r="AE172" s="9" t="e">
        <f t="shared" si="73"/>
        <v>#DIV/0!</v>
      </c>
      <c r="AF172" s="137" t="e">
        <f t="shared" si="73"/>
        <v>#DIV/0!</v>
      </c>
      <c r="AG172" s="137" t="e">
        <f t="shared" si="73"/>
        <v>#DIV/0!</v>
      </c>
      <c r="AH172" s="137" t="e">
        <f t="shared" si="73"/>
        <v>#DIV/0!</v>
      </c>
      <c r="AI172" s="137" t="e">
        <f t="shared" si="73"/>
        <v>#DIV/0!</v>
      </c>
      <c r="AJ172" s="9" t="e">
        <f t="shared" si="73"/>
        <v>#DIV/0!</v>
      </c>
      <c r="AK172" s="137" t="e">
        <f t="shared" si="73"/>
        <v>#DIV/0!</v>
      </c>
      <c r="AL172" s="137" t="e">
        <f t="shared" si="73"/>
        <v>#DIV/0!</v>
      </c>
      <c r="AM172" s="137" t="e">
        <f t="shared" si="73"/>
        <v>#DIV/0!</v>
      </c>
      <c r="AN172" s="137" t="e">
        <f t="shared" si="73"/>
        <v>#DIV/0!</v>
      </c>
      <c r="AO172" s="9" t="e">
        <f t="shared" si="73"/>
        <v>#DIV/0!</v>
      </c>
      <c r="AP172" s="137" t="e">
        <f t="shared" si="73"/>
        <v>#DIV/0!</v>
      </c>
      <c r="AQ172" s="137" t="e">
        <f t="shared" si="73"/>
        <v>#DIV/0!</v>
      </c>
      <c r="AR172" s="137" t="e">
        <f t="shared" si="73"/>
        <v>#DIV/0!</v>
      </c>
      <c r="AS172" s="137" t="e">
        <f t="shared" si="73"/>
        <v>#DIV/0!</v>
      </c>
      <c r="AT172" s="9" t="e">
        <f t="shared" si="73"/>
        <v>#DIV/0!</v>
      </c>
      <c r="AU172" s="137" t="e">
        <f t="shared" si="73"/>
        <v>#DIV/0!</v>
      </c>
      <c r="AV172" s="137" t="e">
        <f t="shared" si="73"/>
        <v>#DIV/0!</v>
      </c>
      <c r="AW172" s="137" t="e">
        <f t="shared" si="73"/>
        <v>#DIV/0!</v>
      </c>
      <c r="AX172" s="137" t="e">
        <f t="shared" si="73"/>
        <v>#DIV/0!</v>
      </c>
      <c r="AY172" s="106" t="e">
        <f t="shared" si="73"/>
        <v>#DIV/0!</v>
      </c>
    </row>
    <row r="173" spans="1:51">
      <c r="A173" s="128" t="s">
        <v>95</v>
      </c>
      <c r="B173" s="106" t="e">
        <f t="shared" ref="B173:AY176" si="74">B35/B$137</f>
        <v>#DIV/0!</v>
      </c>
      <c r="C173" s="106" t="e">
        <f t="shared" si="74"/>
        <v>#DIV/0!</v>
      </c>
      <c r="D173" s="106" t="e">
        <f t="shared" si="74"/>
        <v>#DIV/0!</v>
      </c>
      <c r="E173" s="106" t="e">
        <f t="shared" si="74"/>
        <v>#DIV/0!</v>
      </c>
      <c r="F173" s="9" t="e">
        <f t="shared" si="74"/>
        <v>#DIV/0!</v>
      </c>
      <c r="G173" s="106" t="e">
        <f t="shared" si="74"/>
        <v>#DIV/0!</v>
      </c>
      <c r="H173" s="106" t="e">
        <f t="shared" si="74"/>
        <v>#DIV/0!</v>
      </c>
      <c r="I173" s="106" t="e">
        <f t="shared" si="74"/>
        <v>#DIV/0!</v>
      </c>
      <c r="J173" s="106" t="e">
        <f t="shared" si="74"/>
        <v>#DIV/0!</v>
      </c>
      <c r="K173" s="9" t="e">
        <f t="shared" si="74"/>
        <v>#DIV/0!</v>
      </c>
      <c r="L173" s="106" t="e">
        <f t="shared" si="74"/>
        <v>#DIV/0!</v>
      </c>
      <c r="M173" s="106" t="e">
        <f t="shared" si="74"/>
        <v>#DIV/0!</v>
      </c>
      <c r="N173" s="106" t="e">
        <f t="shared" si="74"/>
        <v>#DIV/0!</v>
      </c>
      <c r="O173" s="106" t="e">
        <f t="shared" si="74"/>
        <v>#DIV/0!</v>
      </c>
      <c r="P173" s="9" t="e">
        <f t="shared" si="74"/>
        <v>#DIV/0!</v>
      </c>
      <c r="Q173" s="137" t="e">
        <f t="shared" si="74"/>
        <v>#DIV/0!</v>
      </c>
      <c r="R173" s="137" t="e">
        <f t="shared" si="74"/>
        <v>#DIV/0!</v>
      </c>
      <c r="S173" s="137" t="e">
        <f t="shared" si="74"/>
        <v>#DIV/0!</v>
      </c>
      <c r="T173" s="137" t="e">
        <f t="shared" si="74"/>
        <v>#DIV/0!</v>
      </c>
      <c r="U173" s="9" t="e">
        <f t="shared" si="74"/>
        <v>#DIV/0!</v>
      </c>
      <c r="V173" s="137" t="e">
        <f t="shared" si="74"/>
        <v>#DIV/0!</v>
      </c>
      <c r="W173" s="137" t="e">
        <f t="shared" si="74"/>
        <v>#DIV/0!</v>
      </c>
      <c r="X173" s="137" t="e">
        <f t="shared" si="74"/>
        <v>#DIV/0!</v>
      </c>
      <c r="Y173" s="137" t="e">
        <f t="shared" si="74"/>
        <v>#DIV/0!</v>
      </c>
      <c r="Z173" s="9" t="e">
        <f t="shared" si="74"/>
        <v>#DIV/0!</v>
      </c>
      <c r="AA173" s="137" t="e">
        <f t="shared" si="74"/>
        <v>#DIV/0!</v>
      </c>
      <c r="AB173" s="137" t="e">
        <f t="shared" si="74"/>
        <v>#DIV/0!</v>
      </c>
      <c r="AC173" s="137" t="e">
        <f t="shared" si="74"/>
        <v>#DIV/0!</v>
      </c>
      <c r="AD173" s="137" t="e">
        <f t="shared" si="74"/>
        <v>#DIV/0!</v>
      </c>
      <c r="AE173" s="9" t="e">
        <f t="shared" si="74"/>
        <v>#DIV/0!</v>
      </c>
      <c r="AF173" s="137" t="e">
        <f t="shared" si="74"/>
        <v>#DIV/0!</v>
      </c>
      <c r="AG173" s="137" t="e">
        <f t="shared" si="74"/>
        <v>#DIV/0!</v>
      </c>
      <c r="AH173" s="137" t="e">
        <f t="shared" si="74"/>
        <v>#DIV/0!</v>
      </c>
      <c r="AI173" s="137" t="e">
        <f t="shared" si="74"/>
        <v>#DIV/0!</v>
      </c>
      <c r="AJ173" s="9" t="e">
        <f t="shared" si="74"/>
        <v>#DIV/0!</v>
      </c>
      <c r="AK173" s="137" t="e">
        <f t="shared" si="74"/>
        <v>#DIV/0!</v>
      </c>
      <c r="AL173" s="137" t="e">
        <f t="shared" si="74"/>
        <v>#DIV/0!</v>
      </c>
      <c r="AM173" s="137" t="e">
        <f t="shared" si="74"/>
        <v>#DIV/0!</v>
      </c>
      <c r="AN173" s="137" t="e">
        <f t="shared" si="74"/>
        <v>#DIV/0!</v>
      </c>
      <c r="AO173" s="9" t="e">
        <f t="shared" si="74"/>
        <v>#DIV/0!</v>
      </c>
      <c r="AP173" s="137" t="e">
        <f t="shared" si="74"/>
        <v>#DIV/0!</v>
      </c>
      <c r="AQ173" s="137" t="e">
        <f t="shared" si="74"/>
        <v>#DIV/0!</v>
      </c>
      <c r="AR173" s="137" t="e">
        <f t="shared" si="74"/>
        <v>#DIV/0!</v>
      </c>
      <c r="AS173" s="137" t="e">
        <f t="shared" si="74"/>
        <v>#DIV/0!</v>
      </c>
      <c r="AT173" s="9" t="e">
        <f t="shared" si="74"/>
        <v>#DIV/0!</v>
      </c>
      <c r="AU173" s="137" t="e">
        <f t="shared" si="74"/>
        <v>#DIV/0!</v>
      </c>
      <c r="AV173" s="137" t="e">
        <f t="shared" si="74"/>
        <v>#DIV/0!</v>
      </c>
      <c r="AW173" s="137" t="e">
        <f t="shared" si="74"/>
        <v>#DIV/0!</v>
      </c>
      <c r="AX173" s="137" t="e">
        <f t="shared" si="74"/>
        <v>#DIV/0!</v>
      </c>
      <c r="AY173" s="106" t="e">
        <f t="shared" si="74"/>
        <v>#DIV/0!</v>
      </c>
    </row>
    <row r="174" spans="1:51">
      <c r="A174" s="128" t="s">
        <v>97</v>
      </c>
      <c r="B174" s="106" t="e">
        <f t="shared" si="74"/>
        <v>#DIV/0!</v>
      </c>
      <c r="C174" s="106" t="e">
        <f t="shared" si="74"/>
        <v>#DIV/0!</v>
      </c>
      <c r="D174" s="106" t="e">
        <f t="shared" si="74"/>
        <v>#DIV/0!</v>
      </c>
      <c r="E174" s="106" t="e">
        <f t="shared" si="74"/>
        <v>#DIV/0!</v>
      </c>
      <c r="F174" s="9" t="e">
        <f t="shared" si="74"/>
        <v>#DIV/0!</v>
      </c>
      <c r="G174" s="106" t="e">
        <f t="shared" si="74"/>
        <v>#DIV/0!</v>
      </c>
      <c r="H174" s="106" t="e">
        <f t="shared" si="74"/>
        <v>#DIV/0!</v>
      </c>
      <c r="I174" s="106" t="e">
        <f t="shared" si="74"/>
        <v>#DIV/0!</v>
      </c>
      <c r="J174" s="106" t="e">
        <f t="shared" si="74"/>
        <v>#DIV/0!</v>
      </c>
      <c r="K174" s="9" t="e">
        <f t="shared" si="74"/>
        <v>#DIV/0!</v>
      </c>
      <c r="L174" s="106" t="e">
        <f t="shared" si="74"/>
        <v>#DIV/0!</v>
      </c>
      <c r="M174" s="106" t="e">
        <f t="shared" si="74"/>
        <v>#DIV/0!</v>
      </c>
      <c r="N174" s="106" t="e">
        <f t="shared" si="74"/>
        <v>#DIV/0!</v>
      </c>
      <c r="O174" s="106" t="e">
        <f t="shared" si="74"/>
        <v>#DIV/0!</v>
      </c>
      <c r="P174" s="9" t="e">
        <f t="shared" si="74"/>
        <v>#DIV/0!</v>
      </c>
      <c r="Q174" s="137" t="e">
        <f t="shared" si="74"/>
        <v>#DIV/0!</v>
      </c>
      <c r="R174" s="137" t="e">
        <f t="shared" si="74"/>
        <v>#DIV/0!</v>
      </c>
      <c r="S174" s="137" t="e">
        <f t="shared" si="74"/>
        <v>#DIV/0!</v>
      </c>
      <c r="T174" s="137" t="e">
        <f t="shared" si="74"/>
        <v>#DIV/0!</v>
      </c>
      <c r="U174" s="9" t="e">
        <f t="shared" si="74"/>
        <v>#DIV/0!</v>
      </c>
      <c r="V174" s="137" t="e">
        <f t="shared" si="74"/>
        <v>#DIV/0!</v>
      </c>
      <c r="W174" s="137" t="e">
        <f t="shared" si="74"/>
        <v>#DIV/0!</v>
      </c>
      <c r="X174" s="137" t="e">
        <f t="shared" si="74"/>
        <v>#DIV/0!</v>
      </c>
      <c r="Y174" s="137" t="e">
        <f t="shared" si="74"/>
        <v>#DIV/0!</v>
      </c>
      <c r="Z174" s="9" t="e">
        <f t="shared" si="74"/>
        <v>#DIV/0!</v>
      </c>
      <c r="AA174" s="137" t="e">
        <f t="shared" si="74"/>
        <v>#DIV/0!</v>
      </c>
      <c r="AB174" s="137" t="e">
        <f t="shared" si="74"/>
        <v>#DIV/0!</v>
      </c>
      <c r="AC174" s="137" t="e">
        <f t="shared" si="74"/>
        <v>#DIV/0!</v>
      </c>
      <c r="AD174" s="137" t="e">
        <f t="shared" si="74"/>
        <v>#DIV/0!</v>
      </c>
      <c r="AE174" s="9" t="e">
        <f t="shared" si="74"/>
        <v>#DIV/0!</v>
      </c>
      <c r="AF174" s="137" t="e">
        <f t="shared" si="74"/>
        <v>#DIV/0!</v>
      </c>
      <c r="AG174" s="137" t="e">
        <f t="shared" si="74"/>
        <v>#DIV/0!</v>
      </c>
      <c r="AH174" s="137" t="e">
        <f t="shared" si="74"/>
        <v>#DIV/0!</v>
      </c>
      <c r="AI174" s="137" t="e">
        <f t="shared" si="74"/>
        <v>#DIV/0!</v>
      </c>
      <c r="AJ174" s="9" t="e">
        <f t="shared" si="74"/>
        <v>#DIV/0!</v>
      </c>
      <c r="AK174" s="137" t="e">
        <f t="shared" si="74"/>
        <v>#DIV/0!</v>
      </c>
      <c r="AL174" s="137" t="e">
        <f t="shared" si="74"/>
        <v>#DIV/0!</v>
      </c>
      <c r="AM174" s="137" t="e">
        <f t="shared" si="74"/>
        <v>#DIV/0!</v>
      </c>
      <c r="AN174" s="137" t="e">
        <f t="shared" si="74"/>
        <v>#DIV/0!</v>
      </c>
      <c r="AO174" s="9" t="e">
        <f t="shared" si="74"/>
        <v>#DIV/0!</v>
      </c>
      <c r="AP174" s="137" t="e">
        <f t="shared" si="74"/>
        <v>#DIV/0!</v>
      </c>
      <c r="AQ174" s="137" t="e">
        <f t="shared" si="74"/>
        <v>#DIV/0!</v>
      </c>
      <c r="AR174" s="137" t="e">
        <f t="shared" si="74"/>
        <v>#DIV/0!</v>
      </c>
      <c r="AS174" s="137" t="e">
        <f t="shared" si="74"/>
        <v>#DIV/0!</v>
      </c>
      <c r="AT174" s="9" t="e">
        <f t="shared" si="74"/>
        <v>#DIV/0!</v>
      </c>
      <c r="AU174" s="137" t="e">
        <f t="shared" si="74"/>
        <v>#DIV/0!</v>
      </c>
      <c r="AV174" s="137" t="e">
        <f t="shared" si="74"/>
        <v>#DIV/0!</v>
      </c>
      <c r="AW174" s="137" t="e">
        <f t="shared" si="74"/>
        <v>#DIV/0!</v>
      </c>
      <c r="AX174" s="137" t="e">
        <f t="shared" si="74"/>
        <v>#DIV/0!</v>
      </c>
      <c r="AY174" s="106" t="e">
        <f t="shared" si="74"/>
        <v>#DIV/0!</v>
      </c>
    </row>
    <row r="175" spans="1:51">
      <c r="A175" s="128" t="s">
        <v>99</v>
      </c>
      <c r="B175" s="106" t="e">
        <f t="shared" si="74"/>
        <v>#DIV/0!</v>
      </c>
      <c r="C175" s="106" t="e">
        <f t="shared" si="74"/>
        <v>#DIV/0!</v>
      </c>
      <c r="D175" s="106" t="e">
        <f t="shared" si="74"/>
        <v>#DIV/0!</v>
      </c>
      <c r="E175" s="106" t="e">
        <f t="shared" si="74"/>
        <v>#DIV/0!</v>
      </c>
      <c r="F175" s="9" t="e">
        <f t="shared" si="74"/>
        <v>#DIV/0!</v>
      </c>
      <c r="G175" s="106" t="e">
        <f t="shared" si="74"/>
        <v>#DIV/0!</v>
      </c>
      <c r="H175" s="106" t="e">
        <f t="shared" si="74"/>
        <v>#DIV/0!</v>
      </c>
      <c r="I175" s="106" t="e">
        <f t="shared" si="74"/>
        <v>#DIV/0!</v>
      </c>
      <c r="J175" s="106" t="e">
        <f t="shared" si="74"/>
        <v>#DIV/0!</v>
      </c>
      <c r="K175" s="9" t="e">
        <f t="shared" si="74"/>
        <v>#DIV/0!</v>
      </c>
      <c r="L175" s="106" t="e">
        <f t="shared" si="74"/>
        <v>#DIV/0!</v>
      </c>
      <c r="M175" s="106" t="e">
        <f t="shared" si="74"/>
        <v>#DIV/0!</v>
      </c>
      <c r="N175" s="106" t="e">
        <f t="shared" si="74"/>
        <v>#DIV/0!</v>
      </c>
      <c r="O175" s="106" t="e">
        <f t="shared" si="74"/>
        <v>#DIV/0!</v>
      </c>
      <c r="P175" s="9" t="e">
        <f t="shared" si="74"/>
        <v>#DIV/0!</v>
      </c>
      <c r="Q175" s="137" t="e">
        <f t="shared" si="74"/>
        <v>#DIV/0!</v>
      </c>
      <c r="R175" s="137" t="e">
        <f t="shared" si="74"/>
        <v>#DIV/0!</v>
      </c>
      <c r="S175" s="137" t="e">
        <f t="shared" si="74"/>
        <v>#DIV/0!</v>
      </c>
      <c r="T175" s="137" t="e">
        <f t="shared" si="74"/>
        <v>#DIV/0!</v>
      </c>
      <c r="U175" s="9" t="e">
        <f t="shared" si="74"/>
        <v>#DIV/0!</v>
      </c>
      <c r="V175" s="137" t="e">
        <f t="shared" si="74"/>
        <v>#DIV/0!</v>
      </c>
      <c r="W175" s="137" t="e">
        <f t="shared" si="74"/>
        <v>#DIV/0!</v>
      </c>
      <c r="X175" s="137" t="e">
        <f t="shared" si="74"/>
        <v>#DIV/0!</v>
      </c>
      <c r="Y175" s="137" t="e">
        <f t="shared" si="74"/>
        <v>#DIV/0!</v>
      </c>
      <c r="Z175" s="9" t="e">
        <f t="shared" si="74"/>
        <v>#DIV/0!</v>
      </c>
      <c r="AA175" s="137" t="e">
        <f t="shared" si="74"/>
        <v>#DIV/0!</v>
      </c>
      <c r="AB175" s="137" t="e">
        <f t="shared" si="74"/>
        <v>#DIV/0!</v>
      </c>
      <c r="AC175" s="137" t="e">
        <f t="shared" si="74"/>
        <v>#DIV/0!</v>
      </c>
      <c r="AD175" s="137" t="e">
        <f t="shared" si="74"/>
        <v>#DIV/0!</v>
      </c>
      <c r="AE175" s="9" t="e">
        <f t="shared" si="74"/>
        <v>#DIV/0!</v>
      </c>
      <c r="AF175" s="137" t="e">
        <f t="shared" si="74"/>
        <v>#DIV/0!</v>
      </c>
      <c r="AG175" s="137" t="e">
        <f t="shared" si="74"/>
        <v>#DIV/0!</v>
      </c>
      <c r="AH175" s="137" t="e">
        <f t="shared" si="74"/>
        <v>#DIV/0!</v>
      </c>
      <c r="AI175" s="137" t="e">
        <f t="shared" si="74"/>
        <v>#DIV/0!</v>
      </c>
      <c r="AJ175" s="9" t="e">
        <f t="shared" si="74"/>
        <v>#DIV/0!</v>
      </c>
      <c r="AK175" s="137" t="e">
        <f t="shared" si="74"/>
        <v>#DIV/0!</v>
      </c>
      <c r="AL175" s="137" t="e">
        <f t="shared" si="74"/>
        <v>#DIV/0!</v>
      </c>
      <c r="AM175" s="137" t="e">
        <f t="shared" si="74"/>
        <v>#DIV/0!</v>
      </c>
      <c r="AN175" s="137" t="e">
        <f t="shared" si="74"/>
        <v>#DIV/0!</v>
      </c>
      <c r="AO175" s="9" t="e">
        <f t="shared" si="74"/>
        <v>#DIV/0!</v>
      </c>
      <c r="AP175" s="137" t="e">
        <f t="shared" si="74"/>
        <v>#DIV/0!</v>
      </c>
      <c r="AQ175" s="137" t="e">
        <f t="shared" si="74"/>
        <v>#DIV/0!</v>
      </c>
      <c r="AR175" s="137" t="e">
        <f t="shared" si="74"/>
        <v>#DIV/0!</v>
      </c>
      <c r="AS175" s="137" t="e">
        <f t="shared" si="74"/>
        <v>#DIV/0!</v>
      </c>
      <c r="AT175" s="9" t="e">
        <f t="shared" si="74"/>
        <v>#DIV/0!</v>
      </c>
      <c r="AU175" s="137" t="e">
        <f t="shared" si="74"/>
        <v>#DIV/0!</v>
      </c>
      <c r="AV175" s="137" t="e">
        <f t="shared" si="74"/>
        <v>#DIV/0!</v>
      </c>
      <c r="AW175" s="137" t="e">
        <f t="shared" si="74"/>
        <v>#DIV/0!</v>
      </c>
      <c r="AX175" s="137" t="e">
        <f t="shared" si="74"/>
        <v>#DIV/0!</v>
      </c>
      <c r="AY175" s="106" t="e">
        <f t="shared" si="74"/>
        <v>#DIV/0!</v>
      </c>
    </row>
    <row r="176" spans="1:51">
      <c r="A176" s="128" t="s">
        <v>101</v>
      </c>
      <c r="B176" s="106" t="e">
        <f t="shared" si="74"/>
        <v>#DIV/0!</v>
      </c>
      <c r="C176" s="106" t="e">
        <f t="shared" si="74"/>
        <v>#DIV/0!</v>
      </c>
      <c r="D176" s="106" t="e">
        <f t="shared" si="74"/>
        <v>#DIV/0!</v>
      </c>
      <c r="E176" s="106" t="e">
        <f t="shared" si="74"/>
        <v>#DIV/0!</v>
      </c>
      <c r="F176" s="9" t="e">
        <f t="shared" si="74"/>
        <v>#DIV/0!</v>
      </c>
      <c r="G176" s="106" t="e">
        <f t="shared" si="74"/>
        <v>#DIV/0!</v>
      </c>
      <c r="H176" s="106" t="e">
        <f t="shared" si="74"/>
        <v>#DIV/0!</v>
      </c>
      <c r="I176" s="106" t="e">
        <f t="shared" si="74"/>
        <v>#DIV/0!</v>
      </c>
      <c r="J176" s="106" t="e">
        <f t="shared" si="74"/>
        <v>#DIV/0!</v>
      </c>
      <c r="K176" s="9" t="e">
        <f t="shared" si="74"/>
        <v>#DIV/0!</v>
      </c>
      <c r="L176" s="106" t="e">
        <f t="shared" si="74"/>
        <v>#DIV/0!</v>
      </c>
      <c r="M176" s="106" t="e">
        <f t="shared" si="74"/>
        <v>#DIV/0!</v>
      </c>
      <c r="N176" s="106" t="e">
        <f t="shared" si="74"/>
        <v>#DIV/0!</v>
      </c>
      <c r="O176" s="106" t="e">
        <f t="shared" si="74"/>
        <v>#DIV/0!</v>
      </c>
      <c r="P176" s="9" t="e">
        <f t="shared" si="74"/>
        <v>#DIV/0!</v>
      </c>
      <c r="Q176" s="137" t="e">
        <f t="shared" si="74"/>
        <v>#DIV/0!</v>
      </c>
      <c r="R176" s="137" t="e">
        <f t="shared" si="74"/>
        <v>#DIV/0!</v>
      </c>
      <c r="S176" s="137" t="e">
        <f t="shared" si="74"/>
        <v>#DIV/0!</v>
      </c>
      <c r="T176" s="137" t="e">
        <f t="shared" si="74"/>
        <v>#DIV/0!</v>
      </c>
      <c r="U176" s="9" t="e">
        <f t="shared" si="74"/>
        <v>#DIV/0!</v>
      </c>
      <c r="V176" s="137" t="e">
        <f t="shared" si="74"/>
        <v>#DIV/0!</v>
      </c>
      <c r="W176" s="137" t="e">
        <f t="shared" si="74"/>
        <v>#DIV/0!</v>
      </c>
      <c r="X176" s="137" t="e">
        <f t="shared" si="74"/>
        <v>#DIV/0!</v>
      </c>
      <c r="Y176" s="137" t="e">
        <f t="shared" si="74"/>
        <v>#DIV/0!</v>
      </c>
      <c r="Z176" s="9" t="e">
        <f t="shared" si="74"/>
        <v>#DIV/0!</v>
      </c>
      <c r="AA176" s="137" t="e">
        <f t="shared" si="74"/>
        <v>#DIV/0!</v>
      </c>
      <c r="AB176" s="137" t="e">
        <f t="shared" si="74"/>
        <v>#DIV/0!</v>
      </c>
      <c r="AC176" s="137" t="e">
        <f t="shared" si="74"/>
        <v>#DIV/0!</v>
      </c>
      <c r="AD176" s="137" t="e">
        <f t="shared" si="74"/>
        <v>#DIV/0!</v>
      </c>
      <c r="AE176" s="9" t="e">
        <f t="shared" si="74"/>
        <v>#DIV/0!</v>
      </c>
      <c r="AF176" s="137" t="e">
        <f t="shared" si="74"/>
        <v>#DIV/0!</v>
      </c>
      <c r="AG176" s="137" t="e">
        <f t="shared" si="74"/>
        <v>#DIV/0!</v>
      </c>
      <c r="AH176" s="137" t="e">
        <f t="shared" si="74"/>
        <v>#DIV/0!</v>
      </c>
      <c r="AI176" s="137" t="e">
        <f t="shared" si="74"/>
        <v>#DIV/0!</v>
      </c>
      <c r="AJ176" s="9" t="e">
        <f t="shared" si="74"/>
        <v>#DIV/0!</v>
      </c>
      <c r="AK176" s="137" t="e">
        <f t="shared" si="74"/>
        <v>#DIV/0!</v>
      </c>
      <c r="AL176" s="137" t="e">
        <f t="shared" si="74"/>
        <v>#DIV/0!</v>
      </c>
      <c r="AM176" s="137" t="e">
        <f t="shared" si="74"/>
        <v>#DIV/0!</v>
      </c>
      <c r="AN176" s="137" t="e">
        <f t="shared" si="74"/>
        <v>#DIV/0!</v>
      </c>
      <c r="AO176" s="9" t="e">
        <f t="shared" si="74"/>
        <v>#DIV/0!</v>
      </c>
      <c r="AP176" s="137" t="e">
        <f t="shared" si="74"/>
        <v>#DIV/0!</v>
      </c>
      <c r="AQ176" s="137" t="e">
        <f t="shared" si="74"/>
        <v>#DIV/0!</v>
      </c>
      <c r="AR176" s="137" t="e">
        <f t="shared" si="74"/>
        <v>#DIV/0!</v>
      </c>
      <c r="AS176" s="137" t="e">
        <f t="shared" si="74"/>
        <v>#DIV/0!</v>
      </c>
      <c r="AT176" s="9" t="e">
        <f t="shared" si="74"/>
        <v>#DIV/0!</v>
      </c>
      <c r="AU176" s="137" t="e">
        <f t="shared" si="74"/>
        <v>#DIV/0!</v>
      </c>
      <c r="AV176" s="137" t="e">
        <f t="shared" si="74"/>
        <v>#DIV/0!</v>
      </c>
      <c r="AW176" s="137" t="e">
        <f t="shared" si="74"/>
        <v>#DIV/0!</v>
      </c>
      <c r="AX176" s="137" t="e">
        <f t="shared" si="74"/>
        <v>#DIV/0!</v>
      </c>
      <c r="AY176" s="106" t="e">
        <f t="shared" si="74"/>
        <v>#DIV/0!</v>
      </c>
    </row>
    <row r="177" spans="1:51">
      <c r="A177" s="128" t="s">
        <v>103</v>
      </c>
      <c r="B177" s="106" t="e">
        <f t="shared" ref="B177:AY180" si="75">B39/B$137</f>
        <v>#DIV/0!</v>
      </c>
      <c r="C177" s="106" t="e">
        <f t="shared" si="75"/>
        <v>#DIV/0!</v>
      </c>
      <c r="D177" s="106" t="e">
        <f t="shared" si="75"/>
        <v>#DIV/0!</v>
      </c>
      <c r="E177" s="106" t="e">
        <f t="shared" si="75"/>
        <v>#DIV/0!</v>
      </c>
      <c r="F177" s="9" t="e">
        <f t="shared" si="75"/>
        <v>#DIV/0!</v>
      </c>
      <c r="G177" s="106" t="e">
        <f t="shared" si="75"/>
        <v>#DIV/0!</v>
      </c>
      <c r="H177" s="106" t="e">
        <f t="shared" si="75"/>
        <v>#DIV/0!</v>
      </c>
      <c r="I177" s="106" t="e">
        <f t="shared" si="75"/>
        <v>#DIV/0!</v>
      </c>
      <c r="J177" s="106" t="e">
        <f t="shared" si="75"/>
        <v>#DIV/0!</v>
      </c>
      <c r="K177" s="9" t="e">
        <f t="shared" si="75"/>
        <v>#DIV/0!</v>
      </c>
      <c r="L177" s="106" t="e">
        <f t="shared" si="75"/>
        <v>#DIV/0!</v>
      </c>
      <c r="M177" s="106" t="e">
        <f t="shared" si="75"/>
        <v>#DIV/0!</v>
      </c>
      <c r="N177" s="106" t="e">
        <f t="shared" si="75"/>
        <v>#DIV/0!</v>
      </c>
      <c r="O177" s="106" t="e">
        <f t="shared" si="75"/>
        <v>#DIV/0!</v>
      </c>
      <c r="P177" s="9" t="e">
        <f t="shared" si="75"/>
        <v>#DIV/0!</v>
      </c>
      <c r="Q177" s="137" t="e">
        <f t="shared" si="75"/>
        <v>#DIV/0!</v>
      </c>
      <c r="R177" s="137" t="e">
        <f t="shared" si="75"/>
        <v>#DIV/0!</v>
      </c>
      <c r="S177" s="137" t="e">
        <f t="shared" si="75"/>
        <v>#DIV/0!</v>
      </c>
      <c r="T177" s="137" t="e">
        <f t="shared" si="75"/>
        <v>#DIV/0!</v>
      </c>
      <c r="U177" s="9" t="e">
        <f t="shared" si="75"/>
        <v>#DIV/0!</v>
      </c>
      <c r="V177" s="137" t="e">
        <f t="shared" si="75"/>
        <v>#DIV/0!</v>
      </c>
      <c r="W177" s="137" t="e">
        <f t="shared" si="75"/>
        <v>#DIV/0!</v>
      </c>
      <c r="X177" s="137" t="e">
        <f t="shared" si="75"/>
        <v>#DIV/0!</v>
      </c>
      <c r="Y177" s="137" t="e">
        <f t="shared" si="75"/>
        <v>#DIV/0!</v>
      </c>
      <c r="Z177" s="9" t="e">
        <f t="shared" si="75"/>
        <v>#DIV/0!</v>
      </c>
      <c r="AA177" s="137" t="e">
        <f t="shared" si="75"/>
        <v>#DIV/0!</v>
      </c>
      <c r="AB177" s="137" t="e">
        <f t="shared" si="75"/>
        <v>#DIV/0!</v>
      </c>
      <c r="AC177" s="137" t="e">
        <f t="shared" si="75"/>
        <v>#DIV/0!</v>
      </c>
      <c r="AD177" s="137" t="e">
        <f t="shared" si="75"/>
        <v>#DIV/0!</v>
      </c>
      <c r="AE177" s="9" t="e">
        <f t="shared" si="75"/>
        <v>#DIV/0!</v>
      </c>
      <c r="AF177" s="137" t="e">
        <f t="shared" si="75"/>
        <v>#DIV/0!</v>
      </c>
      <c r="AG177" s="137" t="e">
        <f t="shared" si="75"/>
        <v>#DIV/0!</v>
      </c>
      <c r="AH177" s="137" t="e">
        <f t="shared" si="75"/>
        <v>#DIV/0!</v>
      </c>
      <c r="AI177" s="137" t="e">
        <f t="shared" si="75"/>
        <v>#DIV/0!</v>
      </c>
      <c r="AJ177" s="9" t="e">
        <f t="shared" si="75"/>
        <v>#DIV/0!</v>
      </c>
      <c r="AK177" s="137" t="e">
        <f t="shared" si="75"/>
        <v>#DIV/0!</v>
      </c>
      <c r="AL177" s="137" t="e">
        <f t="shared" si="75"/>
        <v>#DIV/0!</v>
      </c>
      <c r="AM177" s="137" t="e">
        <f t="shared" si="75"/>
        <v>#DIV/0!</v>
      </c>
      <c r="AN177" s="137" t="e">
        <f t="shared" si="75"/>
        <v>#DIV/0!</v>
      </c>
      <c r="AO177" s="9" t="e">
        <f t="shared" si="75"/>
        <v>#DIV/0!</v>
      </c>
      <c r="AP177" s="137" t="e">
        <f t="shared" si="75"/>
        <v>#DIV/0!</v>
      </c>
      <c r="AQ177" s="137" t="e">
        <f t="shared" si="75"/>
        <v>#DIV/0!</v>
      </c>
      <c r="AR177" s="137" t="e">
        <f t="shared" si="75"/>
        <v>#DIV/0!</v>
      </c>
      <c r="AS177" s="137" t="e">
        <f t="shared" si="75"/>
        <v>#DIV/0!</v>
      </c>
      <c r="AT177" s="9" t="e">
        <f t="shared" si="75"/>
        <v>#DIV/0!</v>
      </c>
      <c r="AU177" s="137" t="e">
        <f t="shared" si="75"/>
        <v>#DIV/0!</v>
      </c>
      <c r="AV177" s="137" t="e">
        <f t="shared" si="75"/>
        <v>#DIV/0!</v>
      </c>
      <c r="AW177" s="137" t="e">
        <f t="shared" si="75"/>
        <v>#DIV/0!</v>
      </c>
      <c r="AX177" s="137" t="e">
        <f t="shared" si="75"/>
        <v>#DIV/0!</v>
      </c>
      <c r="AY177" s="106" t="e">
        <f t="shared" si="75"/>
        <v>#DIV/0!</v>
      </c>
    </row>
    <row r="178" spans="1:51">
      <c r="A178" s="128" t="s">
        <v>105</v>
      </c>
      <c r="B178" s="106" t="e">
        <f t="shared" si="75"/>
        <v>#DIV/0!</v>
      </c>
      <c r="C178" s="106" t="e">
        <f t="shared" si="75"/>
        <v>#DIV/0!</v>
      </c>
      <c r="D178" s="106" t="e">
        <f t="shared" si="75"/>
        <v>#DIV/0!</v>
      </c>
      <c r="E178" s="106" t="e">
        <f t="shared" si="75"/>
        <v>#DIV/0!</v>
      </c>
      <c r="F178" s="9" t="e">
        <f t="shared" si="75"/>
        <v>#DIV/0!</v>
      </c>
      <c r="G178" s="106" t="e">
        <f t="shared" si="75"/>
        <v>#DIV/0!</v>
      </c>
      <c r="H178" s="106" t="e">
        <f t="shared" si="75"/>
        <v>#DIV/0!</v>
      </c>
      <c r="I178" s="106" t="e">
        <f t="shared" si="75"/>
        <v>#DIV/0!</v>
      </c>
      <c r="J178" s="106" t="e">
        <f t="shared" si="75"/>
        <v>#DIV/0!</v>
      </c>
      <c r="K178" s="9" t="e">
        <f t="shared" si="75"/>
        <v>#DIV/0!</v>
      </c>
      <c r="L178" s="106" t="e">
        <f t="shared" si="75"/>
        <v>#DIV/0!</v>
      </c>
      <c r="M178" s="106" t="e">
        <f t="shared" si="75"/>
        <v>#DIV/0!</v>
      </c>
      <c r="N178" s="106" t="e">
        <f t="shared" si="75"/>
        <v>#DIV/0!</v>
      </c>
      <c r="O178" s="106" t="e">
        <f t="shared" si="75"/>
        <v>#DIV/0!</v>
      </c>
      <c r="P178" s="9" t="e">
        <f t="shared" si="75"/>
        <v>#DIV/0!</v>
      </c>
      <c r="Q178" s="137" t="e">
        <f t="shared" si="75"/>
        <v>#DIV/0!</v>
      </c>
      <c r="R178" s="137" t="e">
        <f t="shared" si="75"/>
        <v>#DIV/0!</v>
      </c>
      <c r="S178" s="137" t="e">
        <f t="shared" si="75"/>
        <v>#DIV/0!</v>
      </c>
      <c r="T178" s="137" t="e">
        <f t="shared" si="75"/>
        <v>#DIV/0!</v>
      </c>
      <c r="U178" s="9" t="e">
        <f t="shared" si="75"/>
        <v>#DIV/0!</v>
      </c>
      <c r="V178" s="137" t="e">
        <f t="shared" si="75"/>
        <v>#DIV/0!</v>
      </c>
      <c r="W178" s="137" t="e">
        <f t="shared" si="75"/>
        <v>#DIV/0!</v>
      </c>
      <c r="X178" s="137" t="e">
        <f t="shared" si="75"/>
        <v>#DIV/0!</v>
      </c>
      <c r="Y178" s="137" t="e">
        <f t="shared" si="75"/>
        <v>#DIV/0!</v>
      </c>
      <c r="Z178" s="9" t="e">
        <f t="shared" si="75"/>
        <v>#DIV/0!</v>
      </c>
      <c r="AA178" s="137" t="e">
        <f t="shared" si="75"/>
        <v>#DIV/0!</v>
      </c>
      <c r="AB178" s="137" t="e">
        <f t="shared" si="75"/>
        <v>#DIV/0!</v>
      </c>
      <c r="AC178" s="137" t="e">
        <f t="shared" si="75"/>
        <v>#DIV/0!</v>
      </c>
      <c r="AD178" s="137" t="e">
        <f t="shared" si="75"/>
        <v>#DIV/0!</v>
      </c>
      <c r="AE178" s="9" t="e">
        <f t="shared" si="75"/>
        <v>#DIV/0!</v>
      </c>
      <c r="AF178" s="137" t="e">
        <f t="shared" si="75"/>
        <v>#DIV/0!</v>
      </c>
      <c r="AG178" s="137" t="e">
        <f t="shared" si="75"/>
        <v>#DIV/0!</v>
      </c>
      <c r="AH178" s="137" t="e">
        <f t="shared" si="75"/>
        <v>#DIV/0!</v>
      </c>
      <c r="AI178" s="137" t="e">
        <f t="shared" si="75"/>
        <v>#DIV/0!</v>
      </c>
      <c r="AJ178" s="9" t="e">
        <f t="shared" si="75"/>
        <v>#DIV/0!</v>
      </c>
      <c r="AK178" s="137" t="e">
        <f t="shared" si="75"/>
        <v>#DIV/0!</v>
      </c>
      <c r="AL178" s="137" t="e">
        <f t="shared" si="75"/>
        <v>#DIV/0!</v>
      </c>
      <c r="AM178" s="137" t="e">
        <f t="shared" si="75"/>
        <v>#DIV/0!</v>
      </c>
      <c r="AN178" s="137" t="e">
        <f t="shared" si="75"/>
        <v>#DIV/0!</v>
      </c>
      <c r="AO178" s="9" t="e">
        <f t="shared" si="75"/>
        <v>#DIV/0!</v>
      </c>
      <c r="AP178" s="137" t="e">
        <f t="shared" si="75"/>
        <v>#DIV/0!</v>
      </c>
      <c r="AQ178" s="137" t="e">
        <f t="shared" si="75"/>
        <v>#DIV/0!</v>
      </c>
      <c r="AR178" s="137" t="e">
        <f t="shared" si="75"/>
        <v>#DIV/0!</v>
      </c>
      <c r="AS178" s="137" t="e">
        <f t="shared" si="75"/>
        <v>#DIV/0!</v>
      </c>
      <c r="AT178" s="9" t="e">
        <f t="shared" si="75"/>
        <v>#DIV/0!</v>
      </c>
      <c r="AU178" s="137" t="e">
        <f t="shared" si="75"/>
        <v>#DIV/0!</v>
      </c>
      <c r="AV178" s="137" t="e">
        <f t="shared" si="75"/>
        <v>#DIV/0!</v>
      </c>
      <c r="AW178" s="137" t="e">
        <f t="shared" si="75"/>
        <v>#DIV/0!</v>
      </c>
      <c r="AX178" s="137" t="e">
        <f t="shared" si="75"/>
        <v>#DIV/0!</v>
      </c>
      <c r="AY178" s="106" t="e">
        <f t="shared" si="75"/>
        <v>#DIV/0!</v>
      </c>
    </row>
    <row r="179" spans="1:51">
      <c r="A179" s="128" t="s">
        <v>107</v>
      </c>
      <c r="B179" s="106" t="e">
        <f t="shared" si="75"/>
        <v>#DIV/0!</v>
      </c>
      <c r="C179" s="106" t="e">
        <f t="shared" si="75"/>
        <v>#DIV/0!</v>
      </c>
      <c r="D179" s="106" t="e">
        <f t="shared" si="75"/>
        <v>#DIV/0!</v>
      </c>
      <c r="E179" s="106" t="e">
        <f t="shared" si="75"/>
        <v>#DIV/0!</v>
      </c>
      <c r="F179" s="9" t="e">
        <f t="shared" si="75"/>
        <v>#DIV/0!</v>
      </c>
      <c r="G179" s="106" t="e">
        <f t="shared" si="75"/>
        <v>#DIV/0!</v>
      </c>
      <c r="H179" s="106" t="e">
        <f t="shared" si="75"/>
        <v>#DIV/0!</v>
      </c>
      <c r="I179" s="106" t="e">
        <f t="shared" si="75"/>
        <v>#DIV/0!</v>
      </c>
      <c r="J179" s="106" t="e">
        <f t="shared" si="75"/>
        <v>#DIV/0!</v>
      </c>
      <c r="K179" s="9" t="e">
        <f t="shared" si="75"/>
        <v>#DIV/0!</v>
      </c>
      <c r="L179" s="106" t="e">
        <f t="shared" si="75"/>
        <v>#DIV/0!</v>
      </c>
      <c r="M179" s="106" t="e">
        <f t="shared" si="75"/>
        <v>#DIV/0!</v>
      </c>
      <c r="N179" s="106" t="e">
        <f t="shared" si="75"/>
        <v>#DIV/0!</v>
      </c>
      <c r="O179" s="106" t="e">
        <f t="shared" si="75"/>
        <v>#DIV/0!</v>
      </c>
      <c r="P179" s="9" t="e">
        <f t="shared" si="75"/>
        <v>#DIV/0!</v>
      </c>
      <c r="Q179" s="137" t="e">
        <f t="shared" si="75"/>
        <v>#DIV/0!</v>
      </c>
      <c r="R179" s="137" t="e">
        <f t="shared" si="75"/>
        <v>#DIV/0!</v>
      </c>
      <c r="S179" s="137" t="e">
        <f t="shared" si="75"/>
        <v>#DIV/0!</v>
      </c>
      <c r="T179" s="137" t="e">
        <f t="shared" si="75"/>
        <v>#DIV/0!</v>
      </c>
      <c r="U179" s="9" t="e">
        <f t="shared" si="75"/>
        <v>#DIV/0!</v>
      </c>
      <c r="V179" s="137" t="e">
        <f t="shared" si="75"/>
        <v>#DIV/0!</v>
      </c>
      <c r="W179" s="137" t="e">
        <f t="shared" si="75"/>
        <v>#DIV/0!</v>
      </c>
      <c r="X179" s="137" t="e">
        <f t="shared" si="75"/>
        <v>#DIV/0!</v>
      </c>
      <c r="Y179" s="137" t="e">
        <f t="shared" si="75"/>
        <v>#DIV/0!</v>
      </c>
      <c r="Z179" s="9" t="e">
        <f t="shared" si="75"/>
        <v>#DIV/0!</v>
      </c>
      <c r="AA179" s="137" t="e">
        <f t="shared" si="75"/>
        <v>#DIV/0!</v>
      </c>
      <c r="AB179" s="137" t="e">
        <f t="shared" si="75"/>
        <v>#DIV/0!</v>
      </c>
      <c r="AC179" s="137" t="e">
        <f t="shared" si="75"/>
        <v>#DIV/0!</v>
      </c>
      <c r="AD179" s="137" t="e">
        <f t="shared" si="75"/>
        <v>#DIV/0!</v>
      </c>
      <c r="AE179" s="9" t="e">
        <f t="shared" si="75"/>
        <v>#DIV/0!</v>
      </c>
      <c r="AF179" s="137" t="e">
        <f t="shared" si="75"/>
        <v>#DIV/0!</v>
      </c>
      <c r="AG179" s="137" t="e">
        <f t="shared" si="75"/>
        <v>#DIV/0!</v>
      </c>
      <c r="AH179" s="137" t="e">
        <f t="shared" si="75"/>
        <v>#DIV/0!</v>
      </c>
      <c r="AI179" s="137" t="e">
        <f t="shared" si="75"/>
        <v>#DIV/0!</v>
      </c>
      <c r="AJ179" s="9" t="e">
        <f t="shared" si="75"/>
        <v>#DIV/0!</v>
      </c>
      <c r="AK179" s="137" t="e">
        <f t="shared" si="75"/>
        <v>#DIV/0!</v>
      </c>
      <c r="AL179" s="137" t="e">
        <f t="shared" si="75"/>
        <v>#DIV/0!</v>
      </c>
      <c r="AM179" s="137" t="e">
        <f t="shared" si="75"/>
        <v>#DIV/0!</v>
      </c>
      <c r="AN179" s="137" t="e">
        <f t="shared" si="75"/>
        <v>#DIV/0!</v>
      </c>
      <c r="AO179" s="9" t="e">
        <f t="shared" si="75"/>
        <v>#DIV/0!</v>
      </c>
      <c r="AP179" s="137" t="e">
        <f t="shared" si="75"/>
        <v>#DIV/0!</v>
      </c>
      <c r="AQ179" s="137" t="e">
        <f t="shared" si="75"/>
        <v>#DIV/0!</v>
      </c>
      <c r="AR179" s="137" t="e">
        <f t="shared" si="75"/>
        <v>#DIV/0!</v>
      </c>
      <c r="AS179" s="137" t="e">
        <f t="shared" si="75"/>
        <v>#DIV/0!</v>
      </c>
      <c r="AT179" s="9" t="e">
        <f t="shared" si="75"/>
        <v>#DIV/0!</v>
      </c>
      <c r="AU179" s="137" t="e">
        <f t="shared" si="75"/>
        <v>#DIV/0!</v>
      </c>
      <c r="AV179" s="137" t="e">
        <f t="shared" si="75"/>
        <v>#DIV/0!</v>
      </c>
      <c r="AW179" s="137" t="e">
        <f t="shared" si="75"/>
        <v>#DIV/0!</v>
      </c>
      <c r="AX179" s="137" t="e">
        <f t="shared" si="75"/>
        <v>#DIV/0!</v>
      </c>
      <c r="AY179" s="106" t="e">
        <f t="shared" si="75"/>
        <v>#DIV/0!</v>
      </c>
    </row>
    <row r="180" spans="1:51">
      <c r="A180" s="128" t="s">
        <v>109</v>
      </c>
      <c r="B180" s="106" t="e">
        <f t="shared" si="75"/>
        <v>#DIV/0!</v>
      </c>
      <c r="C180" s="106" t="e">
        <f t="shared" si="75"/>
        <v>#DIV/0!</v>
      </c>
      <c r="D180" s="106" t="e">
        <f t="shared" si="75"/>
        <v>#DIV/0!</v>
      </c>
      <c r="E180" s="106" t="e">
        <f t="shared" si="75"/>
        <v>#DIV/0!</v>
      </c>
      <c r="F180" s="9" t="e">
        <f t="shared" si="75"/>
        <v>#DIV/0!</v>
      </c>
      <c r="G180" s="106" t="e">
        <f t="shared" si="75"/>
        <v>#DIV/0!</v>
      </c>
      <c r="H180" s="106" t="e">
        <f t="shared" si="75"/>
        <v>#DIV/0!</v>
      </c>
      <c r="I180" s="106" t="e">
        <f t="shared" si="75"/>
        <v>#DIV/0!</v>
      </c>
      <c r="J180" s="106" t="e">
        <f t="shared" si="75"/>
        <v>#DIV/0!</v>
      </c>
      <c r="K180" s="9" t="e">
        <f t="shared" si="75"/>
        <v>#DIV/0!</v>
      </c>
      <c r="L180" s="106" t="e">
        <f t="shared" si="75"/>
        <v>#DIV/0!</v>
      </c>
      <c r="M180" s="106" t="e">
        <f t="shared" si="75"/>
        <v>#DIV/0!</v>
      </c>
      <c r="N180" s="106" t="e">
        <f t="shared" si="75"/>
        <v>#DIV/0!</v>
      </c>
      <c r="O180" s="106" t="e">
        <f t="shared" si="75"/>
        <v>#DIV/0!</v>
      </c>
      <c r="P180" s="9" t="e">
        <f t="shared" si="75"/>
        <v>#DIV/0!</v>
      </c>
      <c r="Q180" s="137" t="e">
        <f t="shared" si="75"/>
        <v>#DIV/0!</v>
      </c>
      <c r="R180" s="137" t="e">
        <f t="shared" si="75"/>
        <v>#DIV/0!</v>
      </c>
      <c r="S180" s="137" t="e">
        <f t="shared" si="75"/>
        <v>#DIV/0!</v>
      </c>
      <c r="T180" s="137" t="e">
        <f t="shared" si="75"/>
        <v>#DIV/0!</v>
      </c>
      <c r="U180" s="9" t="e">
        <f t="shared" si="75"/>
        <v>#DIV/0!</v>
      </c>
      <c r="V180" s="137" t="e">
        <f t="shared" si="75"/>
        <v>#DIV/0!</v>
      </c>
      <c r="W180" s="137" t="e">
        <f t="shared" si="75"/>
        <v>#DIV/0!</v>
      </c>
      <c r="X180" s="137" t="e">
        <f t="shared" si="75"/>
        <v>#DIV/0!</v>
      </c>
      <c r="Y180" s="137" t="e">
        <f t="shared" si="75"/>
        <v>#DIV/0!</v>
      </c>
      <c r="Z180" s="9" t="e">
        <f t="shared" si="75"/>
        <v>#DIV/0!</v>
      </c>
      <c r="AA180" s="137" t="e">
        <f t="shared" si="75"/>
        <v>#DIV/0!</v>
      </c>
      <c r="AB180" s="137" t="e">
        <f t="shared" si="75"/>
        <v>#DIV/0!</v>
      </c>
      <c r="AC180" s="137" t="e">
        <f t="shared" si="75"/>
        <v>#DIV/0!</v>
      </c>
      <c r="AD180" s="137" t="e">
        <f t="shared" si="75"/>
        <v>#DIV/0!</v>
      </c>
      <c r="AE180" s="9" t="e">
        <f t="shared" si="75"/>
        <v>#DIV/0!</v>
      </c>
      <c r="AF180" s="137" t="e">
        <f t="shared" si="75"/>
        <v>#DIV/0!</v>
      </c>
      <c r="AG180" s="137" t="e">
        <f t="shared" si="75"/>
        <v>#DIV/0!</v>
      </c>
      <c r="AH180" s="137" t="e">
        <f t="shared" si="75"/>
        <v>#DIV/0!</v>
      </c>
      <c r="AI180" s="137" t="e">
        <f t="shared" si="75"/>
        <v>#DIV/0!</v>
      </c>
      <c r="AJ180" s="9" t="e">
        <f t="shared" si="75"/>
        <v>#DIV/0!</v>
      </c>
      <c r="AK180" s="137" t="e">
        <f t="shared" si="75"/>
        <v>#DIV/0!</v>
      </c>
      <c r="AL180" s="137" t="e">
        <f t="shared" si="75"/>
        <v>#DIV/0!</v>
      </c>
      <c r="AM180" s="137" t="e">
        <f t="shared" si="75"/>
        <v>#DIV/0!</v>
      </c>
      <c r="AN180" s="137" t="e">
        <f t="shared" si="75"/>
        <v>#DIV/0!</v>
      </c>
      <c r="AO180" s="9" t="e">
        <f t="shared" si="75"/>
        <v>#DIV/0!</v>
      </c>
      <c r="AP180" s="137" t="e">
        <f t="shared" si="75"/>
        <v>#DIV/0!</v>
      </c>
      <c r="AQ180" s="137" t="e">
        <f t="shared" si="75"/>
        <v>#DIV/0!</v>
      </c>
      <c r="AR180" s="137" t="e">
        <f t="shared" si="75"/>
        <v>#DIV/0!</v>
      </c>
      <c r="AS180" s="137" t="e">
        <f t="shared" si="75"/>
        <v>#DIV/0!</v>
      </c>
      <c r="AT180" s="9" t="e">
        <f t="shared" si="75"/>
        <v>#DIV/0!</v>
      </c>
      <c r="AU180" s="137" t="e">
        <f t="shared" si="75"/>
        <v>#DIV/0!</v>
      </c>
      <c r="AV180" s="137" t="e">
        <f t="shared" si="75"/>
        <v>#DIV/0!</v>
      </c>
      <c r="AW180" s="137" t="e">
        <f t="shared" si="75"/>
        <v>#DIV/0!</v>
      </c>
      <c r="AX180" s="137" t="e">
        <f t="shared" si="75"/>
        <v>#DIV/0!</v>
      </c>
      <c r="AY180" s="106" t="e">
        <f t="shared" si="75"/>
        <v>#DIV/0!</v>
      </c>
    </row>
    <row r="181" spans="1:51">
      <c r="A181" s="128" t="s">
        <v>111</v>
      </c>
      <c r="B181" s="106" t="e">
        <f t="shared" ref="B181:AY184" si="76">B43/B$137</f>
        <v>#DIV/0!</v>
      </c>
      <c r="C181" s="106" t="e">
        <f t="shared" si="76"/>
        <v>#DIV/0!</v>
      </c>
      <c r="D181" s="106" t="e">
        <f t="shared" si="76"/>
        <v>#DIV/0!</v>
      </c>
      <c r="E181" s="106" t="e">
        <f t="shared" si="76"/>
        <v>#DIV/0!</v>
      </c>
      <c r="F181" s="9" t="e">
        <f t="shared" si="76"/>
        <v>#DIV/0!</v>
      </c>
      <c r="G181" s="106" t="e">
        <f t="shared" si="76"/>
        <v>#DIV/0!</v>
      </c>
      <c r="H181" s="106" t="e">
        <f t="shared" si="76"/>
        <v>#DIV/0!</v>
      </c>
      <c r="I181" s="106" t="e">
        <f t="shared" si="76"/>
        <v>#DIV/0!</v>
      </c>
      <c r="J181" s="106" t="e">
        <f t="shared" si="76"/>
        <v>#DIV/0!</v>
      </c>
      <c r="K181" s="9" t="e">
        <f t="shared" si="76"/>
        <v>#DIV/0!</v>
      </c>
      <c r="L181" s="106" t="e">
        <f t="shared" si="76"/>
        <v>#DIV/0!</v>
      </c>
      <c r="M181" s="106" t="e">
        <f t="shared" si="76"/>
        <v>#DIV/0!</v>
      </c>
      <c r="N181" s="106" t="e">
        <f t="shared" si="76"/>
        <v>#DIV/0!</v>
      </c>
      <c r="O181" s="106" t="e">
        <f t="shared" si="76"/>
        <v>#DIV/0!</v>
      </c>
      <c r="P181" s="9" t="e">
        <f t="shared" si="76"/>
        <v>#DIV/0!</v>
      </c>
      <c r="Q181" s="137" t="e">
        <f t="shared" si="76"/>
        <v>#DIV/0!</v>
      </c>
      <c r="R181" s="137" t="e">
        <f t="shared" si="76"/>
        <v>#DIV/0!</v>
      </c>
      <c r="S181" s="137" t="e">
        <f t="shared" si="76"/>
        <v>#DIV/0!</v>
      </c>
      <c r="T181" s="137" t="e">
        <f t="shared" si="76"/>
        <v>#DIV/0!</v>
      </c>
      <c r="U181" s="9" t="e">
        <f t="shared" si="76"/>
        <v>#DIV/0!</v>
      </c>
      <c r="V181" s="137" t="e">
        <f t="shared" si="76"/>
        <v>#DIV/0!</v>
      </c>
      <c r="W181" s="137" t="e">
        <f t="shared" si="76"/>
        <v>#DIV/0!</v>
      </c>
      <c r="X181" s="137" t="e">
        <f t="shared" si="76"/>
        <v>#DIV/0!</v>
      </c>
      <c r="Y181" s="137" t="e">
        <f t="shared" si="76"/>
        <v>#DIV/0!</v>
      </c>
      <c r="Z181" s="9" t="e">
        <f t="shared" si="76"/>
        <v>#DIV/0!</v>
      </c>
      <c r="AA181" s="137" t="e">
        <f t="shared" si="76"/>
        <v>#DIV/0!</v>
      </c>
      <c r="AB181" s="137" t="e">
        <f t="shared" si="76"/>
        <v>#DIV/0!</v>
      </c>
      <c r="AC181" s="137" t="e">
        <f t="shared" si="76"/>
        <v>#DIV/0!</v>
      </c>
      <c r="AD181" s="137" t="e">
        <f t="shared" si="76"/>
        <v>#DIV/0!</v>
      </c>
      <c r="AE181" s="9" t="e">
        <f t="shared" si="76"/>
        <v>#DIV/0!</v>
      </c>
      <c r="AF181" s="137" t="e">
        <f t="shared" si="76"/>
        <v>#DIV/0!</v>
      </c>
      <c r="AG181" s="137" t="e">
        <f t="shared" si="76"/>
        <v>#DIV/0!</v>
      </c>
      <c r="AH181" s="137" t="e">
        <f t="shared" si="76"/>
        <v>#DIV/0!</v>
      </c>
      <c r="AI181" s="137" t="e">
        <f t="shared" si="76"/>
        <v>#DIV/0!</v>
      </c>
      <c r="AJ181" s="9" t="e">
        <f t="shared" si="76"/>
        <v>#DIV/0!</v>
      </c>
      <c r="AK181" s="137" t="e">
        <f t="shared" si="76"/>
        <v>#DIV/0!</v>
      </c>
      <c r="AL181" s="137" t="e">
        <f t="shared" si="76"/>
        <v>#DIV/0!</v>
      </c>
      <c r="AM181" s="137" t="e">
        <f t="shared" si="76"/>
        <v>#DIV/0!</v>
      </c>
      <c r="AN181" s="137" t="e">
        <f t="shared" si="76"/>
        <v>#DIV/0!</v>
      </c>
      <c r="AO181" s="9" t="e">
        <f t="shared" si="76"/>
        <v>#DIV/0!</v>
      </c>
      <c r="AP181" s="137" t="e">
        <f t="shared" si="76"/>
        <v>#DIV/0!</v>
      </c>
      <c r="AQ181" s="137" t="e">
        <f t="shared" si="76"/>
        <v>#DIV/0!</v>
      </c>
      <c r="AR181" s="137" t="e">
        <f t="shared" si="76"/>
        <v>#DIV/0!</v>
      </c>
      <c r="AS181" s="137" t="e">
        <f t="shared" si="76"/>
        <v>#DIV/0!</v>
      </c>
      <c r="AT181" s="9" t="e">
        <f t="shared" si="76"/>
        <v>#DIV/0!</v>
      </c>
      <c r="AU181" s="137" t="e">
        <f t="shared" si="76"/>
        <v>#DIV/0!</v>
      </c>
      <c r="AV181" s="137" t="e">
        <f t="shared" si="76"/>
        <v>#DIV/0!</v>
      </c>
      <c r="AW181" s="137" t="e">
        <f t="shared" si="76"/>
        <v>#DIV/0!</v>
      </c>
      <c r="AX181" s="137" t="e">
        <f t="shared" si="76"/>
        <v>#DIV/0!</v>
      </c>
      <c r="AY181" s="106" t="e">
        <f t="shared" si="76"/>
        <v>#DIV/0!</v>
      </c>
    </row>
    <row r="182" spans="1:51">
      <c r="A182" s="128" t="s">
        <v>113</v>
      </c>
      <c r="B182" s="106" t="e">
        <f t="shared" si="76"/>
        <v>#DIV/0!</v>
      </c>
      <c r="C182" s="106" t="e">
        <f t="shared" si="76"/>
        <v>#DIV/0!</v>
      </c>
      <c r="D182" s="106" t="e">
        <f t="shared" si="76"/>
        <v>#DIV/0!</v>
      </c>
      <c r="E182" s="106" t="e">
        <f t="shared" si="76"/>
        <v>#DIV/0!</v>
      </c>
      <c r="F182" s="9" t="e">
        <f t="shared" si="76"/>
        <v>#DIV/0!</v>
      </c>
      <c r="G182" s="106" t="e">
        <f t="shared" si="76"/>
        <v>#DIV/0!</v>
      </c>
      <c r="H182" s="106" t="e">
        <f t="shared" si="76"/>
        <v>#DIV/0!</v>
      </c>
      <c r="I182" s="106" t="e">
        <f t="shared" si="76"/>
        <v>#DIV/0!</v>
      </c>
      <c r="J182" s="106" t="e">
        <f t="shared" si="76"/>
        <v>#DIV/0!</v>
      </c>
      <c r="K182" s="9" t="e">
        <f t="shared" si="76"/>
        <v>#DIV/0!</v>
      </c>
      <c r="L182" s="106" t="e">
        <f t="shared" si="76"/>
        <v>#DIV/0!</v>
      </c>
      <c r="M182" s="106" t="e">
        <f t="shared" si="76"/>
        <v>#DIV/0!</v>
      </c>
      <c r="N182" s="106" t="e">
        <f t="shared" si="76"/>
        <v>#DIV/0!</v>
      </c>
      <c r="O182" s="106" t="e">
        <f t="shared" si="76"/>
        <v>#DIV/0!</v>
      </c>
      <c r="P182" s="9" t="e">
        <f t="shared" si="76"/>
        <v>#DIV/0!</v>
      </c>
      <c r="Q182" s="137" t="e">
        <f t="shared" si="76"/>
        <v>#DIV/0!</v>
      </c>
      <c r="R182" s="137" t="e">
        <f t="shared" si="76"/>
        <v>#DIV/0!</v>
      </c>
      <c r="S182" s="137" t="e">
        <f t="shared" si="76"/>
        <v>#DIV/0!</v>
      </c>
      <c r="T182" s="137" t="e">
        <f t="shared" si="76"/>
        <v>#DIV/0!</v>
      </c>
      <c r="U182" s="9" t="e">
        <f t="shared" si="76"/>
        <v>#DIV/0!</v>
      </c>
      <c r="V182" s="137" t="e">
        <f t="shared" si="76"/>
        <v>#DIV/0!</v>
      </c>
      <c r="W182" s="137" t="e">
        <f t="shared" si="76"/>
        <v>#DIV/0!</v>
      </c>
      <c r="X182" s="137" t="e">
        <f t="shared" si="76"/>
        <v>#DIV/0!</v>
      </c>
      <c r="Y182" s="137" t="e">
        <f t="shared" si="76"/>
        <v>#DIV/0!</v>
      </c>
      <c r="Z182" s="9" t="e">
        <f t="shared" si="76"/>
        <v>#DIV/0!</v>
      </c>
      <c r="AA182" s="137" t="e">
        <f t="shared" si="76"/>
        <v>#DIV/0!</v>
      </c>
      <c r="AB182" s="137" t="e">
        <f t="shared" si="76"/>
        <v>#DIV/0!</v>
      </c>
      <c r="AC182" s="137" t="e">
        <f t="shared" si="76"/>
        <v>#DIV/0!</v>
      </c>
      <c r="AD182" s="137" t="e">
        <f t="shared" si="76"/>
        <v>#DIV/0!</v>
      </c>
      <c r="AE182" s="9" t="e">
        <f t="shared" si="76"/>
        <v>#DIV/0!</v>
      </c>
      <c r="AF182" s="137" t="e">
        <f t="shared" si="76"/>
        <v>#DIV/0!</v>
      </c>
      <c r="AG182" s="137" t="e">
        <f t="shared" si="76"/>
        <v>#DIV/0!</v>
      </c>
      <c r="AH182" s="137" t="e">
        <f t="shared" si="76"/>
        <v>#DIV/0!</v>
      </c>
      <c r="AI182" s="137" t="e">
        <f t="shared" si="76"/>
        <v>#DIV/0!</v>
      </c>
      <c r="AJ182" s="9" t="e">
        <f t="shared" si="76"/>
        <v>#DIV/0!</v>
      </c>
      <c r="AK182" s="137" t="e">
        <f t="shared" si="76"/>
        <v>#DIV/0!</v>
      </c>
      <c r="AL182" s="137" t="e">
        <f t="shared" si="76"/>
        <v>#DIV/0!</v>
      </c>
      <c r="AM182" s="137" t="e">
        <f t="shared" si="76"/>
        <v>#DIV/0!</v>
      </c>
      <c r="AN182" s="137" t="e">
        <f t="shared" si="76"/>
        <v>#DIV/0!</v>
      </c>
      <c r="AO182" s="9" t="e">
        <f t="shared" si="76"/>
        <v>#DIV/0!</v>
      </c>
      <c r="AP182" s="137" t="e">
        <f t="shared" si="76"/>
        <v>#DIV/0!</v>
      </c>
      <c r="AQ182" s="137" t="e">
        <f t="shared" si="76"/>
        <v>#DIV/0!</v>
      </c>
      <c r="AR182" s="137" t="e">
        <f t="shared" si="76"/>
        <v>#DIV/0!</v>
      </c>
      <c r="AS182" s="137" t="e">
        <f t="shared" si="76"/>
        <v>#DIV/0!</v>
      </c>
      <c r="AT182" s="9" t="e">
        <f t="shared" si="76"/>
        <v>#DIV/0!</v>
      </c>
      <c r="AU182" s="137" t="e">
        <f t="shared" si="76"/>
        <v>#DIV/0!</v>
      </c>
      <c r="AV182" s="137" t="e">
        <f t="shared" si="76"/>
        <v>#DIV/0!</v>
      </c>
      <c r="AW182" s="137" t="e">
        <f t="shared" si="76"/>
        <v>#DIV/0!</v>
      </c>
      <c r="AX182" s="137" t="e">
        <f t="shared" si="76"/>
        <v>#DIV/0!</v>
      </c>
      <c r="AY182" s="106" t="e">
        <f t="shared" si="76"/>
        <v>#DIV/0!</v>
      </c>
    </row>
    <row r="183" spans="1:51">
      <c r="A183" s="128" t="s">
        <v>115</v>
      </c>
      <c r="B183" s="106" t="e">
        <f t="shared" si="76"/>
        <v>#DIV/0!</v>
      </c>
      <c r="C183" s="106" t="e">
        <f t="shared" si="76"/>
        <v>#DIV/0!</v>
      </c>
      <c r="D183" s="106" t="e">
        <f t="shared" si="76"/>
        <v>#DIV/0!</v>
      </c>
      <c r="E183" s="106" t="e">
        <f t="shared" si="76"/>
        <v>#DIV/0!</v>
      </c>
      <c r="F183" s="9" t="e">
        <f t="shared" si="76"/>
        <v>#DIV/0!</v>
      </c>
      <c r="G183" s="106" t="e">
        <f t="shared" si="76"/>
        <v>#DIV/0!</v>
      </c>
      <c r="H183" s="106" t="e">
        <f t="shared" si="76"/>
        <v>#DIV/0!</v>
      </c>
      <c r="I183" s="106" t="e">
        <f t="shared" si="76"/>
        <v>#DIV/0!</v>
      </c>
      <c r="J183" s="106" t="e">
        <f t="shared" si="76"/>
        <v>#DIV/0!</v>
      </c>
      <c r="K183" s="9" t="e">
        <f t="shared" si="76"/>
        <v>#DIV/0!</v>
      </c>
      <c r="L183" s="106" t="e">
        <f t="shared" si="76"/>
        <v>#DIV/0!</v>
      </c>
      <c r="M183" s="106" t="e">
        <f t="shared" si="76"/>
        <v>#DIV/0!</v>
      </c>
      <c r="N183" s="106" t="e">
        <f t="shared" si="76"/>
        <v>#DIV/0!</v>
      </c>
      <c r="O183" s="106" t="e">
        <f t="shared" si="76"/>
        <v>#DIV/0!</v>
      </c>
      <c r="P183" s="9" t="e">
        <f t="shared" si="76"/>
        <v>#DIV/0!</v>
      </c>
      <c r="Q183" s="137" t="e">
        <f t="shared" si="76"/>
        <v>#DIV/0!</v>
      </c>
      <c r="R183" s="137" t="e">
        <f t="shared" si="76"/>
        <v>#DIV/0!</v>
      </c>
      <c r="S183" s="137" t="e">
        <f t="shared" si="76"/>
        <v>#DIV/0!</v>
      </c>
      <c r="T183" s="137" t="e">
        <f t="shared" si="76"/>
        <v>#DIV/0!</v>
      </c>
      <c r="U183" s="9" t="e">
        <f t="shared" si="76"/>
        <v>#DIV/0!</v>
      </c>
      <c r="V183" s="137" t="e">
        <f t="shared" si="76"/>
        <v>#DIV/0!</v>
      </c>
      <c r="W183" s="137" t="e">
        <f t="shared" si="76"/>
        <v>#DIV/0!</v>
      </c>
      <c r="X183" s="137" t="e">
        <f t="shared" si="76"/>
        <v>#DIV/0!</v>
      </c>
      <c r="Y183" s="137" t="e">
        <f t="shared" si="76"/>
        <v>#DIV/0!</v>
      </c>
      <c r="Z183" s="9" t="e">
        <f t="shared" si="76"/>
        <v>#DIV/0!</v>
      </c>
      <c r="AA183" s="137" t="e">
        <f t="shared" si="76"/>
        <v>#DIV/0!</v>
      </c>
      <c r="AB183" s="137" t="e">
        <f t="shared" si="76"/>
        <v>#DIV/0!</v>
      </c>
      <c r="AC183" s="137" t="e">
        <f t="shared" si="76"/>
        <v>#DIV/0!</v>
      </c>
      <c r="AD183" s="137" t="e">
        <f t="shared" si="76"/>
        <v>#DIV/0!</v>
      </c>
      <c r="AE183" s="9" t="e">
        <f t="shared" si="76"/>
        <v>#DIV/0!</v>
      </c>
      <c r="AF183" s="137" t="e">
        <f t="shared" si="76"/>
        <v>#DIV/0!</v>
      </c>
      <c r="AG183" s="137" t="e">
        <f t="shared" si="76"/>
        <v>#DIV/0!</v>
      </c>
      <c r="AH183" s="137" t="e">
        <f t="shared" si="76"/>
        <v>#DIV/0!</v>
      </c>
      <c r="AI183" s="137" t="e">
        <f t="shared" si="76"/>
        <v>#DIV/0!</v>
      </c>
      <c r="AJ183" s="9" t="e">
        <f t="shared" si="76"/>
        <v>#DIV/0!</v>
      </c>
      <c r="AK183" s="137" t="e">
        <f t="shared" si="76"/>
        <v>#DIV/0!</v>
      </c>
      <c r="AL183" s="137" t="e">
        <f t="shared" si="76"/>
        <v>#DIV/0!</v>
      </c>
      <c r="AM183" s="137" t="e">
        <f t="shared" si="76"/>
        <v>#DIV/0!</v>
      </c>
      <c r="AN183" s="137" t="e">
        <f t="shared" si="76"/>
        <v>#DIV/0!</v>
      </c>
      <c r="AO183" s="9" t="e">
        <f t="shared" si="76"/>
        <v>#DIV/0!</v>
      </c>
      <c r="AP183" s="137" t="e">
        <f t="shared" si="76"/>
        <v>#DIV/0!</v>
      </c>
      <c r="AQ183" s="137" t="e">
        <f t="shared" si="76"/>
        <v>#DIV/0!</v>
      </c>
      <c r="AR183" s="137" t="e">
        <f t="shared" si="76"/>
        <v>#DIV/0!</v>
      </c>
      <c r="AS183" s="137" t="e">
        <f t="shared" si="76"/>
        <v>#DIV/0!</v>
      </c>
      <c r="AT183" s="9" t="e">
        <f t="shared" si="76"/>
        <v>#DIV/0!</v>
      </c>
      <c r="AU183" s="137" t="e">
        <f t="shared" si="76"/>
        <v>#DIV/0!</v>
      </c>
      <c r="AV183" s="137" t="e">
        <f t="shared" si="76"/>
        <v>#DIV/0!</v>
      </c>
      <c r="AW183" s="137" t="e">
        <f t="shared" si="76"/>
        <v>#DIV/0!</v>
      </c>
      <c r="AX183" s="137" t="e">
        <f t="shared" si="76"/>
        <v>#DIV/0!</v>
      </c>
      <c r="AY183" s="106" t="e">
        <f t="shared" si="76"/>
        <v>#DIV/0!</v>
      </c>
    </row>
    <row r="184" spans="1:51">
      <c r="A184" s="128" t="s">
        <v>117</v>
      </c>
      <c r="B184" s="106" t="e">
        <f t="shared" si="76"/>
        <v>#DIV/0!</v>
      </c>
      <c r="C184" s="106" t="e">
        <f t="shared" si="76"/>
        <v>#DIV/0!</v>
      </c>
      <c r="D184" s="106" t="e">
        <f t="shared" si="76"/>
        <v>#DIV/0!</v>
      </c>
      <c r="E184" s="106" t="e">
        <f t="shared" si="76"/>
        <v>#DIV/0!</v>
      </c>
      <c r="F184" s="9" t="e">
        <f t="shared" si="76"/>
        <v>#DIV/0!</v>
      </c>
      <c r="G184" s="106" t="e">
        <f t="shared" si="76"/>
        <v>#DIV/0!</v>
      </c>
      <c r="H184" s="106" t="e">
        <f t="shared" si="76"/>
        <v>#DIV/0!</v>
      </c>
      <c r="I184" s="106" t="e">
        <f t="shared" si="76"/>
        <v>#DIV/0!</v>
      </c>
      <c r="J184" s="106" t="e">
        <f t="shared" si="76"/>
        <v>#DIV/0!</v>
      </c>
      <c r="K184" s="9" t="e">
        <f t="shared" si="76"/>
        <v>#DIV/0!</v>
      </c>
      <c r="L184" s="106" t="e">
        <f t="shared" si="76"/>
        <v>#DIV/0!</v>
      </c>
      <c r="M184" s="106" t="e">
        <f t="shared" si="76"/>
        <v>#DIV/0!</v>
      </c>
      <c r="N184" s="106" t="e">
        <f t="shared" si="76"/>
        <v>#DIV/0!</v>
      </c>
      <c r="O184" s="106" t="e">
        <f t="shared" si="76"/>
        <v>#DIV/0!</v>
      </c>
      <c r="P184" s="9" t="e">
        <f t="shared" si="76"/>
        <v>#DIV/0!</v>
      </c>
      <c r="Q184" s="137" t="e">
        <f t="shared" si="76"/>
        <v>#DIV/0!</v>
      </c>
      <c r="R184" s="137" t="e">
        <f t="shared" si="76"/>
        <v>#DIV/0!</v>
      </c>
      <c r="S184" s="137" t="e">
        <f t="shared" si="76"/>
        <v>#DIV/0!</v>
      </c>
      <c r="T184" s="137" t="e">
        <f t="shared" si="76"/>
        <v>#DIV/0!</v>
      </c>
      <c r="U184" s="9" t="e">
        <f t="shared" si="76"/>
        <v>#DIV/0!</v>
      </c>
      <c r="V184" s="137" t="e">
        <f t="shared" si="76"/>
        <v>#DIV/0!</v>
      </c>
      <c r="W184" s="137" t="e">
        <f t="shared" si="76"/>
        <v>#DIV/0!</v>
      </c>
      <c r="X184" s="137" t="e">
        <f t="shared" si="76"/>
        <v>#DIV/0!</v>
      </c>
      <c r="Y184" s="137" t="e">
        <f t="shared" si="76"/>
        <v>#DIV/0!</v>
      </c>
      <c r="Z184" s="9" t="e">
        <f t="shared" si="76"/>
        <v>#DIV/0!</v>
      </c>
      <c r="AA184" s="137" t="e">
        <f t="shared" si="76"/>
        <v>#DIV/0!</v>
      </c>
      <c r="AB184" s="137" t="e">
        <f t="shared" si="76"/>
        <v>#DIV/0!</v>
      </c>
      <c r="AC184" s="137" t="e">
        <f t="shared" si="76"/>
        <v>#DIV/0!</v>
      </c>
      <c r="AD184" s="137" t="e">
        <f t="shared" si="76"/>
        <v>#DIV/0!</v>
      </c>
      <c r="AE184" s="9" t="e">
        <f t="shared" si="76"/>
        <v>#DIV/0!</v>
      </c>
      <c r="AF184" s="137" t="e">
        <f t="shared" si="76"/>
        <v>#DIV/0!</v>
      </c>
      <c r="AG184" s="137" t="e">
        <f t="shared" si="76"/>
        <v>#DIV/0!</v>
      </c>
      <c r="AH184" s="137" t="e">
        <f t="shared" si="76"/>
        <v>#DIV/0!</v>
      </c>
      <c r="AI184" s="137" t="e">
        <f t="shared" si="76"/>
        <v>#DIV/0!</v>
      </c>
      <c r="AJ184" s="9" t="e">
        <f t="shared" si="76"/>
        <v>#DIV/0!</v>
      </c>
      <c r="AK184" s="137" t="e">
        <f t="shared" si="76"/>
        <v>#DIV/0!</v>
      </c>
      <c r="AL184" s="137" t="e">
        <f t="shared" si="76"/>
        <v>#DIV/0!</v>
      </c>
      <c r="AM184" s="137" t="e">
        <f t="shared" si="76"/>
        <v>#DIV/0!</v>
      </c>
      <c r="AN184" s="137" t="e">
        <f t="shared" si="76"/>
        <v>#DIV/0!</v>
      </c>
      <c r="AO184" s="9" t="e">
        <f t="shared" si="76"/>
        <v>#DIV/0!</v>
      </c>
      <c r="AP184" s="137" t="e">
        <f t="shared" si="76"/>
        <v>#DIV/0!</v>
      </c>
      <c r="AQ184" s="137" t="e">
        <f t="shared" si="76"/>
        <v>#DIV/0!</v>
      </c>
      <c r="AR184" s="137" t="e">
        <f t="shared" si="76"/>
        <v>#DIV/0!</v>
      </c>
      <c r="AS184" s="137" t="e">
        <f t="shared" si="76"/>
        <v>#DIV/0!</v>
      </c>
      <c r="AT184" s="9" t="e">
        <f t="shared" si="76"/>
        <v>#DIV/0!</v>
      </c>
      <c r="AU184" s="137" t="e">
        <f t="shared" si="76"/>
        <v>#DIV/0!</v>
      </c>
      <c r="AV184" s="137" t="e">
        <f t="shared" si="76"/>
        <v>#DIV/0!</v>
      </c>
      <c r="AW184" s="137" t="e">
        <f t="shared" si="76"/>
        <v>#DIV/0!</v>
      </c>
      <c r="AX184" s="137" t="e">
        <f t="shared" si="76"/>
        <v>#DIV/0!</v>
      </c>
      <c r="AY184" s="106" t="e">
        <f t="shared" si="76"/>
        <v>#DIV/0!</v>
      </c>
    </row>
    <row r="185" spans="1:51">
      <c r="A185" s="128" t="s">
        <v>119</v>
      </c>
      <c r="B185" s="106" t="e">
        <f t="shared" ref="B185:AY188" si="77">B47/B$137</f>
        <v>#DIV/0!</v>
      </c>
      <c r="C185" s="106" t="e">
        <f t="shared" si="77"/>
        <v>#DIV/0!</v>
      </c>
      <c r="D185" s="106" t="e">
        <f t="shared" si="77"/>
        <v>#DIV/0!</v>
      </c>
      <c r="E185" s="106" t="e">
        <f t="shared" si="77"/>
        <v>#DIV/0!</v>
      </c>
      <c r="F185" s="9" t="e">
        <f t="shared" si="77"/>
        <v>#DIV/0!</v>
      </c>
      <c r="G185" s="106" t="e">
        <f t="shared" si="77"/>
        <v>#DIV/0!</v>
      </c>
      <c r="H185" s="106" t="e">
        <f t="shared" si="77"/>
        <v>#DIV/0!</v>
      </c>
      <c r="I185" s="106" t="e">
        <f t="shared" si="77"/>
        <v>#DIV/0!</v>
      </c>
      <c r="J185" s="106" t="e">
        <f t="shared" si="77"/>
        <v>#DIV/0!</v>
      </c>
      <c r="K185" s="9" t="e">
        <f t="shared" si="77"/>
        <v>#DIV/0!</v>
      </c>
      <c r="L185" s="106" t="e">
        <f t="shared" si="77"/>
        <v>#DIV/0!</v>
      </c>
      <c r="M185" s="106" t="e">
        <f t="shared" si="77"/>
        <v>#DIV/0!</v>
      </c>
      <c r="N185" s="106" t="e">
        <f t="shared" si="77"/>
        <v>#DIV/0!</v>
      </c>
      <c r="O185" s="106" t="e">
        <f t="shared" si="77"/>
        <v>#DIV/0!</v>
      </c>
      <c r="P185" s="9" t="e">
        <f t="shared" si="77"/>
        <v>#DIV/0!</v>
      </c>
      <c r="Q185" s="137" t="e">
        <f t="shared" si="77"/>
        <v>#DIV/0!</v>
      </c>
      <c r="R185" s="137" t="e">
        <f t="shared" si="77"/>
        <v>#DIV/0!</v>
      </c>
      <c r="S185" s="137" t="e">
        <f t="shared" si="77"/>
        <v>#DIV/0!</v>
      </c>
      <c r="T185" s="137" t="e">
        <f t="shared" si="77"/>
        <v>#DIV/0!</v>
      </c>
      <c r="U185" s="9" t="e">
        <f t="shared" si="77"/>
        <v>#DIV/0!</v>
      </c>
      <c r="V185" s="137" t="e">
        <f t="shared" si="77"/>
        <v>#DIV/0!</v>
      </c>
      <c r="W185" s="137" t="e">
        <f t="shared" si="77"/>
        <v>#DIV/0!</v>
      </c>
      <c r="X185" s="137" t="e">
        <f t="shared" si="77"/>
        <v>#DIV/0!</v>
      </c>
      <c r="Y185" s="137" t="e">
        <f t="shared" si="77"/>
        <v>#DIV/0!</v>
      </c>
      <c r="Z185" s="9" t="e">
        <f t="shared" si="77"/>
        <v>#DIV/0!</v>
      </c>
      <c r="AA185" s="137" t="e">
        <f t="shared" si="77"/>
        <v>#DIV/0!</v>
      </c>
      <c r="AB185" s="137" t="e">
        <f t="shared" si="77"/>
        <v>#DIV/0!</v>
      </c>
      <c r="AC185" s="137" t="e">
        <f t="shared" si="77"/>
        <v>#DIV/0!</v>
      </c>
      <c r="AD185" s="137" t="e">
        <f t="shared" si="77"/>
        <v>#DIV/0!</v>
      </c>
      <c r="AE185" s="9" t="e">
        <f t="shared" si="77"/>
        <v>#DIV/0!</v>
      </c>
      <c r="AF185" s="137" t="e">
        <f t="shared" si="77"/>
        <v>#DIV/0!</v>
      </c>
      <c r="AG185" s="137" t="e">
        <f t="shared" si="77"/>
        <v>#DIV/0!</v>
      </c>
      <c r="AH185" s="137" t="e">
        <f t="shared" si="77"/>
        <v>#DIV/0!</v>
      </c>
      <c r="AI185" s="137" t="e">
        <f t="shared" si="77"/>
        <v>#DIV/0!</v>
      </c>
      <c r="AJ185" s="9" t="e">
        <f t="shared" si="77"/>
        <v>#DIV/0!</v>
      </c>
      <c r="AK185" s="137" t="e">
        <f t="shared" si="77"/>
        <v>#DIV/0!</v>
      </c>
      <c r="AL185" s="137" t="e">
        <f t="shared" si="77"/>
        <v>#DIV/0!</v>
      </c>
      <c r="AM185" s="137" t="e">
        <f t="shared" si="77"/>
        <v>#DIV/0!</v>
      </c>
      <c r="AN185" s="137" t="e">
        <f t="shared" si="77"/>
        <v>#DIV/0!</v>
      </c>
      <c r="AO185" s="9" t="e">
        <f t="shared" si="77"/>
        <v>#DIV/0!</v>
      </c>
      <c r="AP185" s="137" t="e">
        <f t="shared" si="77"/>
        <v>#DIV/0!</v>
      </c>
      <c r="AQ185" s="137" t="e">
        <f t="shared" si="77"/>
        <v>#DIV/0!</v>
      </c>
      <c r="AR185" s="137" t="e">
        <f t="shared" si="77"/>
        <v>#DIV/0!</v>
      </c>
      <c r="AS185" s="137" t="e">
        <f t="shared" si="77"/>
        <v>#DIV/0!</v>
      </c>
      <c r="AT185" s="9" t="e">
        <f t="shared" si="77"/>
        <v>#DIV/0!</v>
      </c>
      <c r="AU185" s="137" t="e">
        <f t="shared" si="77"/>
        <v>#DIV/0!</v>
      </c>
      <c r="AV185" s="137" t="e">
        <f t="shared" si="77"/>
        <v>#DIV/0!</v>
      </c>
      <c r="AW185" s="137" t="e">
        <f t="shared" si="77"/>
        <v>#DIV/0!</v>
      </c>
      <c r="AX185" s="137" t="e">
        <f t="shared" si="77"/>
        <v>#DIV/0!</v>
      </c>
      <c r="AY185" s="106" t="e">
        <f t="shared" si="77"/>
        <v>#DIV/0!</v>
      </c>
    </row>
    <row r="186" spans="1:51">
      <c r="A186" s="128" t="s">
        <v>121</v>
      </c>
      <c r="B186" s="106" t="e">
        <f t="shared" si="77"/>
        <v>#DIV/0!</v>
      </c>
      <c r="C186" s="106" t="e">
        <f t="shared" si="77"/>
        <v>#DIV/0!</v>
      </c>
      <c r="D186" s="106" t="e">
        <f t="shared" si="77"/>
        <v>#DIV/0!</v>
      </c>
      <c r="E186" s="106" t="e">
        <f t="shared" si="77"/>
        <v>#DIV/0!</v>
      </c>
      <c r="F186" s="9" t="e">
        <f t="shared" si="77"/>
        <v>#DIV/0!</v>
      </c>
      <c r="G186" s="106" t="e">
        <f t="shared" si="77"/>
        <v>#DIV/0!</v>
      </c>
      <c r="H186" s="106" t="e">
        <f t="shared" si="77"/>
        <v>#DIV/0!</v>
      </c>
      <c r="I186" s="106" t="e">
        <f t="shared" si="77"/>
        <v>#DIV/0!</v>
      </c>
      <c r="J186" s="106" t="e">
        <f t="shared" si="77"/>
        <v>#DIV/0!</v>
      </c>
      <c r="K186" s="9" t="e">
        <f t="shared" si="77"/>
        <v>#DIV/0!</v>
      </c>
      <c r="L186" s="106" t="e">
        <f t="shared" si="77"/>
        <v>#DIV/0!</v>
      </c>
      <c r="M186" s="106" t="e">
        <f t="shared" si="77"/>
        <v>#DIV/0!</v>
      </c>
      <c r="N186" s="106" t="e">
        <f t="shared" si="77"/>
        <v>#DIV/0!</v>
      </c>
      <c r="O186" s="106" t="e">
        <f t="shared" si="77"/>
        <v>#DIV/0!</v>
      </c>
      <c r="P186" s="9" t="e">
        <f t="shared" si="77"/>
        <v>#DIV/0!</v>
      </c>
      <c r="Q186" s="137" t="e">
        <f t="shared" si="77"/>
        <v>#DIV/0!</v>
      </c>
      <c r="R186" s="137" t="e">
        <f t="shared" si="77"/>
        <v>#DIV/0!</v>
      </c>
      <c r="S186" s="137" t="e">
        <f t="shared" si="77"/>
        <v>#DIV/0!</v>
      </c>
      <c r="T186" s="137" t="e">
        <f t="shared" si="77"/>
        <v>#DIV/0!</v>
      </c>
      <c r="U186" s="9" t="e">
        <f t="shared" si="77"/>
        <v>#DIV/0!</v>
      </c>
      <c r="V186" s="137" t="e">
        <f t="shared" si="77"/>
        <v>#DIV/0!</v>
      </c>
      <c r="W186" s="137" t="e">
        <f t="shared" si="77"/>
        <v>#DIV/0!</v>
      </c>
      <c r="X186" s="137" t="e">
        <f t="shared" si="77"/>
        <v>#DIV/0!</v>
      </c>
      <c r="Y186" s="137" t="e">
        <f t="shared" si="77"/>
        <v>#DIV/0!</v>
      </c>
      <c r="Z186" s="9" t="e">
        <f t="shared" si="77"/>
        <v>#DIV/0!</v>
      </c>
      <c r="AA186" s="137" t="e">
        <f t="shared" si="77"/>
        <v>#DIV/0!</v>
      </c>
      <c r="AB186" s="137" t="e">
        <f t="shared" si="77"/>
        <v>#DIV/0!</v>
      </c>
      <c r="AC186" s="137" t="e">
        <f t="shared" si="77"/>
        <v>#DIV/0!</v>
      </c>
      <c r="AD186" s="137" t="e">
        <f t="shared" si="77"/>
        <v>#DIV/0!</v>
      </c>
      <c r="AE186" s="9" t="e">
        <f t="shared" si="77"/>
        <v>#DIV/0!</v>
      </c>
      <c r="AF186" s="137" t="e">
        <f t="shared" si="77"/>
        <v>#DIV/0!</v>
      </c>
      <c r="AG186" s="137" t="e">
        <f t="shared" si="77"/>
        <v>#DIV/0!</v>
      </c>
      <c r="AH186" s="137" t="e">
        <f t="shared" si="77"/>
        <v>#DIV/0!</v>
      </c>
      <c r="AI186" s="137" t="e">
        <f t="shared" si="77"/>
        <v>#DIV/0!</v>
      </c>
      <c r="AJ186" s="9" t="e">
        <f t="shared" si="77"/>
        <v>#DIV/0!</v>
      </c>
      <c r="AK186" s="137" t="e">
        <f t="shared" si="77"/>
        <v>#DIV/0!</v>
      </c>
      <c r="AL186" s="137" t="e">
        <f t="shared" si="77"/>
        <v>#DIV/0!</v>
      </c>
      <c r="AM186" s="137" t="e">
        <f t="shared" si="77"/>
        <v>#DIV/0!</v>
      </c>
      <c r="AN186" s="137" t="e">
        <f t="shared" si="77"/>
        <v>#DIV/0!</v>
      </c>
      <c r="AO186" s="9" t="e">
        <f t="shared" si="77"/>
        <v>#DIV/0!</v>
      </c>
      <c r="AP186" s="137" t="e">
        <f t="shared" si="77"/>
        <v>#DIV/0!</v>
      </c>
      <c r="AQ186" s="137" t="e">
        <f t="shared" si="77"/>
        <v>#DIV/0!</v>
      </c>
      <c r="AR186" s="137" t="e">
        <f t="shared" si="77"/>
        <v>#DIV/0!</v>
      </c>
      <c r="AS186" s="137" t="e">
        <f t="shared" si="77"/>
        <v>#DIV/0!</v>
      </c>
      <c r="AT186" s="9" t="e">
        <f t="shared" si="77"/>
        <v>#DIV/0!</v>
      </c>
      <c r="AU186" s="137" t="e">
        <f t="shared" si="77"/>
        <v>#DIV/0!</v>
      </c>
      <c r="AV186" s="137" t="e">
        <f t="shared" si="77"/>
        <v>#DIV/0!</v>
      </c>
      <c r="AW186" s="137" t="e">
        <f t="shared" si="77"/>
        <v>#DIV/0!</v>
      </c>
      <c r="AX186" s="137" t="e">
        <f t="shared" si="77"/>
        <v>#DIV/0!</v>
      </c>
      <c r="AY186" s="106" t="e">
        <f t="shared" si="77"/>
        <v>#DIV/0!</v>
      </c>
    </row>
    <row r="187" spans="1:51">
      <c r="A187" s="128" t="s">
        <v>123</v>
      </c>
      <c r="B187" s="106" t="e">
        <f t="shared" si="77"/>
        <v>#DIV/0!</v>
      </c>
      <c r="C187" s="106" t="e">
        <f t="shared" si="77"/>
        <v>#DIV/0!</v>
      </c>
      <c r="D187" s="106" t="e">
        <f t="shared" si="77"/>
        <v>#DIV/0!</v>
      </c>
      <c r="E187" s="106" t="e">
        <f t="shared" si="77"/>
        <v>#DIV/0!</v>
      </c>
      <c r="F187" s="9" t="e">
        <f t="shared" si="77"/>
        <v>#DIV/0!</v>
      </c>
      <c r="G187" s="106" t="e">
        <f t="shared" si="77"/>
        <v>#DIV/0!</v>
      </c>
      <c r="H187" s="106" t="e">
        <f t="shared" si="77"/>
        <v>#DIV/0!</v>
      </c>
      <c r="I187" s="106" t="e">
        <f t="shared" si="77"/>
        <v>#DIV/0!</v>
      </c>
      <c r="J187" s="106" t="e">
        <f t="shared" si="77"/>
        <v>#DIV/0!</v>
      </c>
      <c r="K187" s="9" t="e">
        <f t="shared" si="77"/>
        <v>#DIV/0!</v>
      </c>
      <c r="L187" s="106" t="e">
        <f t="shared" si="77"/>
        <v>#DIV/0!</v>
      </c>
      <c r="M187" s="106" t="e">
        <f t="shared" si="77"/>
        <v>#DIV/0!</v>
      </c>
      <c r="N187" s="106" t="e">
        <f t="shared" si="77"/>
        <v>#DIV/0!</v>
      </c>
      <c r="O187" s="106" t="e">
        <f t="shared" si="77"/>
        <v>#DIV/0!</v>
      </c>
      <c r="P187" s="9" t="e">
        <f t="shared" si="77"/>
        <v>#DIV/0!</v>
      </c>
      <c r="Q187" s="137" t="e">
        <f t="shared" si="77"/>
        <v>#DIV/0!</v>
      </c>
      <c r="R187" s="137" t="e">
        <f t="shared" si="77"/>
        <v>#DIV/0!</v>
      </c>
      <c r="S187" s="137" t="e">
        <f t="shared" si="77"/>
        <v>#DIV/0!</v>
      </c>
      <c r="T187" s="137" t="e">
        <f t="shared" si="77"/>
        <v>#DIV/0!</v>
      </c>
      <c r="U187" s="9" t="e">
        <f t="shared" si="77"/>
        <v>#DIV/0!</v>
      </c>
      <c r="V187" s="137" t="e">
        <f t="shared" si="77"/>
        <v>#DIV/0!</v>
      </c>
      <c r="W187" s="137" t="e">
        <f t="shared" si="77"/>
        <v>#DIV/0!</v>
      </c>
      <c r="X187" s="137" t="e">
        <f t="shared" si="77"/>
        <v>#DIV/0!</v>
      </c>
      <c r="Y187" s="137" t="e">
        <f t="shared" si="77"/>
        <v>#DIV/0!</v>
      </c>
      <c r="Z187" s="9" t="e">
        <f t="shared" si="77"/>
        <v>#DIV/0!</v>
      </c>
      <c r="AA187" s="137" t="e">
        <f t="shared" si="77"/>
        <v>#DIV/0!</v>
      </c>
      <c r="AB187" s="137" t="e">
        <f t="shared" si="77"/>
        <v>#DIV/0!</v>
      </c>
      <c r="AC187" s="137" t="e">
        <f t="shared" si="77"/>
        <v>#DIV/0!</v>
      </c>
      <c r="AD187" s="137" t="e">
        <f t="shared" si="77"/>
        <v>#DIV/0!</v>
      </c>
      <c r="AE187" s="9" t="e">
        <f t="shared" si="77"/>
        <v>#DIV/0!</v>
      </c>
      <c r="AF187" s="137" t="e">
        <f t="shared" si="77"/>
        <v>#DIV/0!</v>
      </c>
      <c r="AG187" s="137" t="e">
        <f t="shared" si="77"/>
        <v>#DIV/0!</v>
      </c>
      <c r="AH187" s="137" t="e">
        <f t="shared" si="77"/>
        <v>#DIV/0!</v>
      </c>
      <c r="AI187" s="137" t="e">
        <f t="shared" si="77"/>
        <v>#DIV/0!</v>
      </c>
      <c r="AJ187" s="9" t="e">
        <f t="shared" si="77"/>
        <v>#DIV/0!</v>
      </c>
      <c r="AK187" s="137" t="e">
        <f t="shared" si="77"/>
        <v>#DIV/0!</v>
      </c>
      <c r="AL187" s="137" t="e">
        <f t="shared" si="77"/>
        <v>#DIV/0!</v>
      </c>
      <c r="AM187" s="137" t="e">
        <f t="shared" si="77"/>
        <v>#DIV/0!</v>
      </c>
      <c r="AN187" s="137" t="e">
        <f t="shared" si="77"/>
        <v>#DIV/0!</v>
      </c>
      <c r="AO187" s="9" t="e">
        <f t="shared" si="77"/>
        <v>#DIV/0!</v>
      </c>
      <c r="AP187" s="137" t="e">
        <f t="shared" si="77"/>
        <v>#DIV/0!</v>
      </c>
      <c r="AQ187" s="137" t="e">
        <f t="shared" si="77"/>
        <v>#DIV/0!</v>
      </c>
      <c r="AR187" s="137" t="e">
        <f t="shared" si="77"/>
        <v>#DIV/0!</v>
      </c>
      <c r="AS187" s="137" t="e">
        <f t="shared" si="77"/>
        <v>#DIV/0!</v>
      </c>
      <c r="AT187" s="9" t="e">
        <f t="shared" si="77"/>
        <v>#DIV/0!</v>
      </c>
      <c r="AU187" s="137" t="e">
        <f t="shared" si="77"/>
        <v>#DIV/0!</v>
      </c>
      <c r="AV187" s="137" t="e">
        <f t="shared" si="77"/>
        <v>#DIV/0!</v>
      </c>
      <c r="AW187" s="137" t="e">
        <f t="shared" si="77"/>
        <v>#DIV/0!</v>
      </c>
      <c r="AX187" s="137" t="e">
        <f t="shared" si="77"/>
        <v>#DIV/0!</v>
      </c>
      <c r="AY187" s="106" t="e">
        <f t="shared" si="77"/>
        <v>#DIV/0!</v>
      </c>
    </row>
    <row r="188" spans="1:51">
      <c r="A188" s="128" t="s">
        <v>125</v>
      </c>
      <c r="B188" s="106" t="e">
        <f t="shared" si="77"/>
        <v>#DIV/0!</v>
      </c>
      <c r="C188" s="106" t="e">
        <f t="shared" si="77"/>
        <v>#DIV/0!</v>
      </c>
      <c r="D188" s="106" t="e">
        <f t="shared" si="77"/>
        <v>#DIV/0!</v>
      </c>
      <c r="E188" s="106" t="e">
        <f t="shared" si="77"/>
        <v>#DIV/0!</v>
      </c>
      <c r="F188" s="9" t="e">
        <f t="shared" si="77"/>
        <v>#DIV/0!</v>
      </c>
      <c r="G188" s="106" t="e">
        <f t="shared" si="77"/>
        <v>#DIV/0!</v>
      </c>
      <c r="H188" s="106" t="e">
        <f t="shared" si="77"/>
        <v>#DIV/0!</v>
      </c>
      <c r="I188" s="106" t="e">
        <f t="shared" si="77"/>
        <v>#DIV/0!</v>
      </c>
      <c r="J188" s="106" t="e">
        <f t="shared" si="77"/>
        <v>#DIV/0!</v>
      </c>
      <c r="K188" s="9" t="e">
        <f t="shared" si="77"/>
        <v>#DIV/0!</v>
      </c>
      <c r="L188" s="106" t="e">
        <f t="shared" si="77"/>
        <v>#DIV/0!</v>
      </c>
      <c r="M188" s="106" t="e">
        <f t="shared" si="77"/>
        <v>#DIV/0!</v>
      </c>
      <c r="N188" s="106" t="e">
        <f t="shared" si="77"/>
        <v>#DIV/0!</v>
      </c>
      <c r="O188" s="106" t="e">
        <f t="shared" si="77"/>
        <v>#DIV/0!</v>
      </c>
      <c r="P188" s="9" t="e">
        <f t="shared" si="77"/>
        <v>#DIV/0!</v>
      </c>
      <c r="Q188" s="137" t="e">
        <f t="shared" si="77"/>
        <v>#DIV/0!</v>
      </c>
      <c r="R188" s="137" t="e">
        <f t="shared" si="77"/>
        <v>#DIV/0!</v>
      </c>
      <c r="S188" s="137" t="e">
        <f t="shared" si="77"/>
        <v>#DIV/0!</v>
      </c>
      <c r="T188" s="137" t="e">
        <f t="shared" si="77"/>
        <v>#DIV/0!</v>
      </c>
      <c r="U188" s="9" t="e">
        <f t="shared" si="77"/>
        <v>#DIV/0!</v>
      </c>
      <c r="V188" s="137" t="e">
        <f t="shared" si="77"/>
        <v>#DIV/0!</v>
      </c>
      <c r="W188" s="137" t="e">
        <f t="shared" si="77"/>
        <v>#DIV/0!</v>
      </c>
      <c r="X188" s="137" t="e">
        <f t="shared" si="77"/>
        <v>#DIV/0!</v>
      </c>
      <c r="Y188" s="137" t="e">
        <f t="shared" si="77"/>
        <v>#DIV/0!</v>
      </c>
      <c r="Z188" s="9" t="e">
        <f t="shared" si="77"/>
        <v>#DIV/0!</v>
      </c>
      <c r="AA188" s="137" t="e">
        <f t="shared" si="77"/>
        <v>#DIV/0!</v>
      </c>
      <c r="AB188" s="137" t="e">
        <f t="shared" si="77"/>
        <v>#DIV/0!</v>
      </c>
      <c r="AC188" s="137" t="e">
        <f t="shared" si="77"/>
        <v>#DIV/0!</v>
      </c>
      <c r="AD188" s="137" t="e">
        <f t="shared" si="77"/>
        <v>#DIV/0!</v>
      </c>
      <c r="AE188" s="9" t="e">
        <f t="shared" si="77"/>
        <v>#DIV/0!</v>
      </c>
      <c r="AF188" s="137" t="e">
        <f t="shared" si="77"/>
        <v>#DIV/0!</v>
      </c>
      <c r="AG188" s="137" t="e">
        <f t="shared" si="77"/>
        <v>#DIV/0!</v>
      </c>
      <c r="AH188" s="137" t="e">
        <f t="shared" si="77"/>
        <v>#DIV/0!</v>
      </c>
      <c r="AI188" s="137" t="e">
        <f t="shared" si="77"/>
        <v>#DIV/0!</v>
      </c>
      <c r="AJ188" s="9" t="e">
        <f t="shared" si="77"/>
        <v>#DIV/0!</v>
      </c>
      <c r="AK188" s="137" t="e">
        <f t="shared" si="77"/>
        <v>#DIV/0!</v>
      </c>
      <c r="AL188" s="137" t="e">
        <f t="shared" si="77"/>
        <v>#DIV/0!</v>
      </c>
      <c r="AM188" s="137" t="e">
        <f t="shared" si="77"/>
        <v>#DIV/0!</v>
      </c>
      <c r="AN188" s="137" t="e">
        <f t="shared" si="77"/>
        <v>#DIV/0!</v>
      </c>
      <c r="AO188" s="9" t="e">
        <f t="shared" si="77"/>
        <v>#DIV/0!</v>
      </c>
      <c r="AP188" s="137" t="e">
        <f t="shared" si="77"/>
        <v>#DIV/0!</v>
      </c>
      <c r="AQ188" s="137" t="e">
        <f t="shared" si="77"/>
        <v>#DIV/0!</v>
      </c>
      <c r="AR188" s="137" t="e">
        <f t="shared" si="77"/>
        <v>#DIV/0!</v>
      </c>
      <c r="AS188" s="137" t="e">
        <f t="shared" si="77"/>
        <v>#DIV/0!</v>
      </c>
      <c r="AT188" s="9" t="e">
        <f t="shared" si="77"/>
        <v>#DIV/0!</v>
      </c>
      <c r="AU188" s="137" t="e">
        <f t="shared" si="77"/>
        <v>#DIV/0!</v>
      </c>
      <c r="AV188" s="137" t="e">
        <f t="shared" si="77"/>
        <v>#DIV/0!</v>
      </c>
      <c r="AW188" s="137" t="e">
        <f t="shared" si="77"/>
        <v>#DIV/0!</v>
      </c>
      <c r="AX188" s="137" t="e">
        <f t="shared" si="77"/>
        <v>#DIV/0!</v>
      </c>
      <c r="AY188" s="106" t="e">
        <f t="shared" si="77"/>
        <v>#DIV/0!</v>
      </c>
    </row>
    <row r="189" spans="1:51">
      <c r="A189" s="128" t="s">
        <v>127</v>
      </c>
      <c r="B189" s="106" t="e">
        <f t="shared" ref="B189:AY192" si="78">B51/B$137</f>
        <v>#DIV/0!</v>
      </c>
      <c r="C189" s="106" t="e">
        <f t="shared" si="78"/>
        <v>#DIV/0!</v>
      </c>
      <c r="D189" s="106" t="e">
        <f t="shared" si="78"/>
        <v>#DIV/0!</v>
      </c>
      <c r="E189" s="106" t="e">
        <f t="shared" si="78"/>
        <v>#DIV/0!</v>
      </c>
      <c r="F189" s="9" t="e">
        <f t="shared" si="78"/>
        <v>#DIV/0!</v>
      </c>
      <c r="G189" s="106" t="e">
        <f t="shared" si="78"/>
        <v>#DIV/0!</v>
      </c>
      <c r="H189" s="106" t="e">
        <f t="shared" si="78"/>
        <v>#DIV/0!</v>
      </c>
      <c r="I189" s="106" t="e">
        <f t="shared" si="78"/>
        <v>#DIV/0!</v>
      </c>
      <c r="J189" s="106" t="e">
        <f t="shared" si="78"/>
        <v>#DIV/0!</v>
      </c>
      <c r="K189" s="9" t="e">
        <f t="shared" si="78"/>
        <v>#DIV/0!</v>
      </c>
      <c r="L189" s="106" t="e">
        <f t="shared" si="78"/>
        <v>#DIV/0!</v>
      </c>
      <c r="M189" s="106" t="e">
        <f t="shared" si="78"/>
        <v>#DIV/0!</v>
      </c>
      <c r="N189" s="106" t="e">
        <f t="shared" si="78"/>
        <v>#DIV/0!</v>
      </c>
      <c r="O189" s="106" t="e">
        <f t="shared" si="78"/>
        <v>#DIV/0!</v>
      </c>
      <c r="P189" s="9" t="e">
        <f t="shared" si="78"/>
        <v>#DIV/0!</v>
      </c>
      <c r="Q189" s="137" t="e">
        <f t="shared" si="78"/>
        <v>#DIV/0!</v>
      </c>
      <c r="R189" s="137" t="e">
        <f t="shared" si="78"/>
        <v>#DIV/0!</v>
      </c>
      <c r="S189" s="137" t="e">
        <f t="shared" si="78"/>
        <v>#DIV/0!</v>
      </c>
      <c r="T189" s="137" t="e">
        <f t="shared" si="78"/>
        <v>#DIV/0!</v>
      </c>
      <c r="U189" s="9" t="e">
        <f t="shared" si="78"/>
        <v>#DIV/0!</v>
      </c>
      <c r="V189" s="137" t="e">
        <f t="shared" si="78"/>
        <v>#DIV/0!</v>
      </c>
      <c r="W189" s="137" t="e">
        <f t="shared" si="78"/>
        <v>#DIV/0!</v>
      </c>
      <c r="X189" s="137" t="e">
        <f t="shared" si="78"/>
        <v>#DIV/0!</v>
      </c>
      <c r="Y189" s="137" t="e">
        <f t="shared" si="78"/>
        <v>#DIV/0!</v>
      </c>
      <c r="Z189" s="9" t="e">
        <f t="shared" si="78"/>
        <v>#DIV/0!</v>
      </c>
      <c r="AA189" s="137" t="e">
        <f t="shared" si="78"/>
        <v>#DIV/0!</v>
      </c>
      <c r="AB189" s="137" t="e">
        <f t="shared" si="78"/>
        <v>#DIV/0!</v>
      </c>
      <c r="AC189" s="137" t="e">
        <f t="shared" si="78"/>
        <v>#DIV/0!</v>
      </c>
      <c r="AD189" s="137" t="e">
        <f t="shared" si="78"/>
        <v>#DIV/0!</v>
      </c>
      <c r="AE189" s="9" t="e">
        <f t="shared" si="78"/>
        <v>#DIV/0!</v>
      </c>
      <c r="AF189" s="137" t="e">
        <f t="shared" si="78"/>
        <v>#DIV/0!</v>
      </c>
      <c r="AG189" s="137" t="e">
        <f t="shared" si="78"/>
        <v>#DIV/0!</v>
      </c>
      <c r="AH189" s="137" t="e">
        <f t="shared" si="78"/>
        <v>#DIV/0!</v>
      </c>
      <c r="AI189" s="137" t="e">
        <f t="shared" si="78"/>
        <v>#DIV/0!</v>
      </c>
      <c r="AJ189" s="9" t="e">
        <f t="shared" si="78"/>
        <v>#DIV/0!</v>
      </c>
      <c r="AK189" s="137" t="e">
        <f t="shared" si="78"/>
        <v>#DIV/0!</v>
      </c>
      <c r="AL189" s="137" t="e">
        <f t="shared" si="78"/>
        <v>#DIV/0!</v>
      </c>
      <c r="AM189" s="137" t="e">
        <f t="shared" si="78"/>
        <v>#DIV/0!</v>
      </c>
      <c r="AN189" s="137" t="e">
        <f t="shared" si="78"/>
        <v>#DIV/0!</v>
      </c>
      <c r="AO189" s="9" t="e">
        <f t="shared" si="78"/>
        <v>#DIV/0!</v>
      </c>
      <c r="AP189" s="137" t="e">
        <f t="shared" si="78"/>
        <v>#DIV/0!</v>
      </c>
      <c r="AQ189" s="137" t="e">
        <f t="shared" si="78"/>
        <v>#DIV/0!</v>
      </c>
      <c r="AR189" s="137" t="e">
        <f t="shared" si="78"/>
        <v>#DIV/0!</v>
      </c>
      <c r="AS189" s="137" t="e">
        <f t="shared" si="78"/>
        <v>#DIV/0!</v>
      </c>
      <c r="AT189" s="9" t="e">
        <f t="shared" si="78"/>
        <v>#DIV/0!</v>
      </c>
      <c r="AU189" s="137" t="e">
        <f t="shared" si="78"/>
        <v>#DIV/0!</v>
      </c>
      <c r="AV189" s="137" t="e">
        <f t="shared" si="78"/>
        <v>#DIV/0!</v>
      </c>
      <c r="AW189" s="137" t="e">
        <f t="shared" si="78"/>
        <v>#DIV/0!</v>
      </c>
      <c r="AX189" s="137" t="e">
        <f t="shared" si="78"/>
        <v>#DIV/0!</v>
      </c>
      <c r="AY189" s="106" t="e">
        <f t="shared" si="78"/>
        <v>#DIV/0!</v>
      </c>
    </row>
    <row r="190" spans="1:51">
      <c r="A190" s="128" t="s">
        <v>129</v>
      </c>
      <c r="B190" s="106" t="e">
        <f t="shared" si="78"/>
        <v>#DIV/0!</v>
      </c>
      <c r="C190" s="106" t="e">
        <f t="shared" si="78"/>
        <v>#DIV/0!</v>
      </c>
      <c r="D190" s="106" t="e">
        <f t="shared" si="78"/>
        <v>#DIV/0!</v>
      </c>
      <c r="E190" s="106" t="e">
        <f t="shared" si="78"/>
        <v>#DIV/0!</v>
      </c>
      <c r="F190" s="9" t="e">
        <f t="shared" si="78"/>
        <v>#DIV/0!</v>
      </c>
      <c r="G190" s="106" t="e">
        <f t="shared" si="78"/>
        <v>#DIV/0!</v>
      </c>
      <c r="H190" s="106" t="e">
        <f t="shared" si="78"/>
        <v>#DIV/0!</v>
      </c>
      <c r="I190" s="106" t="e">
        <f t="shared" si="78"/>
        <v>#DIV/0!</v>
      </c>
      <c r="J190" s="106" t="e">
        <f t="shared" si="78"/>
        <v>#DIV/0!</v>
      </c>
      <c r="K190" s="9" t="e">
        <f t="shared" si="78"/>
        <v>#DIV/0!</v>
      </c>
      <c r="L190" s="106" t="e">
        <f t="shared" si="78"/>
        <v>#DIV/0!</v>
      </c>
      <c r="M190" s="106" t="e">
        <f t="shared" si="78"/>
        <v>#DIV/0!</v>
      </c>
      <c r="N190" s="106" t="e">
        <f t="shared" si="78"/>
        <v>#DIV/0!</v>
      </c>
      <c r="O190" s="106" t="e">
        <f t="shared" si="78"/>
        <v>#DIV/0!</v>
      </c>
      <c r="P190" s="9" t="e">
        <f t="shared" si="78"/>
        <v>#DIV/0!</v>
      </c>
      <c r="Q190" s="137" t="e">
        <f t="shared" si="78"/>
        <v>#DIV/0!</v>
      </c>
      <c r="R190" s="137" t="e">
        <f t="shared" si="78"/>
        <v>#DIV/0!</v>
      </c>
      <c r="S190" s="137" t="e">
        <f t="shared" si="78"/>
        <v>#DIV/0!</v>
      </c>
      <c r="T190" s="137" t="e">
        <f t="shared" si="78"/>
        <v>#DIV/0!</v>
      </c>
      <c r="U190" s="9" t="e">
        <f t="shared" si="78"/>
        <v>#DIV/0!</v>
      </c>
      <c r="V190" s="137" t="e">
        <f t="shared" si="78"/>
        <v>#DIV/0!</v>
      </c>
      <c r="W190" s="137" t="e">
        <f t="shared" si="78"/>
        <v>#DIV/0!</v>
      </c>
      <c r="X190" s="137" t="e">
        <f t="shared" si="78"/>
        <v>#DIV/0!</v>
      </c>
      <c r="Y190" s="137" t="e">
        <f t="shared" si="78"/>
        <v>#DIV/0!</v>
      </c>
      <c r="Z190" s="9" t="e">
        <f t="shared" si="78"/>
        <v>#DIV/0!</v>
      </c>
      <c r="AA190" s="137" t="e">
        <f t="shared" si="78"/>
        <v>#DIV/0!</v>
      </c>
      <c r="AB190" s="137" t="e">
        <f t="shared" si="78"/>
        <v>#DIV/0!</v>
      </c>
      <c r="AC190" s="137" t="e">
        <f t="shared" si="78"/>
        <v>#DIV/0!</v>
      </c>
      <c r="AD190" s="137" t="e">
        <f t="shared" si="78"/>
        <v>#DIV/0!</v>
      </c>
      <c r="AE190" s="9" t="e">
        <f t="shared" si="78"/>
        <v>#DIV/0!</v>
      </c>
      <c r="AF190" s="137" t="e">
        <f t="shared" si="78"/>
        <v>#DIV/0!</v>
      </c>
      <c r="AG190" s="137" t="e">
        <f t="shared" si="78"/>
        <v>#DIV/0!</v>
      </c>
      <c r="AH190" s="137" t="e">
        <f t="shared" si="78"/>
        <v>#DIV/0!</v>
      </c>
      <c r="AI190" s="137" t="e">
        <f t="shared" si="78"/>
        <v>#DIV/0!</v>
      </c>
      <c r="AJ190" s="9" t="e">
        <f t="shared" si="78"/>
        <v>#DIV/0!</v>
      </c>
      <c r="AK190" s="137" t="e">
        <f t="shared" si="78"/>
        <v>#DIV/0!</v>
      </c>
      <c r="AL190" s="137" t="e">
        <f t="shared" si="78"/>
        <v>#DIV/0!</v>
      </c>
      <c r="AM190" s="137" t="e">
        <f t="shared" si="78"/>
        <v>#DIV/0!</v>
      </c>
      <c r="AN190" s="137" t="e">
        <f t="shared" si="78"/>
        <v>#DIV/0!</v>
      </c>
      <c r="AO190" s="9" t="e">
        <f t="shared" si="78"/>
        <v>#DIV/0!</v>
      </c>
      <c r="AP190" s="137" t="e">
        <f t="shared" si="78"/>
        <v>#DIV/0!</v>
      </c>
      <c r="AQ190" s="137" t="e">
        <f t="shared" si="78"/>
        <v>#DIV/0!</v>
      </c>
      <c r="AR190" s="137" t="e">
        <f t="shared" si="78"/>
        <v>#DIV/0!</v>
      </c>
      <c r="AS190" s="137" t="e">
        <f t="shared" si="78"/>
        <v>#DIV/0!</v>
      </c>
      <c r="AT190" s="9" t="e">
        <f t="shared" si="78"/>
        <v>#DIV/0!</v>
      </c>
      <c r="AU190" s="137" t="e">
        <f t="shared" si="78"/>
        <v>#DIV/0!</v>
      </c>
      <c r="AV190" s="137" t="e">
        <f t="shared" si="78"/>
        <v>#DIV/0!</v>
      </c>
      <c r="AW190" s="137" t="e">
        <f t="shared" si="78"/>
        <v>#DIV/0!</v>
      </c>
      <c r="AX190" s="137" t="e">
        <f t="shared" si="78"/>
        <v>#DIV/0!</v>
      </c>
      <c r="AY190" s="106" t="e">
        <f t="shared" si="78"/>
        <v>#DIV/0!</v>
      </c>
    </row>
    <row r="191" spans="1:51">
      <c r="A191" s="128" t="s">
        <v>131</v>
      </c>
      <c r="B191" s="106" t="e">
        <f t="shared" si="78"/>
        <v>#DIV/0!</v>
      </c>
      <c r="C191" s="106" t="e">
        <f t="shared" si="78"/>
        <v>#DIV/0!</v>
      </c>
      <c r="D191" s="106" t="e">
        <f t="shared" si="78"/>
        <v>#DIV/0!</v>
      </c>
      <c r="E191" s="106" t="e">
        <f t="shared" si="78"/>
        <v>#DIV/0!</v>
      </c>
      <c r="F191" s="9" t="e">
        <f t="shared" si="78"/>
        <v>#DIV/0!</v>
      </c>
      <c r="G191" s="106" t="e">
        <f t="shared" si="78"/>
        <v>#DIV/0!</v>
      </c>
      <c r="H191" s="106" t="e">
        <f t="shared" si="78"/>
        <v>#DIV/0!</v>
      </c>
      <c r="I191" s="106" t="e">
        <f t="shared" si="78"/>
        <v>#DIV/0!</v>
      </c>
      <c r="J191" s="106" t="e">
        <f t="shared" si="78"/>
        <v>#DIV/0!</v>
      </c>
      <c r="K191" s="9" t="e">
        <f t="shared" si="78"/>
        <v>#DIV/0!</v>
      </c>
      <c r="L191" s="106" t="e">
        <f t="shared" si="78"/>
        <v>#DIV/0!</v>
      </c>
      <c r="M191" s="106" t="e">
        <f t="shared" si="78"/>
        <v>#DIV/0!</v>
      </c>
      <c r="N191" s="106" t="e">
        <f t="shared" si="78"/>
        <v>#DIV/0!</v>
      </c>
      <c r="O191" s="106" t="e">
        <f t="shared" si="78"/>
        <v>#DIV/0!</v>
      </c>
      <c r="P191" s="9" t="e">
        <f t="shared" si="78"/>
        <v>#DIV/0!</v>
      </c>
      <c r="Q191" s="137" t="e">
        <f t="shared" si="78"/>
        <v>#DIV/0!</v>
      </c>
      <c r="R191" s="137" t="e">
        <f t="shared" si="78"/>
        <v>#DIV/0!</v>
      </c>
      <c r="S191" s="137" t="e">
        <f t="shared" si="78"/>
        <v>#DIV/0!</v>
      </c>
      <c r="T191" s="137" t="e">
        <f t="shared" si="78"/>
        <v>#DIV/0!</v>
      </c>
      <c r="U191" s="9" t="e">
        <f t="shared" si="78"/>
        <v>#DIV/0!</v>
      </c>
      <c r="V191" s="137" t="e">
        <f t="shared" si="78"/>
        <v>#DIV/0!</v>
      </c>
      <c r="W191" s="137" t="e">
        <f t="shared" si="78"/>
        <v>#DIV/0!</v>
      </c>
      <c r="X191" s="137" t="e">
        <f t="shared" si="78"/>
        <v>#DIV/0!</v>
      </c>
      <c r="Y191" s="137" t="e">
        <f t="shared" si="78"/>
        <v>#DIV/0!</v>
      </c>
      <c r="Z191" s="9" t="e">
        <f t="shared" si="78"/>
        <v>#DIV/0!</v>
      </c>
      <c r="AA191" s="137" t="e">
        <f t="shared" si="78"/>
        <v>#DIV/0!</v>
      </c>
      <c r="AB191" s="137" t="e">
        <f t="shared" si="78"/>
        <v>#DIV/0!</v>
      </c>
      <c r="AC191" s="137" t="e">
        <f t="shared" si="78"/>
        <v>#DIV/0!</v>
      </c>
      <c r="AD191" s="137" t="e">
        <f t="shared" si="78"/>
        <v>#DIV/0!</v>
      </c>
      <c r="AE191" s="9" t="e">
        <f t="shared" si="78"/>
        <v>#DIV/0!</v>
      </c>
      <c r="AF191" s="137" t="e">
        <f t="shared" si="78"/>
        <v>#DIV/0!</v>
      </c>
      <c r="AG191" s="137" t="e">
        <f t="shared" si="78"/>
        <v>#DIV/0!</v>
      </c>
      <c r="AH191" s="137" t="e">
        <f t="shared" si="78"/>
        <v>#DIV/0!</v>
      </c>
      <c r="AI191" s="137" t="e">
        <f t="shared" si="78"/>
        <v>#DIV/0!</v>
      </c>
      <c r="AJ191" s="9" t="e">
        <f t="shared" si="78"/>
        <v>#DIV/0!</v>
      </c>
      <c r="AK191" s="137" t="e">
        <f t="shared" si="78"/>
        <v>#DIV/0!</v>
      </c>
      <c r="AL191" s="137" t="e">
        <f t="shared" si="78"/>
        <v>#DIV/0!</v>
      </c>
      <c r="AM191" s="137" t="e">
        <f t="shared" si="78"/>
        <v>#DIV/0!</v>
      </c>
      <c r="AN191" s="137" t="e">
        <f t="shared" si="78"/>
        <v>#DIV/0!</v>
      </c>
      <c r="AO191" s="9" t="e">
        <f t="shared" si="78"/>
        <v>#DIV/0!</v>
      </c>
      <c r="AP191" s="137" t="e">
        <f t="shared" si="78"/>
        <v>#DIV/0!</v>
      </c>
      <c r="AQ191" s="137" t="e">
        <f t="shared" si="78"/>
        <v>#DIV/0!</v>
      </c>
      <c r="AR191" s="137" t="e">
        <f t="shared" si="78"/>
        <v>#DIV/0!</v>
      </c>
      <c r="AS191" s="137" t="e">
        <f t="shared" si="78"/>
        <v>#DIV/0!</v>
      </c>
      <c r="AT191" s="9" t="e">
        <f t="shared" si="78"/>
        <v>#DIV/0!</v>
      </c>
      <c r="AU191" s="137" t="e">
        <f t="shared" si="78"/>
        <v>#DIV/0!</v>
      </c>
      <c r="AV191" s="137" t="e">
        <f t="shared" si="78"/>
        <v>#DIV/0!</v>
      </c>
      <c r="AW191" s="137" t="e">
        <f t="shared" si="78"/>
        <v>#DIV/0!</v>
      </c>
      <c r="AX191" s="137" t="e">
        <f t="shared" si="78"/>
        <v>#DIV/0!</v>
      </c>
      <c r="AY191" s="106" t="e">
        <f t="shared" si="78"/>
        <v>#DIV/0!</v>
      </c>
    </row>
    <row r="192" spans="1:51">
      <c r="A192" s="128" t="s">
        <v>133</v>
      </c>
      <c r="B192" s="106" t="e">
        <f t="shared" si="78"/>
        <v>#DIV/0!</v>
      </c>
      <c r="C192" s="106" t="e">
        <f t="shared" si="78"/>
        <v>#DIV/0!</v>
      </c>
      <c r="D192" s="106" t="e">
        <f t="shared" si="78"/>
        <v>#DIV/0!</v>
      </c>
      <c r="E192" s="106" t="e">
        <f t="shared" si="78"/>
        <v>#DIV/0!</v>
      </c>
      <c r="F192" s="9" t="e">
        <f t="shared" si="78"/>
        <v>#DIV/0!</v>
      </c>
      <c r="G192" s="106" t="e">
        <f t="shared" si="78"/>
        <v>#DIV/0!</v>
      </c>
      <c r="H192" s="106" t="e">
        <f t="shared" si="78"/>
        <v>#DIV/0!</v>
      </c>
      <c r="I192" s="106" t="e">
        <f t="shared" si="78"/>
        <v>#DIV/0!</v>
      </c>
      <c r="J192" s="106" t="e">
        <f t="shared" si="78"/>
        <v>#DIV/0!</v>
      </c>
      <c r="K192" s="9" t="e">
        <f t="shared" si="78"/>
        <v>#DIV/0!</v>
      </c>
      <c r="L192" s="106" t="e">
        <f t="shared" si="78"/>
        <v>#DIV/0!</v>
      </c>
      <c r="M192" s="106" t="e">
        <f t="shared" si="78"/>
        <v>#DIV/0!</v>
      </c>
      <c r="N192" s="106" t="e">
        <f t="shared" si="78"/>
        <v>#DIV/0!</v>
      </c>
      <c r="O192" s="106" t="e">
        <f t="shared" si="78"/>
        <v>#DIV/0!</v>
      </c>
      <c r="P192" s="9" t="e">
        <f t="shared" si="78"/>
        <v>#DIV/0!</v>
      </c>
      <c r="Q192" s="137" t="e">
        <f t="shared" si="78"/>
        <v>#DIV/0!</v>
      </c>
      <c r="R192" s="137" t="e">
        <f t="shared" si="78"/>
        <v>#DIV/0!</v>
      </c>
      <c r="S192" s="137" t="e">
        <f t="shared" si="78"/>
        <v>#DIV/0!</v>
      </c>
      <c r="T192" s="137" t="e">
        <f t="shared" si="78"/>
        <v>#DIV/0!</v>
      </c>
      <c r="U192" s="9" t="e">
        <f t="shared" si="78"/>
        <v>#DIV/0!</v>
      </c>
      <c r="V192" s="137" t="e">
        <f t="shared" si="78"/>
        <v>#DIV/0!</v>
      </c>
      <c r="W192" s="137" t="e">
        <f t="shared" si="78"/>
        <v>#DIV/0!</v>
      </c>
      <c r="X192" s="137" t="e">
        <f t="shared" si="78"/>
        <v>#DIV/0!</v>
      </c>
      <c r="Y192" s="137" t="e">
        <f t="shared" si="78"/>
        <v>#DIV/0!</v>
      </c>
      <c r="Z192" s="9" t="e">
        <f t="shared" si="78"/>
        <v>#DIV/0!</v>
      </c>
      <c r="AA192" s="137" t="e">
        <f t="shared" si="78"/>
        <v>#DIV/0!</v>
      </c>
      <c r="AB192" s="137" t="e">
        <f t="shared" si="78"/>
        <v>#DIV/0!</v>
      </c>
      <c r="AC192" s="137" t="e">
        <f t="shared" si="78"/>
        <v>#DIV/0!</v>
      </c>
      <c r="AD192" s="137" t="e">
        <f t="shared" si="78"/>
        <v>#DIV/0!</v>
      </c>
      <c r="AE192" s="9" t="e">
        <f t="shared" si="78"/>
        <v>#DIV/0!</v>
      </c>
      <c r="AF192" s="137" t="e">
        <f t="shared" si="78"/>
        <v>#DIV/0!</v>
      </c>
      <c r="AG192" s="137" t="e">
        <f t="shared" si="78"/>
        <v>#DIV/0!</v>
      </c>
      <c r="AH192" s="137" t="e">
        <f t="shared" si="78"/>
        <v>#DIV/0!</v>
      </c>
      <c r="AI192" s="137" t="e">
        <f t="shared" si="78"/>
        <v>#DIV/0!</v>
      </c>
      <c r="AJ192" s="9" t="e">
        <f t="shared" si="78"/>
        <v>#DIV/0!</v>
      </c>
      <c r="AK192" s="137" t="e">
        <f t="shared" si="78"/>
        <v>#DIV/0!</v>
      </c>
      <c r="AL192" s="137" t="e">
        <f t="shared" si="78"/>
        <v>#DIV/0!</v>
      </c>
      <c r="AM192" s="137" t="e">
        <f t="shared" si="78"/>
        <v>#DIV/0!</v>
      </c>
      <c r="AN192" s="137" t="e">
        <f t="shared" si="78"/>
        <v>#DIV/0!</v>
      </c>
      <c r="AO192" s="9" t="e">
        <f t="shared" si="78"/>
        <v>#DIV/0!</v>
      </c>
      <c r="AP192" s="137" t="e">
        <f t="shared" si="78"/>
        <v>#DIV/0!</v>
      </c>
      <c r="AQ192" s="137" t="e">
        <f t="shared" si="78"/>
        <v>#DIV/0!</v>
      </c>
      <c r="AR192" s="137" t="e">
        <f t="shared" si="78"/>
        <v>#DIV/0!</v>
      </c>
      <c r="AS192" s="137" t="e">
        <f t="shared" si="78"/>
        <v>#DIV/0!</v>
      </c>
      <c r="AT192" s="9" t="e">
        <f t="shared" si="78"/>
        <v>#DIV/0!</v>
      </c>
      <c r="AU192" s="137" t="e">
        <f t="shared" si="78"/>
        <v>#DIV/0!</v>
      </c>
      <c r="AV192" s="137" t="e">
        <f t="shared" si="78"/>
        <v>#DIV/0!</v>
      </c>
      <c r="AW192" s="137" t="e">
        <f t="shared" si="78"/>
        <v>#DIV/0!</v>
      </c>
      <c r="AX192" s="137" t="e">
        <f t="shared" si="78"/>
        <v>#DIV/0!</v>
      </c>
      <c r="AY192" s="106" t="e">
        <f t="shared" si="78"/>
        <v>#DIV/0!</v>
      </c>
    </row>
    <row r="193" spans="1:51">
      <c r="A193" s="128" t="s">
        <v>135</v>
      </c>
      <c r="B193" s="106" t="e">
        <f t="shared" ref="B193:AY196" si="79">B55/B$137</f>
        <v>#DIV/0!</v>
      </c>
      <c r="C193" s="106" t="e">
        <f t="shared" si="79"/>
        <v>#DIV/0!</v>
      </c>
      <c r="D193" s="106" t="e">
        <f t="shared" si="79"/>
        <v>#DIV/0!</v>
      </c>
      <c r="E193" s="106" t="e">
        <f t="shared" si="79"/>
        <v>#DIV/0!</v>
      </c>
      <c r="F193" s="9" t="e">
        <f t="shared" si="79"/>
        <v>#DIV/0!</v>
      </c>
      <c r="G193" s="106" t="e">
        <f t="shared" si="79"/>
        <v>#DIV/0!</v>
      </c>
      <c r="H193" s="106" t="e">
        <f t="shared" si="79"/>
        <v>#DIV/0!</v>
      </c>
      <c r="I193" s="106" t="e">
        <f t="shared" si="79"/>
        <v>#DIV/0!</v>
      </c>
      <c r="J193" s="106" t="e">
        <f t="shared" si="79"/>
        <v>#DIV/0!</v>
      </c>
      <c r="K193" s="9" t="e">
        <f t="shared" si="79"/>
        <v>#DIV/0!</v>
      </c>
      <c r="L193" s="106" t="e">
        <f t="shared" si="79"/>
        <v>#DIV/0!</v>
      </c>
      <c r="M193" s="106" t="e">
        <f t="shared" si="79"/>
        <v>#DIV/0!</v>
      </c>
      <c r="N193" s="106" t="e">
        <f t="shared" si="79"/>
        <v>#DIV/0!</v>
      </c>
      <c r="O193" s="106" t="e">
        <f t="shared" si="79"/>
        <v>#DIV/0!</v>
      </c>
      <c r="P193" s="9" t="e">
        <f t="shared" si="79"/>
        <v>#DIV/0!</v>
      </c>
      <c r="Q193" s="137" t="e">
        <f t="shared" si="79"/>
        <v>#DIV/0!</v>
      </c>
      <c r="R193" s="137" t="e">
        <f t="shared" si="79"/>
        <v>#DIV/0!</v>
      </c>
      <c r="S193" s="137" t="e">
        <f t="shared" si="79"/>
        <v>#DIV/0!</v>
      </c>
      <c r="T193" s="137" t="e">
        <f t="shared" si="79"/>
        <v>#DIV/0!</v>
      </c>
      <c r="U193" s="9" t="e">
        <f t="shared" si="79"/>
        <v>#DIV/0!</v>
      </c>
      <c r="V193" s="137" t="e">
        <f t="shared" si="79"/>
        <v>#DIV/0!</v>
      </c>
      <c r="W193" s="137" t="e">
        <f t="shared" si="79"/>
        <v>#DIV/0!</v>
      </c>
      <c r="X193" s="137" t="e">
        <f t="shared" si="79"/>
        <v>#DIV/0!</v>
      </c>
      <c r="Y193" s="137" t="e">
        <f t="shared" si="79"/>
        <v>#DIV/0!</v>
      </c>
      <c r="Z193" s="9" t="e">
        <f t="shared" si="79"/>
        <v>#DIV/0!</v>
      </c>
      <c r="AA193" s="137" t="e">
        <f t="shared" si="79"/>
        <v>#DIV/0!</v>
      </c>
      <c r="AB193" s="137" t="e">
        <f t="shared" si="79"/>
        <v>#DIV/0!</v>
      </c>
      <c r="AC193" s="137" t="e">
        <f t="shared" si="79"/>
        <v>#DIV/0!</v>
      </c>
      <c r="AD193" s="137" t="e">
        <f t="shared" si="79"/>
        <v>#DIV/0!</v>
      </c>
      <c r="AE193" s="9" t="e">
        <f t="shared" si="79"/>
        <v>#DIV/0!</v>
      </c>
      <c r="AF193" s="137" t="e">
        <f t="shared" si="79"/>
        <v>#DIV/0!</v>
      </c>
      <c r="AG193" s="137" t="e">
        <f t="shared" si="79"/>
        <v>#DIV/0!</v>
      </c>
      <c r="AH193" s="137" t="e">
        <f t="shared" si="79"/>
        <v>#DIV/0!</v>
      </c>
      <c r="AI193" s="137" t="e">
        <f t="shared" si="79"/>
        <v>#DIV/0!</v>
      </c>
      <c r="AJ193" s="9" t="e">
        <f t="shared" si="79"/>
        <v>#DIV/0!</v>
      </c>
      <c r="AK193" s="137" t="e">
        <f t="shared" si="79"/>
        <v>#DIV/0!</v>
      </c>
      <c r="AL193" s="137" t="e">
        <f t="shared" si="79"/>
        <v>#DIV/0!</v>
      </c>
      <c r="AM193" s="137" t="e">
        <f t="shared" si="79"/>
        <v>#DIV/0!</v>
      </c>
      <c r="AN193" s="137" t="e">
        <f t="shared" si="79"/>
        <v>#DIV/0!</v>
      </c>
      <c r="AO193" s="9" t="e">
        <f t="shared" si="79"/>
        <v>#DIV/0!</v>
      </c>
      <c r="AP193" s="137" t="e">
        <f t="shared" si="79"/>
        <v>#DIV/0!</v>
      </c>
      <c r="AQ193" s="137" t="e">
        <f t="shared" si="79"/>
        <v>#DIV/0!</v>
      </c>
      <c r="AR193" s="137" t="e">
        <f t="shared" si="79"/>
        <v>#DIV/0!</v>
      </c>
      <c r="AS193" s="137" t="e">
        <f t="shared" si="79"/>
        <v>#DIV/0!</v>
      </c>
      <c r="AT193" s="9" t="e">
        <f t="shared" si="79"/>
        <v>#DIV/0!</v>
      </c>
      <c r="AU193" s="137" t="e">
        <f t="shared" si="79"/>
        <v>#DIV/0!</v>
      </c>
      <c r="AV193" s="137" t="e">
        <f t="shared" si="79"/>
        <v>#DIV/0!</v>
      </c>
      <c r="AW193" s="137" t="e">
        <f t="shared" si="79"/>
        <v>#DIV/0!</v>
      </c>
      <c r="AX193" s="137" t="e">
        <f t="shared" si="79"/>
        <v>#DIV/0!</v>
      </c>
      <c r="AY193" s="106" t="e">
        <f t="shared" si="79"/>
        <v>#DIV/0!</v>
      </c>
    </row>
    <row r="194" spans="1:51">
      <c r="A194" s="128" t="s">
        <v>137</v>
      </c>
      <c r="B194" s="106" t="e">
        <f t="shared" si="79"/>
        <v>#DIV/0!</v>
      </c>
      <c r="C194" s="106" t="e">
        <f t="shared" si="79"/>
        <v>#DIV/0!</v>
      </c>
      <c r="D194" s="106" t="e">
        <f t="shared" si="79"/>
        <v>#DIV/0!</v>
      </c>
      <c r="E194" s="106" t="e">
        <f t="shared" si="79"/>
        <v>#DIV/0!</v>
      </c>
      <c r="F194" s="9" t="e">
        <f t="shared" si="79"/>
        <v>#DIV/0!</v>
      </c>
      <c r="G194" s="106" t="e">
        <f t="shared" si="79"/>
        <v>#DIV/0!</v>
      </c>
      <c r="H194" s="106" t="e">
        <f t="shared" si="79"/>
        <v>#DIV/0!</v>
      </c>
      <c r="I194" s="106" t="e">
        <f t="shared" si="79"/>
        <v>#DIV/0!</v>
      </c>
      <c r="J194" s="106" t="e">
        <f t="shared" si="79"/>
        <v>#DIV/0!</v>
      </c>
      <c r="K194" s="9" t="e">
        <f t="shared" si="79"/>
        <v>#DIV/0!</v>
      </c>
      <c r="L194" s="106" t="e">
        <f t="shared" si="79"/>
        <v>#DIV/0!</v>
      </c>
      <c r="M194" s="106" t="e">
        <f t="shared" si="79"/>
        <v>#DIV/0!</v>
      </c>
      <c r="N194" s="106" t="e">
        <f t="shared" si="79"/>
        <v>#DIV/0!</v>
      </c>
      <c r="O194" s="106" t="e">
        <f t="shared" si="79"/>
        <v>#DIV/0!</v>
      </c>
      <c r="P194" s="9" t="e">
        <f t="shared" si="79"/>
        <v>#DIV/0!</v>
      </c>
      <c r="Q194" s="137" t="e">
        <f t="shared" si="79"/>
        <v>#DIV/0!</v>
      </c>
      <c r="R194" s="137" t="e">
        <f t="shared" si="79"/>
        <v>#DIV/0!</v>
      </c>
      <c r="S194" s="137" t="e">
        <f t="shared" si="79"/>
        <v>#DIV/0!</v>
      </c>
      <c r="T194" s="137" t="e">
        <f t="shared" si="79"/>
        <v>#DIV/0!</v>
      </c>
      <c r="U194" s="9" t="e">
        <f t="shared" si="79"/>
        <v>#DIV/0!</v>
      </c>
      <c r="V194" s="137" t="e">
        <f t="shared" si="79"/>
        <v>#DIV/0!</v>
      </c>
      <c r="W194" s="137" t="e">
        <f t="shared" si="79"/>
        <v>#DIV/0!</v>
      </c>
      <c r="X194" s="137" t="e">
        <f t="shared" si="79"/>
        <v>#DIV/0!</v>
      </c>
      <c r="Y194" s="137" t="e">
        <f t="shared" si="79"/>
        <v>#DIV/0!</v>
      </c>
      <c r="Z194" s="9" t="e">
        <f t="shared" si="79"/>
        <v>#DIV/0!</v>
      </c>
      <c r="AA194" s="137" t="e">
        <f t="shared" si="79"/>
        <v>#DIV/0!</v>
      </c>
      <c r="AB194" s="137" t="e">
        <f t="shared" si="79"/>
        <v>#DIV/0!</v>
      </c>
      <c r="AC194" s="137" t="e">
        <f t="shared" si="79"/>
        <v>#DIV/0!</v>
      </c>
      <c r="AD194" s="137" t="e">
        <f t="shared" si="79"/>
        <v>#DIV/0!</v>
      </c>
      <c r="AE194" s="9" t="e">
        <f t="shared" si="79"/>
        <v>#DIV/0!</v>
      </c>
      <c r="AF194" s="137" t="e">
        <f t="shared" si="79"/>
        <v>#DIV/0!</v>
      </c>
      <c r="AG194" s="137" t="e">
        <f t="shared" si="79"/>
        <v>#DIV/0!</v>
      </c>
      <c r="AH194" s="137" t="e">
        <f t="shared" si="79"/>
        <v>#DIV/0!</v>
      </c>
      <c r="AI194" s="137" t="e">
        <f t="shared" si="79"/>
        <v>#DIV/0!</v>
      </c>
      <c r="AJ194" s="9" t="e">
        <f t="shared" si="79"/>
        <v>#DIV/0!</v>
      </c>
      <c r="AK194" s="137" t="e">
        <f t="shared" si="79"/>
        <v>#DIV/0!</v>
      </c>
      <c r="AL194" s="137" t="e">
        <f t="shared" si="79"/>
        <v>#DIV/0!</v>
      </c>
      <c r="AM194" s="137" t="e">
        <f t="shared" si="79"/>
        <v>#DIV/0!</v>
      </c>
      <c r="AN194" s="137" t="e">
        <f t="shared" si="79"/>
        <v>#DIV/0!</v>
      </c>
      <c r="AO194" s="9" t="e">
        <f t="shared" si="79"/>
        <v>#DIV/0!</v>
      </c>
      <c r="AP194" s="137" t="e">
        <f t="shared" si="79"/>
        <v>#DIV/0!</v>
      </c>
      <c r="AQ194" s="137" t="e">
        <f t="shared" si="79"/>
        <v>#DIV/0!</v>
      </c>
      <c r="AR194" s="137" t="e">
        <f t="shared" si="79"/>
        <v>#DIV/0!</v>
      </c>
      <c r="AS194" s="137" t="e">
        <f t="shared" si="79"/>
        <v>#DIV/0!</v>
      </c>
      <c r="AT194" s="9" t="e">
        <f t="shared" si="79"/>
        <v>#DIV/0!</v>
      </c>
      <c r="AU194" s="137" t="e">
        <f t="shared" si="79"/>
        <v>#DIV/0!</v>
      </c>
      <c r="AV194" s="137" t="e">
        <f t="shared" si="79"/>
        <v>#DIV/0!</v>
      </c>
      <c r="AW194" s="137" t="e">
        <f t="shared" si="79"/>
        <v>#DIV/0!</v>
      </c>
      <c r="AX194" s="137" t="e">
        <f t="shared" si="79"/>
        <v>#DIV/0!</v>
      </c>
      <c r="AY194" s="106" t="e">
        <f t="shared" si="79"/>
        <v>#DIV/0!</v>
      </c>
    </row>
    <row r="195" spans="1:51">
      <c r="A195" s="128" t="s">
        <v>139</v>
      </c>
      <c r="B195" s="106" t="e">
        <f t="shared" si="79"/>
        <v>#DIV/0!</v>
      </c>
      <c r="C195" s="106" t="e">
        <f t="shared" si="79"/>
        <v>#DIV/0!</v>
      </c>
      <c r="D195" s="106" t="e">
        <f t="shared" si="79"/>
        <v>#DIV/0!</v>
      </c>
      <c r="E195" s="106" t="e">
        <f t="shared" si="79"/>
        <v>#DIV/0!</v>
      </c>
      <c r="F195" s="9" t="e">
        <f t="shared" si="79"/>
        <v>#DIV/0!</v>
      </c>
      <c r="G195" s="106" t="e">
        <f t="shared" si="79"/>
        <v>#DIV/0!</v>
      </c>
      <c r="H195" s="106" t="e">
        <f t="shared" si="79"/>
        <v>#DIV/0!</v>
      </c>
      <c r="I195" s="106" t="e">
        <f t="shared" si="79"/>
        <v>#DIV/0!</v>
      </c>
      <c r="J195" s="106" t="e">
        <f t="shared" si="79"/>
        <v>#DIV/0!</v>
      </c>
      <c r="K195" s="9" t="e">
        <f t="shared" si="79"/>
        <v>#DIV/0!</v>
      </c>
      <c r="L195" s="106" t="e">
        <f t="shared" si="79"/>
        <v>#DIV/0!</v>
      </c>
      <c r="M195" s="106" t="e">
        <f t="shared" si="79"/>
        <v>#DIV/0!</v>
      </c>
      <c r="N195" s="106" t="e">
        <f t="shared" si="79"/>
        <v>#DIV/0!</v>
      </c>
      <c r="O195" s="106" t="e">
        <f t="shared" si="79"/>
        <v>#DIV/0!</v>
      </c>
      <c r="P195" s="9" t="e">
        <f t="shared" si="79"/>
        <v>#DIV/0!</v>
      </c>
      <c r="Q195" s="137" t="e">
        <f t="shared" si="79"/>
        <v>#DIV/0!</v>
      </c>
      <c r="R195" s="137" t="e">
        <f t="shared" si="79"/>
        <v>#DIV/0!</v>
      </c>
      <c r="S195" s="137" t="e">
        <f t="shared" si="79"/>
        <v>#DIV/0!</v>
      </c>
      <c r="T195" s="137" t="e">
        <f t="shared" si="79"/>
        <v>#DIV/0!</v>
      </c>
      <c r="U195" s="9" t="e">
        <f t="shared" si="79"/>
        <v>#DIV/0!</v>
      </c>
      <c r="V195" s="137" t="e">
        <f t="shared" si="79"/>
        <v>#DIV/0!</v>
      </c>
      <c r="W195" s="137" t="e">
        <f t="shared" si="79"/>
        <v>#DIV/0!</v>
      </c>
      <c r="X195" s="137" t="e">
        <f t="shared" si="79"/>
        <v>#DIV/0!</v>
      </c>
      <c r="Y195" s="137" t="e">
        <f t="shared" si="79"/>
        <v>#DIV/0!</v>
      </c>
      <c r="Z195" s="9" t="e">
        <f t="shared" si="79"/>
        <v>#DIV/0!</v>
      </c>
      <c r="AA195" s="137" t="e">
        <f t="shared" si="79"/>
        <v>#DIV/0!</v>
      </c>
      <c r="AB195" s="137" t="e">
        <f t="shared" si="79"/>
        <v>#DIV/0!</v>
      </c>
      <c r="AC195" s="137" t="e">
        <f t="shared" si="79"/>
        <v>#DIV/0!</v>
      </c>
      <c r="AD195" s="137" t="e">
        <f t="shared" si="79"/>
        <v>#DIV/0!</v>
      </c>
      <c r="AE195" s="9" t="e">
        <f t="shared" si="79"/>
        <v>#DIV/0!</v>
      </c>
      <c r="AF195" s="137" t="e">
        <f t="shared" si="79"/>
        <v>#DIV/0!</v>
      </c>
      <c r="AG195" s="137" t="e">
        <f t="shared" si="79"/>
        <v>#DIV/0!</v>
      </c>
      <c r="AH195" s="137" t="e">
        <f t="shared" si="79"/>
        <v>#DIV/0!</v>
      </c>
      <c r="AI195" s="137" t="e">
        <f t="shared" si="79"/>
        <v>#DIV/0!</v>
      </c>
      <c r="AJ195" s="9" t="e">
        <f t="shared" si="79"/>
        <v>#DIV/0!</v>
      </c>
      <c r="AK195" s="137" t="e">
        <f t="shared" si="79"/>
        <v>#DIV/0!</v>
      </c>
      <c r="AL195" s="137" t="e">
        <f t="shared" si="79"/>
        <v>#DIV/0!</v>
      </c>
      <c r="AM195" s="137" t="e">
        <f t="shared" si="79"/>
        <v>#DIV/0!</v>
      </c>
      <c r="AN195" s="137" t="e">
        <f t="shared" si="79"/>
        <v>#DIV/0!</v>
      </c>
      <c r="AO195" s="9" t="e">
        <f t="shared" si="79"/>
        <v>#DIV/0!</v>
      </c>
      <c r="AP195" s="137" t="e">
        <f t="shared" si="79"/>
        <v>#DIV/0!</v>
      </c>
      <c r="AQ195" s="137" t="e">
        <f t="shared" si="79"/>
        <v>#DIV/0!</v>
      </c>
      <c r="AR195" s="137" t="e">
        <f t="shared" si="79"/>
        <v>#DIV/0!</v>
      </c>
      <c r="AS195" s="137" t="e">
        <f t="shared" si="79"/>
        <v>#DIV/0!</v>
      </c>
      <c r="AT195" s="9" t="e">
        <f t="shared" si="79"/>
        <v>#DIV/0!</v>
      </c>
      <c r="AU195" s="137" t="e">
        <f t="shared" si="79"/>
        <v>#DIV/0!</v>
      </c>
      <c r="AV195" s="137" t="e">
        <f t="shared" si="79"/>
        <v>#DIV/0!</v>
      </c>
      <c r="AW195" s="137" t="e">
        <f t="shared" si="79"/>
        <v>#DIV/0!</v>
      </c>
      <c r="AX195" s="137" t="e">
        <f t="shared" si="79"/>
        <v>#DIV/0!</v>
      </c>
      <c r="AY195" s="106" t="e">
        <f t="shared" si="79"/>
        <v>#DIV/0!</v>
      </c>
    </row>
    <row r="196" spans="1:51">
      <c r="A196" s="128" t="s">
        <v>141</v>
      </c>
      <c r="B196" s="106" t="e">
        <f t="shared" si="79"/>
        <v>#DIV/0!</v>
      </c>
      <c r="C196" s="106" t="e">
        <f t="shared" si="79"/>
        <v>#DIV/0!</v>
      </c>
      <c r="D196" s="106" t="e">
        <f t="shared" si="79"/>
        <v>#DIV/0!</v>
      </c>
      <c r="E196" s="106" t="e">
        <f t="shared" si="79"/>
        <v>#DIV/0!</v>
      </c>
      <c r="F196" s="9" t="e">
        <f t="shared" si="79"/>
        <v>#DIV/0!</v>
      </c>
      <c r="G196" s="106" t="e">
        <f t="shared" si="79"/>
        <v>#DIV/0!</v>
      </c>
      <c r="H196" s="106" t="e">
        <f t="shared" si="79"/>
        <v>#DIV/0!</v>
      </c>
      <c r="I196" s="106" t="e">
        <f t="shared" si="79"/>
        <v>#DIV/0!</v>
      </c>
      <c r="J196" s="106" t="e">
        <f t="shared" si="79"/>
        <v>#DIV/0!</v>
      </c>
      <c r="K196" s="9" t="e">
        <f t="shared" si="79"/>
        <v>#DIV/0!</v>
      </c>
      <c r="L196" s="106" t="e">
        <f t="shared" si="79"/>
        <v>#DIV/0!</v>
      </c>
      <c r="M196" s="106" t="e">
        <f t="shared" si="79"/>
        <v>#DIV/0!</v>
      </c>
      <c r="N196" s="106" t="e">
        <f t="shared" si="79"/>
        <v>#DIV/0!</v>
      </c>
      <c r="O196" s="106" t="e">
        <f t="shared" si="79"/>
        <v>#DIV/0!</v>
      </c>
      <c r="P196" s="9" t="e">
        <f t="shared" si="79"/>
        <v>#DIV/0!</v>
      </c>
      <c r="Q196" s="137" t="e">
        <f t="shared" si="79"/>
        <v>#DIV/0!</v>
      </c>
      <c r="R196" s="137" t="e">
        <f t="shared" si="79"/>
        <v>#DIV/0!</v>
      </c>
      <c r="S196" s="137" t="e">
        <f t="shared" si="79"/>
        <v>#DIV/0!</v>
      </c>
      <c r="T196" s="137" t="e">
        <f t="shared" si="79"/>
        <v>#DIV/0!</v>
      </c>
      <c r="U196" s="9" t="e">
        <f t="shared" si="79"/>
        <v>#DIV/0!</v>
      </c>
      <c r="V196" s="137" t="e">
        <f t="shared" si="79"/>
        <v>#DIV/0!</v>
      </c>
      <c r="W196" s="137" t="e">
        <f t="shared" si="79"/>
        <v>#DIV/0!</v>
      </c>
      <c r="X196" s="137" t="e">
        <f t="shared" si="79"/>
        <v>#DIV/0!</v>
      </c>
      <c r="Y196" s="137" t="e">
        <f t="shared" si="79"/>
        <v>#DIV/0!</v>
      </c>
      <c r="Z196" s="9" t="e">
        <f t="shared" si="79"/>
        <v>#DIV/0!</v>
      </c>
      <c r="AA196" s="137" t="e">
        <f t="shared" si="79"/>
        <v>#DIV/0!</v>
      </c>
      <c r="AB196" s="137" t="e">
        <f t="shared" si="79"/>
        <v>#DIV/0!</v>
      </c>
      <c r="AC196" s="137" t="e">
        <f t="shared" si="79"/>
        <v>#DIV/0!</v>
      </c>
      <c r="AD196" s="137" t="e">
        <f t="shared" si="79"/>
        <v>#DIV/0!</v>
      </c>
      <c r="AE196" s="9" t="e">
        <f t="shared" si="79"/>
        <v>#DIV/0!</v>
      </c>
      <c r="AF196" s="137" t="e">
        <f t="shared" si="79"/>
        <v>#DIV/0!</v>
      </c>
      <c r="AG196" s="137" t="e">
        <f t="shared" si="79"/>
        <v>#DIV/0!</v>
      </c>
      <c r="AH196" s="137" t="e">
        <f t="shared" si="79"/>
        <v>#DIV/0!</v>
      </c>
      <c r="AI196" s="137" t="e">
        <f t="shared" si="79"/>
        <v>#DIV/0!</v>
      </c>
      <c r="AJ196" s="9" t="e">
        <f t="shared" si="79"/>
        <v>#DIV/0!</v>
      </c>
      <c r="AK196" s="137" t="e">
        <f t="shared" si="79"/>
        <v>#DIV/0!</v>
      </c>
      <c r="AL196" s="137" t="e">
        <f t="shared" si="79"/>
        <v>#DIV/0!</v>
      </c>
      <c r="AM196" s="137" t="e">
        <f t="shared" si="79"/>
        <v>#DIV/0!</v>
      </c>
      <c r="AN196" s="137" t="e">
        <f t="shared" si="79"/>
        <v>#DIV/0!</v>
      </c>
      <c r="AO196" s="9" t="e">
        <f t="shared" si="79"/>
        <v>#DIV/0!</v>
      </c>
      <c r="AP196" s="137" t="e">
        <f t="shared" si="79"/>
        <v>#DIV/0!</v>
      </c>
      <c r="AQ196" s="137" t="e">
        <f t="shared" si="79"/>
        <v>#DIV/0!</v>
      </c>
      <c r="AR196" s="137" t="e">
        <f t="shared" si="79"/>
        <v>#DIV/0!</v>
      </c>
      <c r="AS196" s="137" t="e">
        <f t="shared" si="79"/>
        <v>#DIV/0!</v>
      </c>
      <c r="AT196" s="9" t="e">
        <f t="shared" si="79"/>
        <v>#DIV/0!</v>
      </c>
      <c r="AU196" s="137" t="e">
        <f t="shared" si="79"/>
        <v>#DIV/0!</v>
      </c>
      <c r="AV196" s="137" t="e">
        <f t="shared" si="79"/>
        <v>#DIV/0!</v>
      </c>
      <c r="AW196" s="137" t="e">
        <f t="shared" si="79"/>
        <v>#DIV/0!</v>
      </c>
      <c r="AX196" s="137" t="e">
        <f t="shared" si="79"/>
        <v>#DIV/0!</v>
      </c>
      <c r="AY196" s="106" t="e">
        <f t="shared" si="79"/>
        <v>#DIV/0!</v>
      </c>
    </row>
    <row r="197" spans="1:51">
      <c r="A197" s="128" t="s">
        <v>143</v>
      </c>
      <c r="B197" s="106" t="e">
        <f t="shared" ref="B197:AY200" si="80">B59/B$137</f>
        <v>#DIV/0!</v>
      </c>
      <c r="C197" s="106" t="e">
        <f t="shared" si="80"/>
        <v>#DIV/0!</v>
      </c>
      <c r="D197" s="106" t="e">
        <f t="shared" si="80"/>
        <v>#DIV/0!</v>
      </c>
      <c r="E197" s="106" t="e">
        <f t="shared" si="80"/>
        <v>#DIV/0!</v>
      </c>
      <c r="F197" s="9" t="e">
        <f t="shared" si="80"/>
        <v>#DIV/0!</v>
      </c>
      <c r="G197" s="106" t="e">
        <f t="shared" si="80"/>
        <v>#DIV/0!</v>
      </c>
      <c r="H197" s="106" t="e">
        <f t="shared" si="80"/>
        <v>#DIV/0!</v>
      </c>
      <c r="I197" s="106" t="e">
        <f t="shared" si="80"/>
        <v>#DIV/0!</v>
      </c>
      <c r="J197" s="106" t="e">
        <f t="shared" si="80"/>
        <v>#DIV/0!</v>
      </c>
      <c r="K197" s="9" t="e">
        <f t="shared" si="80"/>
        <v>#DIV/0!</v>
      </c>
      <c r="L197" s="106" t="e">
        <f t="shared" si="80"/>
        <v>#DIV/0!</v>
      </c>
      <c r="M197" s="106" t="e">
        <f t="shared" si="80"/>
        <v>#DIV/0!</v>
      </c>
      <c r="N197" s="106" t="e">
        <f t="shared" si="80"/>
        <v>#DIV/0!</v>
      </c>
      <c r="O197" s="106" t="e">
        <f t="shared" si="80"/>
        <v>#DIV/0!</v>
      </c>
      <c r="P197" s="9" t="e">
        <f t="shared" si="80"/>
        <v>#DIV/0!</v>
      </c>
      <c r="Q197" s="137" t="e">
        <f t="shared" si="80"/>
        <v>#DIV/0!</v>
      </c>
      <c r="R197" s="137" t="e">
        <f t="shared" si="80"/>
        <v>#DIV/0!</v>
      </c>
      <c r="S197" s="137" t="e">
        <f t="shared" si="80"/>
        <v>#DIV/0!</v>
      </c>
      <c r="T197" s="137" t="e">
        <f t="shared" si="80"/>
        <v>#DIV/0!</v>
      </c>
      <c r="U197" s="9" t="e">
        <f t="shared" si="80"/>
        <v>#DIV/0!</v>
      </c>
      <c r="V197" s="137" t="e">
        <f t="shared" si="80"/>
        <v>#DIV/0!</v>
      </c>
      <c r="W197" s="137" t="e">
        <f t="shared" si="80"/>
        <v>#DIV/0!</v>
      </c>
      <c r="X197" s="137" t="e">
        <f t="shared" si="80"/>
        <v>#DIV/0!</v>
      </c>
      <c r="Y197" s="137" t="e">
        <f t="shared" si="80"/>
        <v>#DIV/0!</v>
      </c>
      <c r="Z197" s="9" t="e">
        <f t="shared" si="80"/>
        <v>#DIV/0!</v>
      </c>
      <c r="AA197" s="137" t="e">
        <f t="shared" si="80"/>
        <v>#DIV/0!</v>
      </c>
      <c r="AB197" s="137" t="e">
        <f t="shared" si="80"/>
        <v>#DIV/0!</v>
      </c>
      <c r="AC197" s="137" t="e">
        <f t="shared" si="80"/>
        <v>#DIV/0!</v>
      </c>
      <c r="AD197" s="137" t="e">
        <f t="shared" si="80"/>
        <v>#DIV/0!</v>
      </c>
      <c r="AE197" s="9" t="e">
        <f t="shared" si="80"/>
        <v>#DIV/0!</v>
      </c>
      <c r="AF197" s="137" t="e">
        <f t="shared" si="80"/>
        <v>#DIV/0!</v>
      </c>
      <c r="AG197" s="137" t="e">
        <f t="shared" si="80"/>
        <v>#DIV/0!</v>
      </c>
      <c r="AH197" s="137" t="e">
        <f t="shared" si="80"/>
        <v>#DIV/0!</v>
      </c>
      <c r="AI197" s="137" t="e">
        <f t="shared" si="80"/>
        <v>#DIV/0!</v>
      </c>
      <c r="AJ197" s="9" t="e">
        <f t="shared" si="80"/>
        <v>#DIV/0!</v>
      </c>
      <c r="AK197" s="137" t="e">
        <f t="shared" si="80"/>
        <v>#DIV/0!</v>
      </c>
      <c r="AL197" s="137" t="e">
        <f t="shared" si="80"/>
        <v>#DIV/0!</v>
      </c>
      <c r="AM197" s="137" t="e">
        <f t="shared" si="80"/>
        <v>#DIV/0!</v>
      </c>
      <c r="AN197" s="137" t="e">
        <f t="shared" si="80"/>
        <v>#DIV/0!</v>
      </c>
      <c r="AO197" s="9" t="e">
        <f t="shared" si="80"/>
        <v>#DIV/0!</v>
      </c>
      <c r="AP197" s="137" t="e">
        <f t="shared" si="80"/>
        <v>#DIV/0!</v>
      </c>
      <c r="AQ197" s="137" t="e">
        <f t="shared" si="80"/>
        <v>#DIV/0!</v>
      </c>
      <c r="AR197" s="137" t="e">
        <f t="shared" si="80"/>
        <v>#DIV/0!</v>
      </c>
      <c r="AS197" s="137" t="e">
        <f t="shared" si="80"/>
        <v>#DIV/0!</v>
      </c>
      <c r="AT197" s="9" t="e">
        <f t="shared" si="80"/>
        <v>#DIV/0!</v>
      </c>
      <c r="AU197" s="137" t="e">
        <f t="shared" si="80"/>
        <v>#DIV/0!</v>
      </c>
      <c r="AV197" s="137" t="e">
        <f t="shared" si="80"/>
        <v>#DIV/0!</v>
      </c>
      <c r="AW197" s="137" t="e">
        <f t="shared" si="80"/>
        <v>#DIV/0!</v>
      </c>
      <c r="AX197" s="137" t="e">
        <f t="shared" si="80"/>
        <v>#DIV/0!</v>
      </c>
      <c r="AY197" s="106" t="e">
        <f t="shared" si="80"/>
        <v>#DIV/0!</v>
      </c>
    </row>
    <row r="198" spans="1:51">
      <c r="A198" s="128" t="s">
        <v>145</v>
      </c>
      <c r="B198" s="106" t="e">
        <f t="shared" si="80"/>
        <v>#DIV/0!</v>
      </c>
      <c r="C198" s="106" t="e">
        <f t="shared" si="80"/>
        <v>#DIV/0!</v>
      </c>
      <c r="D198" s="106" t="e">
        <f t="shared" si="80"/>
        <v>#DIV/0!</v>
      </c>
      <c r="E198" s="106" t="e">
        <f t="shared" si="80"/>
        <v>#DIV/0!</v>
      </c>
      <c r="F198" s="9" t="e">
        <f t="shared" si="80"/>
        <v>#DIV/0!</v>
      </c>
      <c r="G198" s="106" t="e">
        <f t="shared" si="80"/>
        <v>#DIV/0!</v>
      </c>
      <c r="H198" s="106" t="e">
        <f t="shared" si="80"/>
        <v>#DIV/0!</v>
      </c>
      <c r="I198" s="106" t="e">
        <f t="shared" si="80"/>
        <v>#DIV/0!</v>
      </c>
      <c r="J198" s="106" t="e">
        <f t="shared" si="80"/>
        <v>#DIV/0!</v>
      </c>
      <c r="K198" s="9" t="e">
        <f t="shared" si="80"/>
        <v>#DIV/0!</v>
      </c>
      <c r="L198" s="106" t="e">
        <f t="shared" si="80"/>
        <v>#DIV/0!</v>
      </c>
      <c r="M198" s="106" t="e">
        <f t="shared" si="80"/>
        <v>#DIV/0!</v>
      </c>
      <c r="N198" s="106" t="e">
        <f t="shared" si="80"/>
        <v>#DIV/0!</v>
      </c>
      <c r="O198" s="106" t="e">
        <f t="shared" si="80"/>
        <v>#DIV/0!</v>
      </c>
      <c r="P198" s="9" t="e">
        <f t="shared" si="80"/>
        <v>#DIV/0!</v>
      </c>
      <c r="Q198" s="137" t="e">
        <f t="shared" si="80"/>
        <v>#DIV/0!</v>
      </c>
      <c r="R198" s="137" t="e">
        <f t="shared" si="80"/>
        <v>#DIV/0!</v>
      </c>
      <c r="S198" s="137" t="e">
        <f t="shared" si="80"/>
        <v>#DIV/0!</v>
      </c>
      <c r="T198" s="137" t="e">
        <f t="shared" si="80"/>
        <v>#DIV/0!</v>
      </c>
      <c r="U198" s="9" t="e">
        <f t="shared" si="80"/>
        <v>#DIV/0!</v>
      </c>
      <c r="V198" s="137" t="e">
        <f t="shared" si="80"/>
        <v>#DIV/0!</v>
      </c>
      <c r="W198" s="137" t="e">
        <f t="shared" si="80"/>
        <v>#DIV/0!</v>
      </c>
      <c r="X198" s="137" t="e">
        <f t="shared" si="80"/>
        <v>#DIV/0!</v>
      </c>
      <c r="Y198" s="137" t="e">
        <f t="shared" si="80"/>
        <v>#DIV/0!</v>
      </c>
      <c r="Z198" s="9" t="e">
        <f t="shared" si="80"/>
        <v>#DIV/0!</v>
      </c>
      <c r="AA198" s="137" t="e">
        <f t="shared" si="80"/>
        <v>#DIV/0!</v>
      </c>
      <c r="AB198" s="137" t="e">
        <f t="shared" si="80"/>
        <v>#DIV/0!</v>
      </c>
      <c r="AC198" s="137" t="e">
        <f t="shared" si="80"/>
        <v>#DIV/0!</v>
      </c>
      <c r="AD198" s="137" t="e">
        <f t="shared" si="80"/>
        <v>#DIV/0!</v>
      </c>
      <c r="AE198" s="9" t="e">
        <f t="shared" si="80"/>
        <v>#DIV/0!</v>
      </c>
      <c r="AF198" s="137" t="e">
        <f t="shared" si="80"/>
        <v>#DIV/0!</v>
      </c>
      <c r="AG198" s="137" t="e">
        <f t="shared" si="80"/>
        <v>#DIV/0!</v>
      </c>
      <c r="AH198" s="137" t="e">
        <f t="shared" si="80"/>
        <v>#DIV/0!</v>
      </c>
      <c r="AI198" s="137" t="e">
        <f t="shared" si="80"/>
        <v>#DIV/0!</v>
      </c>
      <c r="AJ198" s="9" t="e">
        <f t="shared" si="80"/>
        <v>#DIV/0!</v>
      </c>
      <c r="AK198" s="137" t="e">
        <f t="shared" si="80"/>
        <v>#DIV/0!</v>
      </c>
      <c r="AL198" s="137" t="e">
        <f t="shared" si="80"/>
        <v>#DIV/0!</v>
      </c>
      <c r="AM198" s="137" t="e">
        <f t="shared" si="80"/>
        <v>#DIV/0!</v>
      </c>
      <c r="AN198" s="137" t="e">
        <f t="shared" si="80"/>
        <v>#DIV/0!</v>
      </c>
      <c r="AO198" s="9" t="e">
        <f t="shared" si="80"/>
        <v>#DIV/0!</v>
      </c>
      <c r="AP198" s="137" t="e">
        <f t="shared" si="80"/>
        <v>#DIV/0!</v>
      </c>
      <c r="AQ198" s="137" t="e">
        <f t="shared" si="80"/>
        <v>#DIV/0!</v>
      </c>
      <c r="AR198" s="137" t="e">
        <f t="shared" si="80"/>
        <v>#DIV/0!</v>
      </c>
      <c r="AS198" s="137" t="e">
        <f t="shared" si="80"/>
        <v>#DIV/0!</v>
      </c>
      <c r="AT198" s="9" t="e">
        <f t="shared" si="80"/>
        <v>#DIV/0!</v>
      </c>
      <c r="AU198" s="137" t="e">
        <f t="shared" si="80"/>
        <v>#DIV/0!</v>
      </c>
      <c r="AV198" s="137" t="e">
        <f t="shared" si="80"/>
        <v>#DIV/0!</v>
      </c>
      <c r="AW198" s="137" t="e">
        <f t="shared" si="80"/>
        <v>#DIV/0!</v>
      </c>
      <c r="AX198" s="137" t="e">
        <f t="shared" si="80"/>
        <v>#DIV/0!</v>
      </c>
      <c r="AY198" s="106" t="e">
        <f t="shared" si="80"/>
        <v>#DIV/0!</v>
      </c>
    </row>
    <row r="199" spans="1:51">
      <c r="A199" s="128" t="s">
        <v>147</v>
      </c>
      <c r="B199" s="106" t="e">
        <f t="shared" si="80"/>
        <v>#DIV/0!</v>
      </c>
      <c r="C199" s="106" t="e">
        <f t="shared" si="80"/>
        <v>#DIV/0!</v>
      </c>
      <c r="D199" s="106" t="e">
        <f t="shared" si="80"/>
        <v>#DIV/0!</v>
      </c>
      <c r="E199" s="106" t="e">
        <f t="shared" si="80"/>
        <v>#DIV/0!</v>
      </c>
      <c r="F199" s="9" t="e">
        <f t="shared" si="80"/>
        <v>#DIV/0!</v>
      </c>
      <c r="G199" s="106" t="e">
        <f t="shared" si="80"/>
        <v>#DIV/0!</v>
      </c>
      <c r="H199" s="106" t="e">
        <f t="shared" si="80"/>
        <v>#DIV/0!</v>
      </c>
      <c r="I199" s="106" t="e">
        <f t="shared" si="80"/>
        <v>#DIV/0!</v>
      </c>
      <c r="J199" s="106" t="e">
        <f t="shared" si="80"/>
        <v>#DIV/0!</v>
      </c>
      <c r="K199" s="9" t="e">
        <f t="shared" si="80"/>
        <v>#DIV/0!</v>
      </c>
      <c r="L199" s="106" t="e">
        <f t="shared" si="80"/>
        <v>#DIV/0!</v>
      </c>
      <c r="M199" s="106" t="e">
        <f t="shared" si="80"/>
        <v>#DIV/0!</v>
      </c>
      <c r="N199" s="106" t="e">
        <f t="shared" si="80"/>
        <v>#DIV/0!</v>
      </c>
      <c r="O199" s="106" t="e">
        <f t="shared" si="80"/>
        <v>#DIV/0!</v>
      </c>
      <c r="P199" s="9" t="e">
        <f t="shared" si="80"/>
        <v>#DIV/0!</v>
      </c>
      <c r="Q199" s="137" t="e">
        <f t="shared" si="80"/>
        <v>#DIV/0!</v>
      </c>
      <c r="R199" s="137" t="e">
        <f t="shared" si="80"/>
        <v>#DIV/0!</v>
      </c>
      <c r="S199" s="137" t="e">
        <f t="shared" si="80"/>
        <v>#DIV/0!</v>
      </c>
      <c r="T199" s="137" t="e">
        <f t="shared" si="80"/>
        <v>#DIV/0!</v>
      </c>
      <c r="U199" s="9" t="e">
        <f t="shared" si="80"/>
        <v>#DIV/0!</v>
      </c>
      <c r="V199" s="137" t="e">
        <f t="shared" si="80"/>
        <v>#DIV/0!</v>
      </c>
      <c r="W199" s="137" t="e">
        <f t="shared" si="80"/>
        <v>#DIV/0!</v>
      </c>
      <c r="X199" s="137" t="e">
        <f t="shared" si="80"/>
        <v>#DIV/0!</v>
      </c>
      <c r="Y199" s="137" t="e">
        <f t="shared" si="80"/>
        <v>#DIV/0!</v>
      </c>
      <c r="Z199" s="9" t="e">
        <f t="shared" si="80"/>
        <v>#DIV/0!</v>
      </c>
      <c r="AA199" s="137" t="e">
        <f t="shared" si="80"/>
        <v>#DIV/0!</v>
      </c>
      <c r="AB199" s="137" t="e">
        <f t="shared" si="80"/>
        <v>#DIV/0!</v>
      </c>
      <c r="AC199" s="137" t="e">
        <f t="shared" si="80"/>
        <v>#DIV/0!</v>
      </c>
      <c r="AD199" s="137" t="e">
        <f t="shared" si="80"/>
        <v>#DIV/0!</v>
      </c>
      <c r="AE199" s="9" t="e">
        <f t="shared" si="80"/>
        <v>#DIV/0!</v>
      </c>
      <c r="AF199" s="137" t="e">
        <f t="shared" si="80"/>
        <v>#DIV/0!</v>
      </c>
      <c r="AG199" s="137" t="e">
        <f t="shared" si="80"/>
        <v>#DIV/0!</v>
      </c>
      <c r="AH199" s="137" t="e">
        <f t="shared" si="80"/>
        <v>#DIV/0!</v>
      </c>
      <c r="AI199" s="137" t="e">
        <f t="shared" si="80"/>
        <v>#DIV/0!</v>
      </c>
      <c r="AJ199" s="9" t="e">
        <f t="shared" si="80"/>
        <v>#DIV/0!</v>
      </c>
      <c r="AK199" s="137" t="e">
        <f t="shared" si="80"/>
        <v>#DIV/0!</v>
      </c>
      <c r="AL199" s="137" t="e">
        <f t="shared" si="80"/>
        <v>#DIV/0!</v>
      </c>
      <c r="AM199" s="137" t="e">
        <f t="shared" si="80"/>
        <v>#DIV/0!</v>
      </c>
      <c r="AN199" s="137" t="e">
        <f t="shared" si="80"/>
        <v>#DIV/0!</v>
      </c>
      <c r="AO199" s="9" t="e">
        <f t="shared" si="80"/>
        <v>#DIV/0!</v>
      </c>
      <c r="AP199" s="137" t="e">
        <f t="shared" si="80"/>
        <v>#DIV/0!</v>
      </c>
      <c r="AQ199" s="137" t="e">
        <f t="shared" si="80"/>
        <v>#DIV/0!</v>
      </c>
      <c r="AR199" s="137" t="e">
        <f t="shared" si="80"/>
        <v>#DIV/0!</v>
      </c>
      <c r="AS199" s="137" t="e">
        <f t="shared" si="80"/>
        <v>#DIV/0!</v>
      </c>
      <c r="AT199" s="9" t="e">
        <f t="shared" si="80"/>
        <v>#DIV/0!</v>
      </c>
      <c r="AU199" s="137" t="e">
        <f t="shared" si="80"/>
        <v>#DIV/0!</v>
      </c>
      <c r="AV199" s="137" t="e">
        <f t="shared" si="80"/>
        <v>#DIV/0!</v>
      </c>
      <c r="AW199" s="137" t="e">
        <f t="shared" si="80"/>
        <v>#DIV/0!</v>
      </c>
      <c r="AX199" s="137" t="e">
        <f t="shared" si="80"/>
        <v>#DIV/0!</v>
      </c>
      <c r="AY199" s="106" t="e">
        <f t="shared" si="80"/>
        <v>#DIV/0!</v>
      </c>
    </row>
    <row r="200" spans="1:51">
      <c r="A200" s="128" t="s">
        <v>149</v>
      </c>
      <c r="B200" s="106" t="e">
        <f t="shared" si="80"/>
        <v>#DIV/0!</v>
      </c>
      <c r="C200" s="106" t="e">
        <f t="shared" si="80"/>
        <v>#DIV/0!</v>
      </c>
      <c r="D200" s="106" t="e">
        <f t="shared" si="80"/>
        <v>#DIV/0!</v>
      </c>
      <c r="E200" s="106" t="e">
        <f t="shared" si="80"/>
        <v>#DIV/0!</v>
      </c>
      <c r="F200" s="9" t="e">
        <f t="shared" si="80"/>
        <v>#DIV/0!</v>
      </c>
      <c r="G200" s="106" t="e">
        <f t="shared" si="80"/>
        <v>#DIV/0!</v>
      </c>
      <c r="H200" s="106" t="e">
        <f t="shared" si="80"/>
        <v>#DIV/0!</v>
      </c>
      <c r="I200" s="106" t="e">
        <f t="shared" si="80"/>
        <v>#DIV/0!</v>
      </c>
      <c r="J200" s="106" t="e">
        <f t="shared" si="80"/>
        <v>#DIV/0!</v>
      </c>
      <c r="K200" s="9" t="e">
        <f t="shared" si="80"/>
        <v>#DIV/0!</v>
      </c>
      <c r="L200" s="106" t="e">
        <f t="shared" si="80"/>
        <v>#DIV/0!</v>
      </c>
      <c r="M200" s="106" t="e">
        <f t="shared" si="80"/>
        <v>#DIV/0!</v>
      </c>
      <c r="N200" s="106" t="e">
        <f t="shared" si="80"/>
        <v>#DIV/0!</v>
      </c>
      <c r="O200" s="106" t="e">
        <f t="shared" si="80"/>
        <v>#DIV/0!</v>
      </c>
      <c r="P200" s="9" t="e">
        <f t="shared" si="80"/>
        <v>#DIV/0!</v>
      </c>
      <c r="Q200" s="137" t="e">
        <f t="shared" si="80"/>
        <v>#DIV/0!</v>
      </c>
      <c r="R200" s="137" t="e">
        <f t="shared" si="80"/>
        <v>#DIV/0!</v>
      </c>
      <c r="S200" s="137" t="e">
        <f t="shared" si="80"/>
        <v>#DIV/0!</v>
      </c>
      <c r="T200" s="137" t="e">
        <f t="shared" si="80"/>
        <v>#DIV/0!</v>
      </c>
      <c r="U200" s="9" t="e">
        <f t="shared" si="80"/>
        <v>#DIV/0!</v>
      </c>
      <c r="V200" s="137" t="e">
        <f t="shared" si="80"/>
        <v>#DIV/0!</v>
      </c>
      <c r="W200" s="137" t="e">
        <f t="shared" si="80"/>
        <v>#DIV/0!</v>
      </c>
      <c r="X200" s="137" t="e">
        <f t="shared" si="80"/>
        <v>#DIV/0!</v>
      </c>
      <c r="Y200" s="137" t="e">
        <f t="shared" si="80"/>
        <v>#DIV/0!</v>
      </c>
      <c r="Z200" s="9" t="e">
        <f t="shared" si="80"/>
        <v>#DIV/0!</v>
      </c>
      <c r="AA200" s="137" t="e">
        <f t="shared" si="80"/>
        <v>#DIV/0!</v>
      </c>
      <c r="AB200" s="137" t="e">
        <f t="shared" si="80"/>
        <v>#DIV/0!</v>
      </c>
      <c r="AC200" s="137" t="e">
        <f t="shared" si="80"/>
        <v>#DIV/0!</v>
      </c>
      <c r="AD200" s="137" t="e">
        <f t="shared" si="80"/>
        <v>#DIV/0!</v>
      </c>
      <c r="AE200" s="9" t="e">
        <f t="shared" si="80"/>
        <v>#DIV/0!</v>
      </c>
      <c r="AF200" s="137" t="e">
        <f t="shared" si="80"/>
        <v>#DIV/0!</v>
      </c>
      <c r="AG200" s="137" t="e">
        <f t="shared" si="80"/>
        <v>#DIV/0!</v>
      </c>
      <c r="AH200" s="137" t="e">
        <f t="shared" si="80"/>
        <v>#DIV/0!</v>
      </c>
      <c r="AI200" s="137" t="e">
        <f t="shared" si="80"/>
        <v>#DIV/0!</v>
      </c>
      <c r="AJ200" s="9" t="e">
        <f t="shared" si="80"/>
        <v>#DIV/0!</v>
      </c>
      <c r="AK200" s="137" t="e">
        <f t="shared" si="80"/>
        <v>#DIV/0!</v>
      </c>
      <c r="AL200" s="137" t="e">
        <f t="shared" si="80"/>
        <v>#DIV/0!</v>
      </c>
      <c r="AM200" s="137" t="e">
        <f t="shared" si="80"/>
        <v>#DIV/0!</v>
      </c>
      <c r="AN200" s="137" t="e">
        <f t="shared" si="80"/>
        <v>#DIV/0!</v>
      </c>
      <c r="AO200" s="9" t="e">
        <f t="shared" si="80"/>
        <v>#DIV/0!</v>
      </c>
      <c r="AP200" s="137" t="e">
        <f t="shared" si="80"/>
        <v>#DIV/0!</v>
      </c>
      <c r="AQ200" s="137" t="e">
        <f t="shared" si="80"/>
        <v>#DIV/0!</v>
      </c>
      <c r="AR200" s="137" t="e">
        <f t="shared" si="80"/>
        <v>#DIV/0!</v>
      </c>
      <c r="AS200" s="137" t="e">
        <f t="shared" si="80"/>
        <v>#DIV/0!</v>
      </c>
      <c r="AT200" s="9" t="e">
        <f t="shared" si="80"/>
        <v>#DIV/0!</v>
      </c>
      <c r="AU200" s="137" t="e">
        <f t="shared" si="80"/>
        <v>#DIV/0!</v>
      </c>
      <c r="AV200" s="137" t="e">
        <f t="shared" si="80"/>
        <v>#DIV/0!</v>
      </c>
      <c r="AW200" s="137" t="e">
        <f t="shared" si="80"/>
        <v>#DIV/0!</v>
      </c>
      <c r="AX200" s="137" t="e">
        <f t="shared" si="80"/>
        <v>#DIV/0!</v>
      </c>
      <c r="AY200" s="106" t="e">
        <f t="shared" si="80"/>
        <v>#DIV/0!</v>
      </c>
    </row>
    <row r="201" spans="1:51">
      <c r="A201" s="128" t="s">
        <v>151</v>
      </c>
      <c r="B201" s="106" t="e">
        <f t="shared" ref="B201:AY204" si="81">B63/B$137</f>
        <v>#DIV/0!</v>
      </c>
      <c r="C201" s="106" t="e">
        <f t="shared" si="81"/>
        <v>#DIV/0!</v>
      </c>
      <c r="D201" s="106" t="e">
        <f t="shared" si="81"/>
        <v>#DIV/0!</v>
      </c>
      <c r="E201" s="106" t="e">
        <f t="shared" si="81"/>
        <v>#DIV/0!</v>
      </c>
      <c r="F201" s="9" t="e">
        <f t="shared" si="81"/>
        <v>#DIV/0!</v>
      </c>
      <c r="G201" s="106" t="e">
        <f t="shared" si="81"/>
        <v>#DIV/0!</v>
      </c>
      <c r="H201" s="106" t="e">
        <f t="shared" si="81"/>
        <v>#DIV/0!</v>
      </c>
      <c r="I201" s="106" t="e">
        <f t="shared" si="81"/>
        <v>#DIV/0!</v>
      </c>
      <c r="J201" s="106" t="e">
        <f t="shared" si="81"/>
        <v>#DIV/0!</v>
      </c>
      <c r="K201" s="9" t="e">
        <f t="shared" si="81"/>
        <v>#DIV/0!</v>
      </c>
      <c r="L201" s="106" t="e">
        <f t="shared" si="81"/>
        <v>#DIV/0!</v>
      </c>
      <c r="M201" s="106" t="e">
        <f t="shared" si="81"/>
        <v>#DIV/0!</v>
      </c>
      <c r="N201" s="106" t="e">
        <f t="shared" si="81"/>
        <v>#DIV/0!</v>
      </c>
      <c r="O201" s="106" t="e">
        <f t="shared" si="81"/>
        <v>#DIV/0!</v>
      </c>
      <c r="P201" s="9" t="e">
        <f t="shared" si="81"/>
        <v>#DIV/0!</v>
      </c>
      <c r="Q201" s="137" t="e">
        <f t="shared" si="81"/>
        <v>#DIV/0!</v>
      </c>
      <c r="R201" s="137" t="e">
        <f t="shared" si="81"/>
        <v>#DIV/0!</v>
      </c>
      <c r="S201" s="137" t="e">
        <f t="shared" si="81"/>
        <v>#DIV/0!</v>
      </c>
      <c r="T201" s="137" t="e">
        <f t="shared" si="81"/>
        <v>#DIV/0!</v>
      </c>
      <c r="U201" s="9" t="e">
        <f t="shared" si="81"/>
        <v>#DIV/0!</v>
      </c>
      <c r="V201" s="137" t="e">
        <f t="shared" si="81"/>
        <v>#DIV/0!</v>
      </c>
      <c r="W201" s="137" t="e">
        <f t="shared" si="81"/>
        <v>#DIV/0!</v>
      </c>
      <c r="X201" s="137" t="e">
        <f t="shared" si="81"/>
        <v>#DIV/0!</v>
      </c>
      <c r="Y201" s="137" t="e">
        <f t="shared" si="81"/>
        <v>#DIV/0!</v>
      </c>
      <c r="Z201" s="9" t="e">
        <f t="shared" si="81"/>
        <v>#DIV/0!</v>
      </c>
      <c r="AA201" s="137" t="e">
        <f t="shared" si="81"/>
        <v>#DIV/0!</v>
      </c>
      <c r="AB201" s="137" t="e">
        <f t="shared" si="81"/>
        <v>#DIV/0!</v>
      </c>
      <c r="AC201" s="137" t="e">
        <f t="shared" si="81"/>
        <v>#DIV/0!</v>
      </c>
      <c r="AD201" s="137" t="e">
        <f t="shared" si="81"/>
        <v>#DIV/0!</v>
      </c>
      <c r="AE201" s="9" t="e">
        <f t="shared" si="81"/>
        <v>#DIV/0!</v>
      </c>
      <c r="AF201" s="137" t="e">
        <f t="shared" si="81"/>
        <v>#DIV/0!</v>
      </c>
      <c r="AG201" s="137" t="e">
        <f t="shared" si="81"/>
        <v>#DIV/0!</v>
      </c>
      <c r="AH201" s="137" t="e">
        <f t="shared" si="81"/>
        <v>#DIV/0!</v>
      </c>
      <c r="AI201" s="137" t="e">
        <f t="shared" si="81"/>
        <v>#DIV/0!</v>
      </c>
      <c r="AJ201" s="9" t="e">
        <f t="shared" si="81"/>
        <v>#DIV/0!</v>
      </c>
      <c r="AK201" s="137" t="e">
        <f t="shared" si="81"/>
        <v>#DIV/0!</v>
      </c>
      <c r="AL201" s="137" t="e">
        <f t="shared" si="81"/>
        <v>#DIV/0!</v>
      </c>
      <c r="AM201" s="137" t="e">
        <f t="shared" si="81"/>
        <v>#DIV/0!</v>
      </c>
      <c r="AN201" s="137" t="e">
        <f t="shared" si="81"/>
        <v>#DIV/0!</v>
      </c>
      <c r="AO201" s="9" t="e">
        <f t="shared" si="81"/>
        <v>#DIV/0!</v>
      </c>
      <c r="AP201" s="137" t="e">
        <f t="shared" si="81"/>
        <v>#DIV/0!</v>
      </c>
      <c r="AQ201" s="137" t="e">
        <f t="shared" si="81"/>
        <v>#DIV/0!</v>
      </c>
      <c r="AR201" s="137" t="e">
        <f t="shared" si="81"/>
        <v>#DIV/0!</v>
      </c>
      <c r="AS201" s="137" t="e">
        <f t="shared" si="81"/>
        <v>#DIV/0!</v>
      </c>
      <c r="AT201" s="9" t="e">
        <f t="shared" si="81"/>
        <v>#DIV/0!</v>
      </c>
      <c r="AU201" s="137" t="e">
        <f t="shared" si="81"/>
        <v>#DIV/0!</v>
      </c>
      <c r="AV201" s="137" t="e">
        <f t="shared" si="81"/>
        <v>#DIV/0!</v>
      </c>
      <c r="AW201" s="137" t="e">
        <f t="shared" si="81"/>
        <v>#DIV/0!</v>
      </c>
      <c r="AX201" s="137" t="e">
        <f t="shared" si="81"/>
        <v>#DIV/0!</v>
      </c>
      <c r="AY201" s="106" t="e">
        <f t="shared" si="81"/>
        <v>#DIV/0!</v>
      </c>
    </row>
    <row r="202" spans="1:51">
      <c r="A202" s="128" t="s">
        <v>153</v>
      </c>
      <c r="B202" s="106" t="e">
        <f t="shared" si="81"/>
        <v>#DIV/0!</v>
      </c>
      <c r="C202" s="106" t="e">
        <f t="shared" si="81"/>
        <v>#DIV/0!</v>
      </c>
      <c r="D202" s="106" t="e">
        <f t="shared" si="81"/>
        <v>#DIV/0!</v>
      </c>
      <c r="E202" s="106" t="e">
        <f t="shared" si="81"/>
        <v>#DIV/0!</v>
      </c>
      <c r="F202" s="9" t="e">
        <f t="shared" si="81"/>
        <v>#DIV/0!</v>
      </c>
      <c r="G202" s="106" t="e">
        <f t="shared" si="81"/>
        <v>#DIV/0!</v>
      </c>
      <c r="H202" s="106" t="e">
        <f t="shared" si="81"/>
        <v>#DIV/0!</v>
      </c>
      <c r="I202" s="106" t="e">
        <f t="shared" si="81"/>
        <v>#DIV/0!</v>
      </c>
      <c r="J202" s="106" t="e">
        <f t="shared" si="81"/>
        <v>#DIV/0!</v>
      </c>
      <c r="K202" s="9" t="e">
        <f t="shared" si="81"/>
        <v>#DIV/0!</v>
      </c>
      <c r="L202" s="106" t="e">
        <f t="shared" si="81"/>
        <v>#DIV/0!</v>
      </c>
      <c r="M202" s="106" t="e">
        <f t="shared" si="81"/>
        <v>#DIV/0!</v>
      </c>
      <c r="N202" s="106" t="e">
        <f t="shared" si="81"/>
        <v>#DIV/0!</v>
      </c>
      <c r="O202" s="106" t="e">
        <f t="shared" si="81"/>
        <v>#DIV/0!</v>
      </c>
      <c r="P202" s="9" t="e">
        <f t="shared" si="81"/>
        <v>#DIV/0!</v>
      </c>
      <c r="Q202" s="137" t="e">
        <f t="shared" si="81"/>
        <v>#DIV/0!</v>
      </c>
      <c r="R202" s="137" t="e">
        <f t="shared" si="81"/>
        <v>#DIV/0!</v>
      </c>
      <c r="S202" s="137" t="e">
        <f t="shared" si="81"/>
        <v>#DIV/0!</v>
      </c>
      <c r="T202" s="137" t="e">
        <f t="shared" si="81"/>
        <v>#DIV/0!</v>
      </c>
      <c r="U202" s="9" t="e">
        <f t="shared" si="81"/>
        <v>#DIV/0!</v>
      </c>
      <c r="V202" s="137" t="e">
        <f t="shared" si="81"/>
        <v>#DIV/0!</v>
      </c>
      <c r="W202" s="137" t="e">
        <f t="shared" si="81"/>
        <v>#DIV/0!</v>
      </c>
      <c r="X202" s="137" t="e">
        <f t="shared" si="81"/>
        <v>#DIV/0!</v>
      </c>
      <c r="Y202" s="137" t="e">
        <f t="shared" si="81"/>
        <v>#DIV/0!</v>
      </c>
      <c r="Z202" s="9" t="e">
        <f t="shared" si="81"/>
        <v>#DIV/0!</v>
      </c>
      <c r="AA202" s="137" t="e">
        <f t="shared" si="81"/>
        <v>#DIV/0!</v>
      </c>
      <c r="AB202" s="137" t="e">
        <f t="shared" si="81"/>
        <v>#DIV/0!</v>
      </c>
      <c r="AC202" s="137" t="e">
        <f t="shared" si="81"/>
        <v>#DIV/0!</v>
      </c>
      <c r="AD202" s="137" t="e">
        <f t="shared" si="81"/>
        <v>#DIV/0!</v>
      </c>
      <c r="AE202" s="9" t="e">
        <f t="shared" si="81"/>
        <v>#DIV/0!</v>
      </c>
      <c r="AF202" s="137" t="e">
        <f t="shared" si="81"/>
        <v>#DIV/0!</v>
      </c>
      <c r="AG202" s="137" t="e">
        <f t="shared" si="81"/>
        <v>#DIV/0!</v>
      </c>
      <c r="AH202" s="137" t="e">
        <f t="shared" si="81"/>
        <v>#DIV/0!</v>
      </c>
      <c r="AI202" s="137" t="e">
        <f t="shared" si="81"/>
        <v>#DIV/0!</v>
      </c>
      <c r="AJ202" s="9" t="e">
        <f t="shared" si="81"/>
        <v>#DIV/0!</v>
      </c>
      <c r="AK202" s="137" t="e">
        <f t="shared" si="81"/>
        <v>#DIV/0!</v>
      </c>
      <c r="AL202" s="137" t="e">
        <f t="shared" si="81"/>
        <v>#DIV/0!</v>
      </c>
      <c r="AM202" s="137" t="e">
        <f t="shared" si="81"/>
        <v>#DIV/0!</v>
      </c>
      <c r="AN202" s="137" t="e">
        <f t="shared" si="81"/>
        <v>#DIV/0!</v>
      </c>
      <c r="AO202" s="9" t="e">
        <f t="shared" si="81"/>
        <v>#DIV/0!</v>
      </c>
      <c r="AP202" s="137" t="e">
        <f t="shared" si="81"/>
        <v>#DIV/0!</v>
      </c>
      <c r="AQ202" s="137" t="e">
        <f t="shared" si="81"/>
        <v>#DIV/0!</v>
      </c>
      <c r="AR202" s="137" t="e">
        <f t="shared" si="81"/>
        <v>#DIV/0!</v>
      </c>
      <c r="AS202" s="137" t="e">
        <f t="shared" si="81"/>
        <v>#DIV/0!</v>
      </c>
      <c r="AT202" s="9" t="e">
        <f t="shared" si="81"/>
        <v>#DIV/0!</v>
      </c>
      <c r="AU202" s="137" t="e">
        <f t="shared" si="81"/>
        <v>#DIV/0!</v>
      </c>
      <c r="AV202" s="137" t="e">
        <f t="shared" si="81"/>
        <v>#DIV/0!</v>
      </c>
      <c r="AW202" s="137" t="e">
        <f t="shared" si="81"/>
        <v>#DIV/0!</v>
      </c>
      <c r="AX202" s="137" t="e">
        <f t="shared" si="81"/>
        <v>#DIV/0!</v>
      </c>
      <c r="AY202" s="106" t="e">
        <f t="shared" si="81"/>
        <v>#DIV/0!</v>
      </c>
    </row>
    <row r="203" spans="1:51">
      <c r="A203" s="128" t="s">
        <v>155</v>
      </c>
      <c r="B203" s="106" t="e">
        <f t="shared" si="81"/>
        <v>#DIV/0!</v>
      </c>
      <c r="C203" s="106" t="e">
        <f t="shared" si="81"/>
        <v>#DIV/0!</v>
      </c>
      <c r="D203" s="106" t="e">
        <f t="shared" si="81"/>
        <v>#DIV/0!</v>
      </c>
      <c r="E203" s="106" t="e">
        <f t="shared" si="81"/>
        <v>#DIV/0!</v>
      </c>
      <c r="F203" s="9" t="e">
        <f t="shared" si="81"/>
        <v>#DIV/0!</v>
      </c>
      <c r="G203" s="106" t="e">
        <f t="shared" si="81"/>
        <v>#DIV/0!</v>
      </c>
      <c r="H203" s="106" t="e">
        <f t="shared" si="81"/>
        <v>#DIV/0!</v>
      </c>
      <c r="I203" s="106" t="e">
        <f t="shared" si="81"/>
        <v>#DIV/0!</v>
      </c>
      <c r="J203" s="106" t="e">
        <f t="shared" si="81"/>
        <v>#DIV/0!</v>
      </c>
      <c r="K203" s="9" t="e">
        <f t="shared" si="81"/>
        <v>#DIV/0!</v>
      </c>
      <c r="L203" s="106" t="e">
        <f t="shared" si="81"/>
        <v>#DIV/0!</v>
      </c>
      <c r="M203" s="106" t="e">
        <f t="shared" si="81"/>
        <v>#DIV/0!</v>
      </c>
      <c r="N203" s="106" t="e">
        <f t="shared" si="81"/>
        <v>#DIV/0!</v>
      </c>
      <c r="O203" s="106" t="e">
        <f t="shared" si="81"/>
        <v>#DIV/0!</v>
      </c>
      <c r="P203" s="9" t="e">
        <f t="shared" si="81"/>
        <v>#DIV/0!</v>
      </c>
      <c r="Q203" s="137" t="e">
        <f t="shared" si="81"/>
        <v>#DIV/0!</v>
      </c>
      <c r="R203" s="137" t="e">
        <f t="shared" si="81"/>
        <v>#DIV/0!</v>
      </c>
      <c r="S203" s="137" t="e">
        <f t="shared" si="81"/>
        <v>#DIV/0!</v>
      </c>
      <c r="T203" s="137" t="e">
        <f t="shared" si="81"/>
        <v>#DIV/0!</v>
      </c>
      <c r="U203" s="9" t="e">
        <f t="shared" si="81"/>
        <v>#DIV/0!</v>
      </c>
      <c r="V203" s="137" t="e">
        <f t="shared" si="81"/>
        <v>#DIV/0!</v>
      </c>
      <c r="W203" s="137" t="e">
        <f t="shared" si="81"/>
        <v>#DIV/0!</v>
      </c>
      <c r="X203" s="137" t="e">
        <f t="shared" si="81"/>
        <v>#DIV/0!</v>
      </c>
      <c r="Y203" s="137" t="e">
        <f t="shared" si="81"/>
        <v>#DIV/0!</v>
      </c>
      <c r="Z203" s="9" t="e">
        <f t="shared" si="81"/>
        <v>#DIV/0!</v>
      </c>
      <c r="AA203" s="137" t="e">
        <f t="shared" si="81"/>
        <v>#DIV/0!</v>
      </c>
      <c r="AB203" s="137" t="e">
        <f t="shared" si="81"/>
        <v>#DIV/0!</v>
      </c>
      <c r="AC203" s="137" t="e">
        <f t="shared" si="81"/>
        <v>#DIV/0!</v>
      </c>
      <c r="AD203" s="137" t="e">
        <f t="shared" si="81"/>
        <v>#DIV/0!</v>
      </c>
      <c r="AE203" s="9" t="e">
        <f t="shared" si="81"/>
        <v>#DIV/0!</v>
      </c>
      <c r="AF203" s="137" t="e">
        <f t="shared" si="81"/>
        <v>#DIV/0!</v>
      </c>
      <c r="AG203" s="137" t="e">
        <f t="shared" si="81"/>
        <v>#DIV/0!</v>
      </c>
      <c r="AH203" s="137" t="e">
        <f t="shared" si="81"/>
        <v>#DIV/0!</v>
      </c>
      <c r="AI203" s="137" t="e">
        <f t="shared" si="81"/>
        <v>#DIV/0!</v>
      </c>
      <c r="AJ203" s="9" t="e">
        <f t="shared" si="81"/>
        <v>#DIV/0!</v>
      </c>
      <c r="AK203" s="137" t="e">
        <f t="shared" si="81"/>
        <v>#DIV/0!</v>
      </c>
      <c r="AL203" s="137" t="e">
        <f t="shared" si="81"/>
        <v>#DIV/0!</v>
      </c>
      <c r="AM203" s="137" t="e">
        <f t="shared" si="81"/>
        <v>#DIV/0!</v>
      </c>
      <c r="AN203" s="137" t="e">
        <f t="shared" si="81"/>
        <v>#DIV/0!</v>
      </c>
      <c r="AO203" s="9" t="e">
        <f t="shared" si="81"/>
        <v>#DIV/0!</v>
      </c>
      <c r="AP203" s="137" t="e">
        <f t="shared" si="81"/>
        <v>#DIV/0!</v>
      </c>
      <c r="AQ203" s="137" t="e">
        <f t="shared" si="81"/>
        <v>#DIV/0!</v>
      </c>
      <c r="AR203" s="137" t="e">
        <f t="shared" si="81"/>
        <v>#DIV/0!</v>
      </c>
      <c r="AS203" s="137" t="e">
        <f t="shared" si="81"/>
        <v>#DIV/0!</v>
      </c>
      <c r="AT203" s="9" t="e">
        <f t="shared" si="81"/>
        <v>#DIV/0!</v>
      </c>
      <c r="AU203" s="137" t="e">
        <f t="shared" si="81"/>
        <v>#DIV/0!</v>
      </c>
      <c r="AV203" s="137" t="e">
        <f t="shared" si="81"/>
        <v>#DIV/0!</v>
      </c>
      <c r="AW203" s="137" t="e">
        <f t="shared" si="81"/>
        <v>#DIV/0!</v>
      </c>
      <c r="AX203" s="137" t="e">
        <f t="shared" si="81"/>
        <v>#DIV/0!</v>
      </c>
      <c r="AY203" s="106" t="e">
        <f t="shared" si="81"/>
        <v>#DIV/0!</v>
      </c>
    </row>
    <row r="204" spans="1:51">
      <c r="A204" s="128" t="s">
        <v>157</v>
      </c>
      <c r="B204" s="106" t="e">
        <f t="shared" si="81"/>
        <v>#DIV/0!</v>
      </c>
      <c r="C204" s="106" t="e">
        <f t="shared" si="81"/>
        <v>#DIV/0!</v>
      </c>
      <c r="D204" s="106" t="e">
        <f t="shared" si="81"/>
        <v>#DIV/0!</v>
      </c>
      <c r="E204" s="106" t="e">
        <f t="shared" si="81"/>
        <v>#DIV/0!</v>
      </c>
      <c r="F204" s="9" t="e">
        <f t="shared" si="81"/>
        <v>#DIV/0!</v>
      </c>
      <c r="G204" s="106" t="e">
        <f t="shared" si="81"/>
        <v>#DIV/0!</v>
      </c>
      <c r="H204" s="106" t="e">
        <f t="shared" si="81"/>
        <v>#DIV/0!</v>
      </c>
      <c r="I204" s="106" t="e">
        <f t="shared" si="81"/>
        <v>#DIV/0!</v>
      </c>
      <c r="J204" s="106" t="e">
        <f t="shared" si="81"/>
        <v>#DIV/0!</v>
      </c>
      <c r="K204" s="9" t="e">
        <f t="shared" si="81"/>
        <v>#DIV/0!</v>
      </c>
      <c r="L204" s="106" t="e">
        <f t="shared" si="81"/>
        <v>#DIV/0!</v>
      </c>
      <c r="M204" s="106" t="e">
        <f t="shared" si="81"/>
        <v>#DIV/0!</v>
      </c>
      <c r="N204" s="106" t="e">
        <f t="shared" si="81"/>
        <v>#DIV/0!</v>
      </c>
      <c r="O204" s="106" t="e">
        <f t="shared" si="81"/>
        <v>#DIV/0!</v>
      </c>
      <c r="P204" s="9" t="e">
        <f t="shared" si="81"/>
        <v>#DIV/0!</v>
      </c>
      <c r="Q204" s="137" t="e">
        <f t="shared" si="81"/>
        <v>#DIV/0!</v>
      </c>
      <c r="R204" s="137" t="e">
        <f t="shared" si="81"/>
        <v>#DIV/0!</v>
      </c>
      <c r="S204" s="137" t="e">
        <f t="shared" si="81"/>
        <v>#DIV/0!</v>
      </c>
      <c r="T204" s="137" t="e">
        <f t="shared" si="81"/>
        <v>#DIV/0!</v>
      </c>
      <c r="U204" s="9" t="e">
        <f t="shared" si="81"/>
        <v>#DIV/0!</v>
      </c>
      <c r="V204" s="137" t="e">
        <f t="shared" si="81"/>
        <v>#DIV/0!</v>
      </c>
      <c r="W204" s="137" t="e">
        <f t="shared" si="81"/>
        <v>#DIV/0!</v>
      </c>
      <c r="X204" s="137" t="e">
        <f t="shared" si="81"/>
        <v>#DIV/0!</v>
      </c>
      <c r="Y204" s="137" t="e">
        <f t="shared" si="81"/>
        <v>#DIV/0!</v>
      </c>
      <c r="Z204" s="9" t="e">
        <f t="shared" si="81"/>
        <v>#DIV/0!</v>
      </c>
      <c r="AA204" s="137" t="e">
        <f t="shared" si="81"/>
        <v>#DIV/0!</v>
      </c>
      <c r="AB204" s="137" t="e">
        <f t="shared" si="81"/>
        <v>#DIV/0!</v>
      </c>
      <c r="AC204" s="137" t="e">
        <f t="shared" si="81"/>
        <v>#DIV/0!</v>
      </c>
      <c r="AD204" s="137" t="e">
        <f t="shared" si="81"/>
        <v>#DIV/0!</v>
      </c>
      <c r="AE204" s="9" t="e">
        <f t="shared" si="81"/>
        <v>#DIV/0!</v>
      </c>
      <c r="AF204" s="137" t="e">
        <f t="shared" si="81"/>
        <v>#DIV/0!</v>
      </c>
      <c r="AG204" s="137" t="e">
        <f t="shared" si="81"/>
        <v>#DIV/0!</v>
      </c>
      <c r="AH204" s="137" t="e">
        <f t="shared" si="81"/>
        <v>#DIV/0!</v>
      </c>
      <c r="AI204" s="137" t="e">
        <f t="shared" si="81"/>
        <v>#DIV/0!</v>
      </c>
      <c r="AJ204" s="9" t="e">
        <f t="shared" si="81"/>
        <v>#DIV/0!</v>
      </c>
      <c r="AK204" s="137" t="e">
        <f t="shared" si="81"/>
        <v>#DIV/0!</v>
      </c>
      <c r="AL204" s="137" t="e">
        <f t="shared" si="81"/>
        <v>#DIV/0!</v>
      </c>
      <c r="AM204" s="137" t="e">
        <f t="shared" si="81"/>
        <v>#DIV/0!</v>
      </c>
      <c r="AN204" s="137" t="e">
        <f t="shared" si="81"/>
        <v>#DIV/0!</v>
      </c>
      <c r="AO204" s="9" t="e">
        <f t="shared" si="81"/>
        <v>#DIV/0!</v>
      </c>
      <c r="AP204" s="137" t="e">
        <f t="shared" si="81"/>
        <v>#DIV/0!</v>
      </c>
      <c r="AQ204" s="137" t="e">
        <f t="shared" si="81"/>
        <v>#DIV/0!</v>
      </c>
      <c r="AR204" s="137" t="e">
        <f t="shared" si="81"/>
        <v>#DIV/0!</v>
      </c>
      <c r="AS204" s="137" t="e">
        <f t="shared" si="81"/>
        <v>#DIV/0!</v>
      </c>
      <c r="AT204" s="9" t="e">
        <f t="shared" si="81"/>
        <v>#DIV/0!</v>
      </c>
      <c r="AU204" s="137" t="e">
        <f t="shared" si="81"/>
        <v>#DIV/0!</v>
      </c>
      <c r="AV204" s="137" t="e">
        <f t="shared" si="81"/>
        <v>#DIV/0!</v>
      </c>
      <c r="AW204" s="137" t="e">
        <f t="shared" si="81"/>
        <v>#DIV/0!</v>
      </c>
      <c r="AX204" s="137" t="e">
        <f t="shared" si="81"/>
        <v>#DIV/0!</v>
      </c>
      <c r="AY204" s="106" t="e">
        <f t="shared" si="81"/>
        <v>#DIV/0!</v>
      </c>
    </row>
    <row r="205" spans="1:51">
      <c r="A205" s="128" t="s">
        <v>159</v>
      </c>
      <c r="B205" s="106" t="e">
        <f t="shared" ref="B205:AY208" si="82">B67/B$137</f>
        <v>#DIV/0!</v>
      </c>
      <c r="C205" s="106" t="e">
        <f t="shared" si="82"/>
        <v>#DIV/0!</v>
      </c>
      <c r="D205" s="106" t="e">
        <f t="shared" si="82"/>
        <v>#DIV/0!</v>
      </c>
      <c r="E205" s="106" t="e">
        <f t="shared" si="82"/>
        <v>#DIV/0!</v>
      </c>
      <c r="F205" s="9" t="e">
        <f t="shared" si="82"/>
        <v>#DIV/0!</v>
      </c>
      <c r="G205" s="106" t="e">
        <f t="shared" si="82"/>
        <v>#DIV/0!</v>
      </c>
      <c r="H205" s="106" t="e">
        <f t="shared" si="82"/>
        <v>#DIV/0!</v>
      </c>
      <c r="I205" s="106" t="e">
        <f t="shared" si="82"/>
        <v>#DIV/0!</v>
      </c>
      <c r="J205" s="106" t="e">
        <f t="shared" si="82"/>
        <v>#DIV/0!</v>
      </c>
      <c r="K205" s="9" t="e">
        <f t="shared" si="82"/>
        <v>#DIV/0!</v>
      </c>
      <c r="L205" s="106" t="e">
        <f t="shared" si="82"/>
        <v>#DIV/0!</v>
      </c>
      <c r="M205" s="106" t="e">
        <f t="shared" si="82"/>
        <v>#DIV/0!</v>
      </c>
      <c r="N205" s="106" t="e">
        <f t="shared" si="82"/>
        <v>#DIV/0!</v>
      </c>
      <c r="O205" s="106" t="e">
        <f t="shared" si="82"/>
        <v>#DIV/0!</v>
      </c>
      <c r="P205" s="9" t="e">
        <f t="shared" si="82"/>
        <v>#DIV/0!</v>
      </c>
      <c r="Q205" s="137" t="e">
        <f t="shared" si="82"/>
        <v>#DIV/0!</v>
      </c>
      <c r="R205" s="137" t="e">
        <f t="shared" si="82"/>
        <v>#DIV/0!</v>
      </c>
      <c r="S205" s="137" t="e">
        <f t="shared" si="82"/>
        <v>#DIV/0!</v>
      </c>
      <c r="T205" s="137" t="e">
        <f t="shared" si="82"/>
        <v>#DIV/0!</v>
      </c>
      <c r="U205" s="9" t="e">
        <f t="shared" si="82"/>
        <v>#DIV/0!</v>
      </c>
      <c r="V205" s="137" t="e">
        <f t="shared" si="82"/>
        <v>#DIV/0!</v>
      </c>
      <c r="W205" s="137" t="e">
        <f t="shared" si="82"/>
        <v>#DIV/0!</v>
      </c>
      <c r="X205" s="137" t="e">
        <f t="shared" si="82"/>
        <v>#DIV/0!</v>
      </c>
      <c r="Y205" s="137" t="e">
        <f t="shared" si="82"/>
        <v>#DIV/0!</v>
      </c>
      <c r="Z205" s="9" t="e">
        <f t="shared" si="82"/>
        <v>#DIV/0!</v>
      </c>
      <c r="AA205" s="137" t="e">
        <f t="shared" si="82"/>
        <v>#DIV/0!</v>
      </c>
      <c r="AB205" s="137" t="e">
        <f t="shared" si="82"/>
        <v>#DIV/0!</v>
      </c>
      <c r="AC205" s="137" t="e">
        <f t="shared" si="82"/>
        <v>#DIV/0!</v>
      </c>
      <c r="AD205" s="137" t="e">
        <f t="shared" si="82"/>
        <v>#DIV/0!</v>
      </c>
      <c r="AE205" s="9" t="e">
        <f t="shared" si="82"/>
        <v>#DIV/0!</v>
      </c>
      <c r="AF205" s="137" t="e">
        <f t="shared" si="82"/>
        <v>#DIV/0!</v>
      </c>
      <c r="AG205" s="137" t="e">
        <f t="shared" si="82"/>
        <v>#DIV/0!</v>
      </c>
      <c r="AH205" s="137" t="e">
        <f t="shared" si="82"/>
        <v>#DIV/0!</v>
      </c>
      <c r="AI205" s="137" t="e">
        <f t="shared" si="82"/>
        <v>#DIV/0!</v>
      </c>
      <c r="AJ205" s="9" t="e">
        <f t="shared" si="82"/>
        <v>#DIV/0!</v>
      </c>
      <c r="AK205" s="137" t="e">
        <f t="shared" si="82"/>
        <v>#DIV/0!</v>
      </c>
      <c r="AL205" s="137" t="e">
        <f t="shared" si="82"/>
        <v>#DIV/0!</v>
      </c>
      <c r="AM205" s="137" t="e">
        <f t="shared" si="82"/>
        <v>#DIV/0!</v>
      </c>
      <c r="AN205" s="137" t="e">
        <f t="shared" si="82"/>
        <v>#DIV/0!</v>
      </c>
      <c r="AO205" s="9" t="e">
        <f t="shared" si="82"/>
        <v>#DIV/0!</v>
      </c>
      <c r="AP205" s="137" t="e">
        <f t="shared" si="82"/>
        <v>#DIV/0!</v>
      </c>
      <c r="AQ205" s="137" t="e">
        <f t="shared" si="82"/>
        <v>#DIV/0!</v>
      </c>
      <c r="AR205" s="137" t="e">
        <f t="shared" si="82"/>
        <v>#DIV/0!</v>
      </c>
      <c r="AS205" s="137" t="e">
        <f t="shared" si="82"/>
        <v>#DIV/0!</v>
      </c>
      <c r="AT205" s="9" t="e">
        <f t="shared" si="82"/>
        <v>#DIV/0!</v>
      </c>
      <c r="AU205" s="137" t="e">
        <f t="shared" si="82"/>
        <v>#DIV/0!</v>
      </c>
      <c r="AV205" s="137" t="e">
        <f t="shared" si="82"/>
        <v>#DIV/0!</v>
      </c>
      <c r="AW205" s="137" t="e">
        <f t="shared" si="82"/>
        <v>#DIV/0!</v>
      </c>
      <c r="AX205" s="137" t="e">
        <f t="shared" si="82"/>
        <v>#DIV/0!</v>
      </c>
      <c r="AY205" s="106" t="e">
        <f t="shared" si="82"/>
        <v>#DIV/0!</v>
      </c>
    </row>
    <row r="206" spans="1:51">
      <c r="A206" s="128" t="s">
        <v>161</v>
      </c>
      <c r="B206" s="106" t="e">
        <f t="shared" si="82"/>
        <v>#DIV/0!</v>
      </c>
      <c r="C206" s="106" t="e">
        <f t="shared" si="82"/>
        <v>#DIV/0!</v>
      </c>
      <c r="D206" s="106" t="e">
        <f t="shared" si="82"/>
        <v>#DIV/0!</v>
      </c>
      <c r="E206" s="106" t="e">
        <f t="shared" si="82"/>
        <v>#DIV/0!</v>
      </c>
      <c r="F206" s="9" t="e">
        <f t="shared" si="82"/>
        <v>#DIV/0!</v>
      </c>
      <c r="G206" s="106" t="e">
        <f t="shared" si="82"/>
        <v>#DIV/0!</v>
      </c>
      <c r="H206" s="106" t="e">
        <f t="shared" si="82"/>
        <v>#DIV/0!</v>
      </c>
      <c r="I206" s="106" t="e">
        <f t="shared" si="82"/>
        <v>#DIV/0!</v>
      </c>
      <c r="J206" s="106" t="e">
        <f t="shared" si="82"/>
        <v>#DIV/0!</v>
      </c>
      <c r="K206" s="9" t="e">
        <f t="shared" si="82"/>
        <v>#DIV/0!</v>
      </c>
      <c r="L206" s="106" t="e">
        <f t="shared" si="82"/>
        <v>#DIV/0!</v>
      </c>
      <c r="M206" s="106" t="e">
        <f t="shared" si="82"/>
        <v>#DIV/0!</v>
      </c>
      <c r="N206" s="106" t="e">
        <f t="shared" si="82"/>
        <v>#DIV/0!</v>
      </c>
      <c r="O206" s="106" t="e">
        <f t="shared" si="82"/>
        <v>#DIV/0!</v>
      </c>
      <c r="P206" s="9" t="e">
        <f t="shared" si="82"/>
        <v>#DIV/0!</v>
      </c>
      <c r="Q206" s="137" t="e">
        <f t="shared" si="82"/>
        <v>#DIV/0!</v>
      </c>
      <c r="R206" s="137" t="e">
        <f t="shared" si="82"/>
        <v>#DIV/0!</v>
      </c>
      <c r="S206" s="137" t="e">
        <f t="shared" si="82"/>
        <v>#DIV/0!</v>
      </c>
      <c r="T206" s="137" t="e">
        <f t="shared" si="82"/>
        <v>#DIV/0!</v>
      </c>
      <c r="U206" s="9" t="e">
        <f t="shared" si="82"/>
        <v>#DIV/0!</v>
      </c>
      <c r="V206" s="137" t="e">
        <f t="shared" si="82"/>
        <v>#DIV/0!</v>
      </c>
      <c r="W206" s="137" t="e">
        <f t="shared" si="82"/>
        <v>#DIV/0!</v>
      </c>
      <c r="X206" s="137" t="e">
        <f t="shared" si="82"/>
        <v>#DIV/0!</v>
      </c>
      <c r="Y206" s="137" t="e">
        <f t="shared" si="82"/>
        <v>#DIV/0!</v>
      </c>
      <c r="Z206" s="9" t="e">
        <f t="shared" si="82"/>
        <v>#DIV/0!</v>
      </c>
      <c r="AA206" s="137" t="e">
        <f t="shared" si="82"/>
        <v>#DIV/0!</v>
      </c>
      <c r="AB206" s="137" t="e">
        <f t="shared" si="82"/>
        <v>#DIV/0!</v>
      </c>
      <c r="AC206" s="137" t="e">
        <f t="shared" si="82"/>
        <v>#DIV/0!</v>
      </c>
      <c r="AD206" s="137" t="e">
        <f t="shared" si="82"/>
        <v>#DIV/0!</v>
      </c>
      <c r="AE206" s="9" t="e">
        <f t="shared" si="82"/>
        <v>#DIV/0!</v>
      </c>
      <c r="AF206" s="137" t="e">
        <f t="shared" si="82"/>
        <v>#DIV/0!</v>
      </c>
      <c r="AG206" s="137" t="e">
        <f t="shared" si="82"/>
        <v>#DIV/0!</v>
      </c>
      <c r="AH206" s="137" t="e">
        <f t="shared" si="82"/>
        <v>#DIV/0!</v>
      </c>
      <c r="AI206" s="137" t="e">
        <f t="shared" si="82"/>
        <v>#DIV/0!</v>
      </c>
      <c r="AJ206" s="9" t="e">
        <f t="shared" si="82"/>
        <v>#DIV/0!</v>
      </c>
      <c r="AK206" s="137" t="e">
        <f t="shared" si="82"/>
        <v>#DIV/0!</v>
      </c>
      <c r="AL206" s="137" t="e">
        <f t="shared" si="82"/>
        <v>#DIV/0!</v>
      </c>
      <c r="AM206" s="137" t="e">
        <f t="shared" si="82"/>
        <v>#DIV/0!</v>
      </c>
      <c r="AN206" s="137" t="e">
        <f t="shared" si="82"/>
        <v>#DIV/0!</v>
      </c>
      <c r="AO206" s="9" t="e">
        <f t="shared" si="82"/>
        <v>#DIV/0!</v>
      </c>
      <c r="AP206" s="137" t="e">
        <f t="shared" si="82"/>
        <v>#DIV/0!</v>
      </c>
      <c r="AQ206" s="137" t="e">
        <f t="shared" si="82"/>
        <v>#DIV/0!</v>
      </c>
      <c r="AR206" s="137" t="e">
        <f t="shared" si="82"/>
        <v>#DIV/0!</v>
      </c>
      <c r="AS206" s="137" t="e">
        <f t="shared" si="82"/>
        <v>#DIV/0!</v>
      </c>
      <c r="AT206" s="9" t="e">
        <f t="shared" si="82"/>
        <v>#DIV/0!</v>
      </c>
      <c r="AU206" s="137" t="e">
        <f t="shared" si="82"/>
        <v>#DIV/0!</v>
      </c>
      <c r="AV206" s="137" t="e">
        <f t="shared" si="82"/>
        <v>#DIV/0!</v>
      </c>
      <c r="AW206" s="137" t="e">
        <f t="shared" si="82"/>
        <v>#DIV/0!</v>
      </c>
      <c r="AX206" s="137" t="e">
        <f t="shared" si="82"/>
        <v>#DIV/0!</v>
      </c>
      <c r="AY206" s="106" t="e">
        <f t="shared" si="82"/>
        <v>#DIV/0!</v>
      </c>
    </row>
    <row r="207" spans="1:51">
      <c r="A207" s="128" t="s">
        <v>163</v>
      </c>
      <c r="B207" s="106" t="e">
        <f t="shared" si="82"/>
        <v>#DIV/0!</v>
      </c>
      <c r="C207" s="106" t="e">
        <f t="shared" si="82"/>
        <v>#DIV/0!</v>
      </c>
      <c r="D207" s="106" t="e">
        <f t="shared" si="82"/>
        <v>#DIV/0!</v>
      </c>
      <c r="E207" s="106" t="e">
        <f t="shared" si="82"/>
        <v>#DIV/0!</v>
      </c>
      <c r="F207" s="9" t="e">
        <f t="shared" si="82"/>
        <v>#DIV/0!</v>
      </c>
      <c r="G207" s="106" t="e">
        <f t="shared" si="82"/>
        <v>#DIV/0!</v>
      </c>
      <c r="H207" s="106" t="e">
        <f t="shared" si="82"/>
        <v>#DIV/0!</v>
      </c>
      <c r="I207" s="106" t="e">
        <f t="shared" si="82"/>
        <v>#DIV/0!</v>
      </c>
      <c r="J207" s="106" t="e">
        <f t="shared" si="82"/>
        <v>#DIV/0!</v>
      </c>
      <c r="K207" s="9" t="e">
        <f t="shared" si="82"/>
        <v>#DIV/0!</v>
      </c>
      <c r="L207" s="106" t="e">
        <f t="shared" si="82"/>
        <v>#DIV/0!</v>
      </c>
      <c r="M207" s="106" t="e">
        <f t="shared" si="82"/>
        <v>#DIV/0!</v>
      </c>
      <c r="N207" s="106" t="e">
        <f t="shared" si="82"/>
        <v>#DIV/0!</v>
      </c>
      <c r="O207" s="106" t="e">
        <f t="shared" si="82"/>
        <v>#DIV/0!</v>
      </c>
      <c r="P207" s="9" t="e">
        <f t="shared" si="82"/>
        <v>#DIV/0!</v>
      </c>
      <c r="Q207" s="137" t="e">
        <f t="shared" si="82"/>
        <v>#DIV/0!</v>
      </c>
      <c r="R207" s="137" t="e">
        <f t="shared" si="82"/>
        <v>#DIV/0!</v>
      </c>
      <c r="S207" s="137" t="e">
        <f t="shared" si="82"/>
        <v>#DIV/0!</v>
      </c>
      <c r="T207" s="137" t="e">
        <f t="shared" si="82"/>
        <v>#DIV/0!</v>
      </c>
      <c r="U207" s="9" t="e">
        <f t="shared" si="82"/>
        <v>#DIV/0!</v>
      </c>
      <c r="V207" s="137" t="e">
        <f t="shared" si="82"/>
        <v>#DIV/0!</v>
      </c>
      <c r="W207" s="137" t="e">
        <f t="shared" si="82"/>
        <v>#DIV/0!</v>
      </c>
      <c r="X207" s="137" t="e">
        <f t="shared" si="82"/>
        <v>#DIV/0!</v>
      </c>
      <c r="Y207" s="137" t="e">
        <f t="shared" si="82"/>
        <v>#DIV/0!</v>
      </c>
      <c r="Z207" s="9" t="e">
        <f t="shared" si="82"/>
        <v>#DIV/0!</v>
      </c>
      <c r="AA207" s="137" t="e">
        <f t="shared" si="82"/>
        <v>#DIV/0!</v>
      </c>
      <c r="AB207" s="137" t="e">
        <f t="shared" si="82"/>
        <v>#DIV/0!</v>
      </c>
      <c r="AC207" s="137" t="e">
        <f t="shared" si="82"/>
        <v>#DIV/0!</v>
      </c>
      <c r="AD207" s="137" t="e">
        <f t="shared" si="82"/>
        <v>#DIV/0!</v>
      </c>
      <c r="AE207" s="9" t="e">
        <f t="shared" si="82"/>
        <v>#DIV/0!</v>
      </c>
      <c r="AF207" s="137" t="e">
        <f t="shared" si="82"/>
        <v>#DIV/0!</v>
      </c>
      <c r="AG207" s="137" t="e">
        <f t="shared" si="82"/>
        <v>#DIV/0!</v>
      </c>
      <c r="AH207" s="137" t="e">
        <f t="shared" si="82"/>
        <v>#DIV/0!</v>
      </c>
      <c r="AI207" s="137" t="e">
        <f t="shared" si="82"/>
        <v>#DIV/0!</v>
      </c>
      <c r="AJ207" s="9" t="e">
        <f t="shared" si="82"/>
        <v>#DIV/0!</v>
      </c>
      <c r="AK207" s="137" t="e">
        <f t="shared" si="82"/>
        <v>#DIV/0!</v>
      </c>
      <c r="AL207" s="137" t="e">
        <f t="shared" si="82"/>
        <v>#DIV/0!</v>
      </c>
      <c r="AM207" s="137" t="e">
        <f t="shared" si="82"/>
        <v>#DIV/0!</v>
      </c>
      <c r="AN207" s="137" t="e">
        <f t="shared" si="82"/>
        <v>#DIV/0!</v>
      </c>
      <c r="AO207" s="9" t="e">
        <f t="shared" si="82"/>
        <v>#DIV/0!</v>
      </c>
      <c r="AP207" s="137" t="e">
        <f t="shared" si="82"/>
        <v>#DIV/0!</v>
      </c>
      <c r="AQ207" s="137" t="e">
        <f t="shared" si="82"/>
        <v>#DIV/0!</v>
      </c>
      <c r="AR207" s="137" t="e">
        <f t="shared" si="82"/>
        <v>#DIV/0!</v>
      </c>
      <c r="AS207" s="137" t="e">
        <f t="shared" si="82"/>
        <v>#DIV/0!</v>
      </c>
      <c r="AT207" s="9" t="e">
        <f t="shared" si="82"/>
        <v>#DIV/0!</v>
      </c>
      <c r="AU207" s="137" t="e">
        <f t="shared" si="82"/>
        <v>#DIV/0!</v>
      </c>
      <c r="AV207" s="137" t="e">
        <f t="shared" si="82"/>
        <v>#DIV/0!</v>
      </c>
      <c r="AW207" s="137" t="e">
        <f t="shared" si="82"/>
        <v>#DIV/0!</v>
      </c>
      <c r="AX207" s="137" t="e">
        <f t="shared" si="82"/>
        <v>#DIV/0!</v>
      </c>
      <c r="AY207" s="106" t="e">
        <f t="shared" si="82"/>
        <v>#DIV/0!</v>
      </c>
    </row>
    <row r="208" spans="1:51">
      <c r="A208" s="128" t="s">
        <v>165</v>
      </c>
      <c r="B208" s="106" t="e">
        <f t="shared" si="82"/>
        <v>#DIV/0!</v>
      </c>
      <c r="C208" s="106" t="e">
        <f t="shared" si="82"/>
        <v>#DIV/0!</v>
      </c>
      <c r="D208" s="106" t="e">
        <f t="shared" si="82"/>
        <v>#DIV/0!</v>
      </c>
      <c r="E208" s="106" t="e">
        <f t="shared" si="82"/>
        <v>#DIV/0!</v>
      </c>
      <c r="F208" s="9" t="e">
        <f t="shared" si="82"/>
        <v>#DIV/0!</v>
      </c>
      <c r="G208" s="106" t="e">
        <f t="shared" si="82"/>
        <v>#DIV/0!</v>
      </c>
      <c r="H208" s="106" t="e">
        <f t="shared" si="82"/>
        <v>#DIV/0!</v>
      </c>
      <c r="I208" s="106" t="e">
        <f t="shared" si="82"/>
        <v>#DIV/0!</v>
      </c>
      <c r="J208" s="106" t="e">
        <f t="shared" si="82"/>
        <v>#DIV/0!</v>
      </c>
      <c r="K208" s="9" t="e">
        <f t="shared" si="82"/>
        <v>#DIV/0!</v>
      </c>
      <c r="L208" s="106" t="e">
        <f t="shared" si="82"/>
        <v>#DIV/0!</v>
      </c>
      <c r="M208" s="106" t="e">
        <f t="shared" si="82"/>
        <v>#DIV/0!</v>
      </c>
      <c r="N208" s="106" t="e">
        <f t="shared" si="82"/>
        <v>#DIV/0!</v>
      </c>
      <c r="O208" s="106" t="e">
        <f t="shared" si="82"/>
        <v>#DIV/0!</v>
      </c>
      <c r="P208" s="9" t="e">
        <f t="shared" si="82"/>
        <v>#DIV/0!</v>
      </c>
      <c r="Q208" s="137" t="e">
        <f t="shared" si="82"/>
        <v>#DIV/0!</v>
      </c>
      <c r="R208" s="137" t="e">
        <f t="shared" si="82"/>
        <v>#DIV/0!</v>
      </c>
      <c r="S208" s="137" t="e">
        <f t="shared" si="82"/>
        <v>#DIV/0!</v>
      </c>
      <c r="T208" s="137" t="e">
        <f t="shared" si="82"/>
        <v>#DIV/0!</v>
      </c>
      <c r="U208" s="9" t="e">
        <f t="shared" si="82"/>
        <v>#DIV/0!</v>
      </c>
      <c r="V208" s="137" t="e">
        <f t="shared" si="82"/>
        <v>#DIV/0!</v>
      </c>
      <c r="W208" s="137" t="e">
        <f t="shared" si="82"/>
        <v>#DIV/0!</v>
      </c>
      <c r="X208" s="137" t="e">
        <f t="shared" si="82"/>
        <v>#DIV/0!</v>
      </c>
      <c r="Y208" s="137" t="e">
        <f t="shared" si="82"/>
        <v>#DIV/0!</v>
      </c>
      <c r="Z208" s="9" t="e">
        <f t="shared" si="82"/>
        <v>#DIV/0!</v>
      </c>
      <c r="AA208" s="137" t="e">
        <f t="shared" si="82"/>
        <v>#DIV/0!</v>
      </c>
      <c r="AB208" s="137" t="e">
        <f t="shared" si="82"/>
        <v>#DIV/0!</v>
      </c>
      <c r="AC208" s="137" t="e">
        <f t="shared" si="82"/>
        <v>#DIV/0!</v>
      </c>
      <c r="AD208" s="137" t="e">
        <f t="shared" si="82"/>
        <v>#DIV/0!</v>
      </c>
      <c r="AE208" s="9" t="e">
        <f t="shared" si="82"/>
        <v>#DIV/0!</v>
      </c>
      <c r="AF208" s="137" t="e">
        <f t="shared" si="82"/>
        <v>#DIV/0!</v>
      </c>
      <c r="AG208" s="137" t="e">
        <f t="shared" si="82"/>
        <v>#DIV/0!</v>
      </c>
      <c r="AH208" s="137" t="e">
        <f t="shared" si="82"/>
        <v>#DIV/0!</v>
      </c>
      <c r="AI208" s="137" t="e">
        <f t="shared" si="82"/>
        <v>#DIV/0!</v>
      </c>
      <c r="AJ208" s="9" t="e">
        <f t="shared" si="82"/>
        <v>#DIV/0!</v>
      </c>
      <c r="AK208" s="137" t="e">
        <f t="shared" si="82"/>
        <v>#DIV/0!</v>
      </c>
      <c r="AL208" s="137" t="e">
        <f t="shared" si="82"/>
        <v>#DIV/0!</v>
      </c>
      <c r="AM208" s="137" t="e">
        <f t="shared" si="82"/>
        <v>#DIV/0!</v>
      </c>
      <c r="AN208" s="137" t="e">
        <f t="shared" si="82"/>
        <v>#DIV/0!</v>
      </c>
      <c r="AO208" s="9" t="e">
        <f t="shared" si="82"/>
        <v>#DIV/0!</v>
      </c>
      <c r="AP208" s="137" t="e">
        <f t="shared" si="82"/>
        <v>#DIV/0!</v>
      </c>
      <c r="AQ208" s="137" t="e">
        <f t="shared" si="82"/>
        <v>#DIV/0!</v>
      </c>
      <c r="AR208" s="137" t="e">
        <f t="shared" si="82"/>
        <v>#DIV/0!</v>
      </c>
      <c r="AS208" s="137" t="e">
        <f t="shared" si="82"/>
        <v>#DIV/0!</v>
      </c>
      <c r="AT208" s="9" t="e">
        <f t="shared" si="82"/>
        <v>#DIV/0!</v>
      </c>
      <c r="AU208" s="137" t="e">
        <f t="shared" si="82"/>
        <v>#DIV/0!</v>
      </c>
      <c r="AV208" s="137" t="e">
        <f t="shared" si="82"/>
        <v>#DIV/0!</v>
      </c>
      <c r="AW208" s="137" t="e">
        <f t="shared" si="82"/>
        <v>#DIV/0!</v>
      </c>
      <c r="AX208" s="137" t="e">
        <f t="shared" si="82"/>
        <v>#DIV/0!</v>
      </c>
      <c r="AY208" s="106" t="e">
        <f t="shared" si="82"/>
        <v>#DIV/0!</v>
      </c>
    </row>
    <row r="209" spans="1:51">
      <c r="A209" s="128" t="s">
        <v>167</v>
      </c>
      <c r="B209" s="106" t="e">
        <f t="shared" ref="B209:AY212" si="83">B71/B$137</f>
        <v>#DIV/0!</v>
      </c>
      <c r="C209" s="106" t="e">
        <f t="shared" si="83"/>
        <v>#DIV/0!</v>
      </c>
      <c r="D209" s="106" t="e">
        <f t="shared" si="83"/>
        <v>#DIV/0!</v>
      </c>
      <c r="E209" s="106" t="e">
        <f t="shared" si="83"/>
        <v>#DIV/0!</v>
      </c>
      <c r="F209" s="9" t="e">
        <f t="shared" si="83"/>
        <v>#DIV/0!</v>
      </c>
      <c r="G209" s="106" t="e">
        <f t="shared" si="83"/>
        <v>#DIV/0!</v>
      </c>
      <c r="H209" s="106" t="e">
        <f t="shared" si="83"/>
        <v>#DIV/0!</v>
      </c>
      <c r="I209" s="106" t="e">
        <f t="shared" si="83"/>
        <v>#DIV/0!</v>
      </c>
      <c r="J209" s="106" t="e">
        <f t="shared" si="83"/>
        <v>#DIV/0!</v>
      </c>
      <c r="K209" s="9" t="e">
        <f t="shared" si="83"/>
        <v>#DIV/0!</v>
      </c>
      <c r="L209" s="106" t="e">
        <f t="shared" si="83"/>
        <v>#DIV/0!</v>
      </c>
      <c r="M209" s="106" t="e">
        <f t="shared" si="83"/>
        <v>#DIV/0!</v>
      </c>
      <c r="N209" s="106" t="e">
        <f t="shared" si="83"/>
        <v>#DIV/0!</v>
      </c>
      <c r="O209" s="106" t="e">
        <f t="shared" si="83"/>
        <v>#DIV/0!</v>
      </c>
      <c r="P209" s="9" t="e">
        <f t="shared" si="83"/>
        <v>#DIV/0!</v>
      </c>
      <c r="Q209" s="137" t="e">
        <f t="shared" si="83"/>
        <v>#DIV/0!</v>
      </c>
      <c r="R209" s="137" t="e">
        <f t="shared" si="83"/>
        <v>#DIV/0!</v>
      </c>
      <c r="S209" s="137" t="e">
        <f t="shared" si="83"/>
        <v>#DIV/0!</v>
      </c>
      <c r="T209" s="137" t="e">
        <f t="shared" si="83"/>
        <v>#DIV/0!</v>
      </c>
      <c r="U209" s="9" t="e">
        <f t="shared" si="83"/>
        <v>#DIV/0!</v>
      </c>
      <c r="V209" s="137" t="e">
        <f t="shared" si="83"/>
        <v>#DIV/0!</v>
      </c>
      <c r="W209" s="137" t="e">
        <f t="shared" si="83"/>
        <v>#DIV/0!</v>
      </c>
      <c r="X209" s="137" t="e">
        <f t="shared" si="83"/>
        <v>#DIV/0!</v>
      </c>
      <c r="Y209" s="137" t="e">
        <f t="shared" si="83"/>
        <v>#DIV/0!</v>
      </c>
      <c r="Z209" s="9" t="e">
        <f t="shared" si="83"/>
        <v>#DIV/0!</v>
      </c>
      <c r="AA209" s="137" t="e">
        <f t="shared" si="83"/>
        <v>#DIV/0!</v>
      </c>
      <c r="AB209" s="137" t="e">
        <f t="shared" si="83"/>
        <v>#DIV/0!</v>
      </c>
      <c r="AC209" s="137" t="e">
        <f t="shared" si="83"/>
        <v>#DIV/0!</v>
      </c>
      <c r="AD209" s="137" t="e">
        <f t="shared" si="83"/>
        <v>#DIV/0!</v>
      </c>
      <c r="AE209" s="9" t="e">
        <f t="shared" si="83"/>
        <v>#DIV/0!</v>
      </c>
      <c r="AF209" s="137" t="e">
        <f t="shared" si="83"/>
        <v>#DIV/0!</v>
      </c>
      <c r="AG209" s="137" t="e">
        <f t="shared" si="83"/>
        <v>#DIV/0!</v>
      </c>
      <c r="AH209" s="137" t="e">
        <f t="shared" si="83"/>
        <v>#DIV/0!</v>
      </c>
      <c r="AI209" s="137" t="e">
        <f t="shared" si="83"/>
        <v>#DIV/0!</v>
      </c>
      <c r="AJ209" s="9" t="e">
        <f t="shared" si="83"/>
        <v>#DIV/0!</v>
      </c>
      <c r="AK209" s="137" t="e">
        <f t="shared" si="83"/>
        <v>#DIV/0!</v>
      </c>
      <c r="AL209" s="137" t="e">
        <f t="shared" si="83"/>
        <v>#DIV/0!</v>
      </c>
      <c r="AM209" s="137" t="e">
        <f t="shared" si="83"/>
        <v>#DIV/0!</v>
      </c>
      <c r="AN209" s="137" t="e">
        <f t="shared" si="83"/>
        <v>#DIV/0!</v>
      </c>
      <c r="AO209" s="9" t="e">
        <f t="shared" si="83"/>
        <v>#DIV/0!</v>
      </c>
      <c r="AP209" s="137" t="e">
        <f t="shared" si="83"/>
        <v>#DIV/0!</v>
      </c>
      <c r="AQ209" s="137" t="e">
        <f t="shared" si="83"/>
        <v>#DIV/0!</v>
      </c>
      <c r="AR209" s="137" t="e">
        <f t="shared" si="83"/>
        <v>#DIV/0!</v>
      </c>
      <c r="AS209" s="137" t="e">
        <f t="shared" si="83"/>
        <v>#DIV/0!</v>
      </c>
      <c r="AT209" s="9" t="e">
        <f t="shared" si="83"/>
        <v>#DIV/0!</v>
      </c>
      <c r="AU209" s="137" t="e">
        <f t="shared" si="83"/>
        <v>#DIV/0!</v>
      </c>
      <c r="AV209" s="137" t="e">
        <f t="shared" si="83"/>
        <v>#DIV/0!</v>
      </c>
      <c r="AW209" s="137" t="e">
        <f t="shared" si="83"/>
        <v>#DIV/0!</v>
      </c>
      <c r="AX209" s="137" t="e">
        <f t="shared" si="83"/>
        <v>#DIV/0!</v>
      </c>
      <c r="AY209" s="106" t="e">
        <f t="shared" si="83"/>
        <v>#DIV/0!</v>
      </c>
    </row>
    <row r="210" spans="1:51">
      <c r="A210" s="128" t="s">
        <v>169</v>
      </c>
      <c r="B210" s="106" t="e">
        <f t="shared" si="83"/>
        <v>#DIV/0!</v>
      </c>
      <c r="C210" s="106" t="e">
        <f t="shared" si="83"/>
        <v>#DIV/0!</v>
      </c>
      <c r="D210" s="106" t="e">
        <f t="shared" si="83"/>
        <v>#DIV/0!</v>
      </c>
      <c r="E210" s="106" t="e">
        <f t="shared" si="83"/>
        <v>#DIV/0!</v>
      </c>
      <c r="F210" s="9" t="e">
        <f t="shared" si="83"/>
        <v>#DIV/0!</v>
      </c>
      <c r="G210" s="106" t="e">
        <f t="shared" si="83"/>
        <v>#DIV/0!</v>
      </c>
      <c r="H210" s="106" t="e">
        <f t="shared" si="83"/>
        <v>#DIV/0!</v>
      </c>
      <c r="I210" s="106" t="e">
        <f t="shared" si="83"/>
        <v>#DIV/0!</v>
      </c>
      <c r="J210" s="106" t="e">
        <f t="shared" si="83"/>
        <v>#DIV/0!</v>
      </c>
      <c r="K210" s="9" t="e">
        <f t="shared" si="83"/>
        <v>#DIV/0!</v>
      </c>
      <c r="L210" s="106" t="e">
        <f t="shared" si="83"/>
        <v>#DIV/0!</v>
      </c>
      <c r="M210" s="106" t="e">
        <f t="shared" si="83"/>
        <v>#DIV/0!</v>
      </c>
      <c r="N210" s="106" t="e">
        <f t="shared" si="83"/>
        <v>#DIV/0!</v>
      </c>
      <c r="O210" s="106" t="e">
        <f t="shared" si="83"/>
        <v>#DIV/0!</v>
      </c>
      <c r="P210" s="9" t="e">
        <f t="shared" si="83"/>
        <v>#DIV/0!</v>
      </c>
      <c r="Q210" s="137" t="e">
        <f t="shared" si="83"/>
        <v>#DIV/0!</v>
      </c>
      <c r="R210" s="137" t="e">
        <f t="shared" si="83"/>
        <v>#DIV/0!</v>
      </c>
      <c r="S210" s="137" t="e">
        <f t="shared" si="83"/>
        <v>#DIV/0!</v>
      </c>
      <c r="T210" s="137" t="e">
        <f t="shared" si="83"/>
        <v>#DIV/0!</v>
      </c>
      <c r="U210" s="9" t="e">
        <f t="shared" si="83"/>
        <v>#DIV/0!</v>
      </c>
      <c r="V210" s="137" t="e">
        <f t="shared" si="83"/>
        <v>#DIV/0!</v>
      </c>
      <c r="W210" s="137" t="e">
        <f t="shared" si="83"/>
        <v>#DIV/0!</v>
      </c>
      <c r="X210" s="137" t="e">
        <f t="shared" si="83"/>
        <v>#DIV/0!</v>
      </c>
      <c r="Y210" s="137" t="e">
        <f t="shared" si="83"/>
        <v>#DIV/0!</v>
      </c>
      <c r="Z210" s="9" t="e">
        <f t="shared" si="83"/>
        <v>#DIV/0!</v>
      </c>
      <c r="AA210" s="137" t="e">
        <f t="shared" si="83"/>
        <v>#DIV/0!</v>
      </c>
      <c r="AB210" s="137" t="e">
        <f t="shared" si="83"/>
        <v>#DIV/0!</v>
      </c>
      <c r="AC210" s="137" t="e">
        <f t="shared" si="83"/>
        <v>#DIV/0!</v>
      </c>
      <c r="AD210" s="137" t="e">
        <f t="shared" si="83"/>
        <v>#DIV/0!</v>
      </c>
      <c r="AE210" s="9" t="e">
        <f t="shared" si="83"/>
        <v>#DIV/0!</v>
      </c>
      <c r="AF210" s="137" t="e">
        <f t="shared" si="83"/>
        <v>#DIV/0!</v>
      </c>
      <c r="AG210" s="137" t="e">
        <f t="shared" si="83"/>
        <v>#DIV/0!</v>
      </c>
      <c r="AH210" s="137" t="e">
        <f t="shared" si="83"/>
        <v>#DIV/0!</v>
      </c>
      <c r="AI210" s="137" t="e">
        <f t="shared" si="83"/>
        <v>#DIV/0!</v>
      </c>
      <c r="AJ210" s="9" t="e">
        <f t="shared" si="83"/>
        <v>#DIV/0!</v>
      </c>
      <c r="AK210" s="137" t="e">
        <f t="shared" si="83"/>
        <v>#DIV/0!</v>
      </c>
      <c r="AL210" s="137" t="e">
        <f t="shared" si="83"/>
        <v>#DIV/0!</v>
      </c>
      <c r="AM210" s="137" t="e">
        <f t="shared" si="83"/>
        <v>#DIV/0!</v>
      </c>
      <c r="AN210" s="137" t="e">
        <f t="shared" si="83"/>
        <v>#DIV/0!</v>
      </c>
      <c r="AO210" s="9" t="e">
        <f t="shared" si="83"/>
        <v>#DIV/0!</v>
      </c>
      <c r="AP210" s="137" t="e">
        <f t="shared" si="83"/>
        <v>#DIV/0!</v>
      </c>
      <c r="AQ210" s="137" t="e">
        <f t="shared" si="83"/>
        <v>#DIV/0!</v>
      </c>
      <c r="AR210" s="137" t="e">
        <f t="shared" si="83"/>
        <v>#DIV/0!</v>
      </c>
      <c r="AS210" s="137" t="e">
        <f t="shared" si="83"/>
        <v>#DIV/0!</v>
      </c>
      <c r="AT210" s="9" t="e">
        <f t="shared" si="83"/>
        <v>#DIV/0!</v>
      </c>
      <c r="AU210" s="137" t="e">
        <f t="shared" si="83"/>
        <v>#DIV/0!</v>
      </c>
      <c r="AV210" s="137" t="e">
        <f t="shared" si="83"/>
        <v>#DIV/0!</v>
      </c>
      <c r="AW210" s="137" t="e">
        <f t="shared" si="83"/>
        <v>#DIV/0!</v>
      </c>
      <c r="AX210" s="137" t="e">
        <f t="shared" si="83"/>
        <v>#DIV/0!</v>
      </c>
      <c r="AY210" s="106" t="e">
        <f t="shared" si="83"/>
        <v>#DIV/0!</v>
      </c>
    </row>
    <row r="211" spans="1:51">
      <c r="A211" s="128" t="s">
        <v>171</v>
      </c>
      <c r="B211" s="106" t="e">
        <f t="shared" si="83"/>
        <v>#DIV/0!</v>
      </c>
      <c r="C211" s="106" t="e">
        <f t="shared" si="83"/>
        <v>#DIV/0!</v>
      </c>
      <c r="D211" s="106" t="e">
        <f t="shared" si="83"/>
        <v>#DIV/0!</v>
      </c>
      <c r="E211" s="106" t="e">
        <f t="shared" si="83"/>
        <v>#DIV/0!</v>
      </c>
      <c r="F211" s="9" t="e">
        <f t="shared" si="83"/>
        <v>#DIV/0!</v>
      </c>
      <c r="G211" s="106" t="e">
        <f t="shared" si="83"/>
        <v>#DIV/0!</v>
      </c>
      <c r="H211" s="106" t="e">
        <f t="shared" si="83"/>
        <v>#DIV/0!</v>
      </c>
      <c r="I211" s="106" t="e">
        <f t="shared" si="83"/>
        <v>#DIV/0!</v>
      </c>
      <c r="J211" s="106" t="e">
        <f t="shared" si="83"/>
        <v>#DIV/0!</v>
      </c>
      <c r="K211" s="9" t="e">
        <f t="shared" si="83"/>
        <v>#DIV/0!</v>
      </c>
      <c r="L211" s="106" t="e">
        <f t="shared" si="83"/>
        <v>#DIV/0!</v>
      </c>
      <c r="M211" s="106" t="e">
        <f t="shared" si="83"/>
        <v>#DIV/0!</v>
      </c>
      <c r="N211" s="106" t="e">
        <f t="shared" si="83"/>
        <v>#DIV/0!</v>
      </c>
      <c r="O211" s="106" t="e">
        <f t="shared" si="83"/>
        <v>#DIV/0!</v>
      </c>
      <c r="P211" s="9" t="e">
        <f t="shared" si="83"/>
        <v>#DIV/0!</v>
      </c>
      <c r="Q211" s="137" t="e">
        <f t="shared" si="83"/>
        <v>#DIV/0!</v>
      </c>
      <c r="R211" s="137" t="e">
        <f t="shared" si="83"/>
        <v>#DIV/0!</v>
      </c>
      <c r="S211" s="137" t="e">
        <f t="shared" si="83"/>
        <v>#DIV/0!</v>
      </c>
      <c r="T211" s="137" t="e">
        <f t="shared" si="83"/>
        <v>#DIV/0!</v>
      </c>
      <c r="U211" s="9" t="e">
        <f t="shared" si="83"/>
        <v>#DIV/0!</v>
      </c>
      <c r="V211" s="137" t="e">
        <f t="shared" si="83"/>
        <v>#DIV/0!</v>
      </c>
      <c r="W211" s="137" t="e">
        <f t="shared" si="83"/>
        <v>#DIV/0!</v>
      </c>
      <c r="X211" s="137" t="e">
        <f t="shared" si="83"/>
        <v>#DIV/0!</v>
      </c>
      <c r="Y211" s="137" t="e">
        <f t="shared" si="83"/>
        <v>#DIV/0!</v>
      </c>
      <c r="Z211" s="9" t="e">
        <f t="shared" si="83"/>
        <v>#DIV/0!</v>
      </c>
      <c r="AA211" s="137" t="e">
        <f t="shared" si="83"/>
        <v>#DIV/0!</v>
      </c>
      <c r="AB211" s="137" t="e">
        <f t="shared" si="83"/>
        <v>#DIV/0!</v>
      </c>
      <c r="AC211" s="137" t="e">
        <f t="shared" si="83"/>
        <v>#DIV/0!</v>
      </c>
      <c r="AD211" s="137" t="e">
        <f t="shared" si="83"/>
        <v>#DIV/0!</v>
      </c>
      <c r="AE211" s="9" t="e">
        <f t="shared" si="83"/>
        <v>#DIV/0!</v>
      </c>
      <c r="AF211" s="137" t="e">
        <f t="shared" si="83"/>
        <v>#DIV/0!</v>
      </c>
      <c r="AG211" s="137" t="e">
        <f t="shared" si="83"/>
        <v>#DIV/0!</v>
      </c>
      <c r="AH211" s="137" t="e">
        <f t="shared" si="83"/>
        <v>#DIV/0!</v>
      </c>
      <c r="AI211" s="137" t="e">
        <f t="shared" si="83"/>
        <v>#DIV/0!</v>
      </c>
      <c r="AJ211" s="9" t="e">
        <f t="shared" si="83"/>
        <v>#DIV/0!</v>
      </c>
      <c r="AK211" s="137" t="e">
        <f t="shared" si="83"/>
        <v>#DIV/0!</v>
      </c>
      <c r="AL211" s="137" t="e">
        <f t="shared" si="83"/>
        <v>#DIV/0!</v>
      </c>
      <c r="AM211" s="137" t="e">
        <f t="shared" si="83"/>
        <v>#DIV/0!</v>
      </c>
      <c r="AN211" s="137" t="e">
        <f t="shared" si="83"/>
        <v>#DIV/0!</v>
      </c>
      <c r="AO211" s="9" t="e">
        <f t="shared" si="83"/>
        <v>#DIV/0!</v>
      </c>
      <c r="AP211" s="137" t="e">
        <f t="shared" si="83"/>
        <v>#DIV/0!</v>
      </c>
      <c r="AQ211" s="137" t="e">
        <f t="shared" si="83"/>
        <v>#DIV/0!</v>
      </c>
      <c r="AR211" s="137" t="e">
        <f t="shared" si="83"/>
        <v>#DIV/0!</v>
      </c>
      <c r="AS211" s="137" t="e">
        <f t="shared" si="83"/>
        <v>#DIV/0!</v>
      </c>
      <c r="AT211" s="9" t="e">
        <f t="shared" si="83"/>
        <v>#DIV/0!</v>
      </c>
      <c r="AU211" s="137" t="e">
        <f t="shared" si="83"/>
        <v>#DIV/0!</v>
      </c>
      <c r="AV211" s="137" t="e">
        <f t="shared" si="83"/>
        <v>#DIV/0!</v>
      </c>
      <c r="AW211" s="137" t="e">
        <f t="shared" si="83"/>
        <v>#DIV/0!</v>
      </c>
      <c r="AX211" s="137" t="e">
        <f t="shared" si="83"/>
        <v>#DIV/0!</v>
      </c>
      <c r="AY211" s="106" t="e">
        <f t="shared" si="83"/>
        <v>#DIV/0!</v>
      </c>
    </row>
    <row r="212" spans="1:51">
      <c r="A212" s="128" t="s">
        <v>173</v>
      </c>
      <c r="B212" s="106" t="e">
        <f t="shared" si="83"/>
        <v>#DIV/0!</v>
      </c>
      <c r="C212" s="106" t="e">
        <f t="shared" si="83"/>
        <v>#DIV/0!</v>
      </c>
      <c r="D212" s="106" t="e">
        <f t="shared" si="83"/>
        <v>#DIV/0!</v>
      </c>
      <c r="E212" s="106" t="e">
        <f t="shared" si="83"/>
        <v>#DIV/0!</v>
      </c>
      <c r="F212" s="9" t="e">
        <f t="shared" si="83"/>
        <v>#DIV/0!</v>
      </c>
      <c r="G212" s="106" t="e">
        <f t="shared" si="83"/>
        <v>#DIV/0!</v>
      </c>
      <c r="H212" s="106" t="e">
        <f t="shared" si="83"/>
        <v>#DIV/0!</v>
      </c>
      <c r="I212" s="106" t="e">
        <f t="shared" si="83"/>
        <v>#DIV/0!</v>
      </c>
      <c r="J212" s="106" t="e">
        <f t="shared" si="83"/>
        <v>#DIV/0!</v>
      </c>
      <c r="K212" s="9" t="e">
        <f t="shared" si="83"/>
        <v>#DIV/0!</v>
      </c>
      <c r="L212" s="106" t="e">
        <f t="shared" si="83"/>
        <v>#DIV/0!</v>
      </c>
      <c r="M212" s="106" t="e">
        <f t="shared" si="83"/>
        <v>#DIV/0!</v>
      </c>
      <c r="N212" s="106" t="e">
        <f t="shared" si="83"/>
        <v>#DIV/0!</v>
      </c>
      <c r="O212" s="106" t="e">
        <f t="shared" si="83"/>
        <v>#DIV/0!</v>
      </c>
      <c r="P212" s="9" t="e">
        <f t="shared" si="83"/>
        <v>#DIV/0!</v>
      </c>
      <c r="Q212" s="137" t="e">
        <f t="shared" si="83"/>
        <v>#DIV/0!</v>
      </c>
      <c r="R212" s="137" t="e">
        <f t="shared" si="83"/>
        <v>#DIV/0!</v>
      </c>
      <c r="S212" s="137" t="e">
        <f t="shared" si="83"/>
        <v>#DIV/0!</v>
      </c>
      <c r="T212" s="137" t="e">
        <f t="shared" si="83"/>
        <v>#DIV/0!</v>
      </c>
      <c r="U212" s="9" t="e">
        <f t="shared" si="83"/>
        <v>#DIV/0!</v>
      </c>
      <c r="V212" s="137" t="e">
        <f t="shared" si="83"/>
        <v>#DIV/0!</v>
      </c>
      <c r="W212" s="137" t="e">
        <f t="shared" si="83"/>
        <v>#DIV/0!</v>
      </c>
      <c r="X212" s="137" t="e">
        <f t="shared" si="83"/>
        <v>#DIV/0!</v>
      </c>
      <c r="Y212" s="137" t="e">
        <f t="shared" si="83"/>
        <v>#DIV/0!</v>
      </c>
      <c r="Z212" s="9" t="e">
        <f t="shared" si="83"/>
        <v>#DIV/0!</v>
      </c>
      <c r="AA212" s="137" t="e">
        <f t="shared" si="83"/>
        <v>#DIV/0!</v>
      </c>
      <c r="AB212" s="137" t="e">
        <f t="shared" si="83"/>
        <v>#DIV/0!</v>
      </c>
      <c r="AC212" s="137" t="e">
        <f t="shared" si="83"/>
        <v>#DIV/0!</v>
      </c>
      <c r="AD212" s="137" t="e">
        <f t="shared" si="83"/>
        <v>#DIV/0!</v>
      </c>
      <c r="AE212" s="9" t="e">
        <f t="shared" si="83"/>
        <v>#DIV/0!</v>
      </c>
      <c r="AF212" s="137" t="e">
        <f t="shared" si="83"/>
        <v>#DIV/0!</v>
      </c>
      <c r="AG212" s="137" t="e">
        <f t="shared" si="83"/>
        <v>#DIV/0!</v>
      </c>
      <c r="AH212" s="137" t="e">
        <f t="shared" si="83"/>
        <v>#DIV/0!</v>
      </c>
      <c r="AI212" s="137" t="e">
        <f t="shared" si="83"/>
        <v>#DIV/0!</v>
      </c>
      <c r="AJ212" s="9" t="e">
        <f t="shared" si="83"/>
        <v>#DIV/0!</v>
      </c>
      <c r="AK212" s="137" t="e">
        <f t="shared" si="83"/>
        <v>#DIV/0!</v>
      </c>
      <c r="AL212" s="137" t="e">
        <f t="shared" si="83"/>
        <v>#DIV/0!</v>
      </c>
      <c r="AM212" s="137" t="e">
        <f t="shared" si="83"/>
        <v>#DIV/0!</v>
      </c>
      <c r="AN212" s="137" t="e">
        <f t="shared" si="83"/>
        <v>#DIV/0!</v>
      </c>
      <c r="AO212" s="9" t="e">
        <f t="shared" si="83"/>
        <v>#DIV/0!</v>
      </c>
      <c r="AP212" s="137" t="e">
        <f t="shared" si="83"/>
        <v>#DIV/0!</v>
      </c>
      <c r="AQ212" s="137" t="e">
        <f t="shared" si="83"/>
        <v>#DIV/0!</v>
      </c>
      <c r="AR212" s="137" t="e">
        <f t="shared" si="83"/>
        <v>#DIV/0!</v>
      </c>
      <c r="AS212" s="137" t="e">
        <f t="shared" si="83"/>
        <v>#DIV/0!</v>
      </c>
      <c r="AT212" s="9" t="e">
        <f t="shared" si="83"/>
        <v>#DIV/0!</v>
      </c>
      <c r="AU212" s="137" t="e">
        <f t="shared" si="83"/>
        <v>#DIV/0!</v>
      </c>
      <c r="AV212" s="137" t="e">
        <f t="shared" si="83"/>
        <v>#DIV/0!</v>
      </c>
      <c r="AW212" s="137" t="e">
        <f t="shared" si="83"/>
        <v>#DIV/0!</v>
      </c>
      <c r="AX212" s="137" t="e">
        <f t="shared" si="83"/>
        <v>#DIV/0!</v>
      </c>
      <c r="AY212" s="106" t="e">
        <f t="shared" si="83"/>
        <v>#DIV/0!</v>
      </c>
    </row>
    <row r="213" spans="1:51">
      <c r="A213" s="128" t="s">
        <v>175</v>
      </c>
      <c r="B213" s="106" t="e">
        <f t="shared" ref="B213:AY216" si="84">B75/B$137</f>
        <v>#DIV/0!</v>
      </c>
      <c r="C213" s="106" t="e">
        <f t="shared" si="84"/>
        <v>#DIV/0!</v>
      </c>
      <c r="D213" s="106" t="e">
        <f t="shared" si="84"/>
        <v>#DIV/0!</v>
      </c>
      <c r="E213" s="106" t="e">
        <f t="shared" si="84"/>
        <v>#DIV/0!</v>
      </c>
      <c r="F213" s="9" t="e">
        <f t="shared" si="84"/>
        <v>#DIV/0!</v>
      </c>
      <c r="G213" s="106" t="e">
        <f t="shared" si="84"/>
        <v>#DIV/0!</v>
      </c>
      <c r="H213" s="106" t="e">
        <f t="shared" si="84"/>
        <v>#DIV/0!</v>
      </c>
      <c r="I213" s="106" t="e">
        <f t="shared" si="84"/>
        <v>#DIV/0!</v>
      </c>
      <c r="J213" s="106" t="e">
        <f t="shared" si="84"/>
        <v>#DIV/0!</v>
      </c>
      <c r="K213" s="9" t="e">
        <f t="shared" si="84"/>
        <v>#DIV/0!</v>
      </c>
      <c r="L213" s="106" t="e">
        <f t="shared" si="84"/>
        <v>#DIV/0!</v>
      </c>
      <c r="M213" s="106" t="e">
        <f t="shared" si="84"/>
        <v>#DIV/0!</v>
      </c>
      <c r="N213" s="106" t="e">
        <f t="shared" si="84"/>
        <v>#DIV/0!</v>
      </c>
      <c r="O213" s="106" t="e">
        <f t="shared" si="84"/>
        <v>#DIV/0!</v>
      </c>
      <c r="P213" s="9" t="e">
        <f t="shared" si="84"/>
        <v>#DIV/0!</v>
      </c>
      <c r="Q213" s="137" t="e">
        <f t="shared" si="84"/>
        <v>#DIV/0!</v>
      </c>
      <c r="R213" s="137" t="e">
        <f t="shared" si="84"/>
        <v>#DIV/0!</v>
      </c>
      <c r="S213" s="137" t="e">
        <f t="shared" si="84"/>
        <v>#DIV/0!</v>
      </c>
      <c r="T213" s="137" t="e">
        <f t="shared" si="84"/>
        <v>#DIV/0!</v>
      </c>
      <c r="U213" s="9" t="e">
        <f t="shared" si="84"/>
        <v>#DIV/0!</v>
      </c>
      <c r="V213" s="137" t="e">
        <f t="shared" si="84"/>
        <v>#DIV/0!</v>
      </c>
      <c r="W213" s="137" t="e">
        <f t="shared" si="84"/>
        <v>#DIV/0!</v>
      </c>
      <c r="X213" s="137" t="e">
        <f t="shared" si="84"/>
        <v>#DIV/0!</v>
      </c>
      <c r="Y213" s="137" t="e">
        <f t="shared" si="84"/>
        <v>#DIV/0!</v>
      </c>
      <c r="Z213" s="9" t="e">
        <f t="shared" si="84"/>
        <v>#DIV/0!</v>
      </c>
      <c r="AA213" s="137" t="e">
        <f t="shared" si="84"/>
        <v>#DIV/0!</v>
      </c>
      <c r="AB213" s="137" t="e">
        <f t="shared" si="84"/>
        <v>#DIV/0!</v>
      </c>
      <c r="AC213" s="137" t="e">
        <f t="shared" si="84"/>
        <v>#DIV/0!</v>
      </c>
      <c r="AD213" s="137" t="e">
        <f t="shared" si="84"/>
        <v>#DIV/0!</v>
      </c>
      <c r="AE213" s="9" t="e">
        <f t="shared" si="84"/>
        <v>#DIV/0!</v>
      </c>
      <c r="AF213" s="137" t="e">
        <f t="shared" si="84"/>
        <v>#DIV/0!</v>
      </c>
      <c r="AG213" s="137" t="e">
        <f t="shared" si="84"/>
        <v>#DIV/0!</v>
      </c>
      <c r="AH213" s="137" t="e">
        <f t="shared" si="84"/>
        <v>#DIV/0!</v>
      </c>
      <c r="AI213" s="137" t="e">
        <f t="shared" si="84"/>
        <v>#DIV/0!</v>
      </c>
      <c r="AJ213" s="9" t="e">
        <f t="shared" si="84"/>
        <v>#DIV/0!</v>
      </c>
      <c r="AK213" s="137" t="e">
        <f t="shared" si="84"/>
        <v>#DIV/0!</v>
      </c>
      <c r="AL213" s="137" t="e">
        <f t="shared" si="84"/>
        <v>#DIV/0!</v>
      </c>
      <c r="AM213" s="137" t="e">
        <f t="shared" si="84"/>
        <v>#DIV/0!</v>
      </c>
      <c r="AN213" s="137" t="e">
        <f t="shared" si="84"/>
        <v>#DIV/0!</v>
      </c>
      <c r="AO213" s="9" t="e">
        <f t="shared" si="84"/>
        <v>#DIV/0!</v>
      </c>
      <c r="AP213" s="137" t="e">
        <f t="shared" si="84"/>
        <v>#DIV/0!</v>
      </c>
      <c r="AQ213" s="137" t="e">
        <f t="shared" si="84"/>
        <v>#DIV/0!</v>
      </c>
      <c r="AR213" s="137" t="e">
        <f t="shared" si="84"/>
        <v>#DIV/0!</v>
      </c>
      <c r="AS213" s="137" t="e">
        <f t="shared" si="84"/>
        <v>#DIV/0!</v>
      </c>
      <c r="AT213" s="9" t="e">
        <f t="shared" si="84"/>
        <v>#DIV/0!</v>
      </c>
      <c r="AU213" s="137" t="e">
        <f t="shared" si="84"/>
        <v>#DIV/0!</v>
      </c>
      <c r="AV213" s="137" t="e">
        <f t="shared" si="84"/>
        <v>#DIV/0!</v>
      </c>
      <c r="AW213" s="137" t="e">
        <f t="shared" si="84"/>
        <v>#DIV/0!</v>
      </c>
      <c r="AX213" s="137" t="e">
        <f t="shared" si="84"/>
        <v>#DIV/0!</v>
      </c>
      <c r="AY213" s="106" t="e">
        <f t="shared" si="84"/>
        <v>#DIV/0!</v>
      </c>
    </row>
    <row r="214" spans="1:51">
      <c r="A214" s="128" t="s">
        <v>177</v>
      </c>
      <c r="B214" s="106" t="e">
        <f t="shared" si="84"/>
        <v>#DIV/0!</v>
      </c>
      <c r="C214" s="106" t="e">
        <f t="shared" si="84"/>
        <v>#DIV/0!</v>
      </c>
      <c r="D214" s="106" t="e">
        <f t="shared" si="84"/>
        <v>#DIV/0!</v>
      </c>
      <c r="E214" s="106" t="e">
        <f t="shared" si="84"/>
        <v>#DIV/0!</v>
      </c>
      <c r="F214" s="9" t="e">
        <f t="shared" si="84"/>
        <v>#DIV/0!</v>
      </c>
      <c r="G214" s="106" t="e">
        <f t="shared" si="84"/>
        <v>#DIV/0!</v>
      </c>
      <c r="H214" s="106" t="e">
        <f t="shared" si="84"/>
        <v>#DIV/0!</v>
      </c>
      <c r="I214" s="106" t="e">
        <f t="shared" si="84"/>
        <v>#DIV/0!</v>
      </c>
      <c r="J214" s="106" t="e">
        <f t="shared" si="84"/>
        <v>#DIV/0!</v>
      </c>
      <c r="K214" s="9" t="e">
        <f t="shared" si="84"/>
        <v>#DIV/0!</v>
      </c>
      <c r="L214" s="106" t="e">
        <f t="shared" si="84"/>
        <v>#DIV/0!</v>
      </c>
      <c r="M214" s="106" t="e">
        <f t="shared" si="84"/>
        <v>#DIV/0!</v>
      </c>
      <c r="N214" s="106" t="e">
        <f t="shared" si="84"/>
        <v>#DIV/0!</v>
      </c>
      <c r="O214" s="106" t="e">
        <f t="shared" si="84"/>
        <v>#DIV/0!</v>
      </c>
      <c r="P214" s="9" t="e">
        <f t="shared" si="84"/>
        <v>#DIV/0!</v>
      </c>
      <c r="Q214" s="137" t="e">
        <f t="shared" si="84"/>
        <v>#DIV/0!</v>
      </c>
      <c r="R214" s="137" t="e">
        <f t="shared" si="84"/>
        <v>#DIV/0!</v>
      </c>
      <c r="S214" s="137" t="e">
        <f t="shared" si="84"/>
        <v>#DIV/0!</v>
      </c>
      <c r="T214" s="137" t="e">
        <f t="shared" si="84"/>
        <v>#DIV/0!</v>
      </c>
      <c r="U214" s="9" t="e">
        <f t="shared" si="84"/>
        <v>#DIV/0!</v>
      </c>
      <c r="V214" s="137" t="e">
        <f t="shared" si="84"/>
        <v>#DIV/0!</v>
      </c>
      <c r="W214" s="137" t="e">
        <f t="shared" si="84"/>
        <v>#DIV/0!</v>
      </c>
      <c r="X214" s="137" t="e">
        <f t="shared" si="84"/>
        <v>#DIV/0!</v>
      </c>
      <c r="Y214" s="137" t="e">
        <f t="shared" si="84"/>
        <v>#DIV/0!</v>
      </c>
      <c r="Z214" s="9" t="e">
        <f t="shared" si="84"/>
        <v>#DIV/0!</v>
      </c>
      <c r="AA214" s="137" t="e">
        <f t="shared" si="84"/>
        <v>#DIV/0!</v>
      </c>
      <c r="AB214" s="137" t="e">
        <f t="shared" si="84"/>
        <v>#DIV/0!</v>
      </c>
      <c r="AC214" s="137" t="e">
        <f t="shared" si="84"/>
        <v>#DIV/0!</v>
      </c>
      <c r="AD214" s="137" t="e">
        <f t="shared" si="84"/>
        <v>#DIV/0!</v>
      </c>
      <c r="AE214" s="9" t="e">
        <f t="shared" si="84"/>
        <v>#DIV/0!</v>
      </c>
      <c r="AF214" s="137" t="e">
        <f t="shared" si="84"/>
        <v>#DIV/0!</v>
      </c>
      <c r="AG214" s="137" t="e">
        <f t="shared" si="84"/>
        <v>#DIV/0!</v>
      </c>
      <c r="AH214" s="137" t="e">
        <f t="shared" si="84"/>
        <v>#DIV/0!</v>
      </c>
      <c r="AI214" s="137" t="e">
        <f t="shared" si="84"/>
        <v>#DIV/0!</v>
      </c>
      <c r="AJ214" s="9" t="e">
        <f t="shared" si="84"/>
        <v>#DIV/0!</v>
      </c>
      <c r="AK214" s="137" t="e">
        <f t="shared" si="84"/>
        <v>#DIV/0!</v>
      </c>
      <c r="AL214" s="137" t="e">
        <f t="shared" si="84"/>
        <v>#DIV/0!</v>
      </c>
      <c r="AM214" s="137" t="e">
        <f t="shared" si="84"/>
        <v>#DIV/0!</v>
      </c>
      <c r="AN214" s="137" t="e">
        <f t="shared" si="84"/>
        <v>#DIV/0!</v>
      </c>
      <c r="AO214" s="9" t="e">
        <f t="shared" si="84"/>
        <v>#DIV/0!</v>
      </c>
      <c r="AP214" s="137" t="e">
        <f t="shared" si="84"/>
        <v>#DIV/0!</v>
      </c>
      <c r="AQ214" s="137" t="e">
        <f t="shared" si="84"/>
        <v>#DIV/0!</v>
      </c>
      <c r="AR214" s="137" t="e">
        <f t="shared" si="84"/>
        <v>#DIV/0!</v>
      </c>
      <c r="AS214" s="137" t="e">
        <f t="shared" si="84"/>
        <v>#DIV/0!</v>
      </c>
      <c r="AT214" s="9" t="e">
        <f t="shared" si="84"/>
        <v>#DIV/0!</v>
      </c>
      <c r="AU214" s="137" t="e">
        <f t="shared" si="84"/>
        <v>#DIV/0!</v>
      </c>
      <c r="AV214" s="137" t="e">
        <f t="shared" si="84"/>
        <v>#DIV/0!</v>
      </c>
      <c r="AW214" s="137" t="e">
        <f t="shared" si="84"/>
        <v>#DIV/0!</v>
      </c>
      <c r="AX214" s="137" t="e">
        <f t="shared" si="84"/>
        <v>#DIV/0!</v>
      </c>
      <c r="AY214" s="106" t="e">
        <f t="shared" si="84"/>
        <v>#DIV/0!</v>
      </c>
    </row>
    <row r="215" spans="1:51">
      <c r="A215" s="128" t="s">
        <v>179</v>
      </c>
      <c r="B215" s="106" t="e">
        <f t="shared" si="84"/>
        <v>#DIV/0!</v>
      </c>
      <c r="C215" s="106" t="e">
        <f t="shared" si="84"/>
        <v>#DIV/0!</v>
      </c>
      <c r="D215" s="106" t="e">
        <f t="shared" si="84"/>
        <v>#DIV/0!</v>
      </c>
      <c r="E215" s="106" t="e">
        <f t="shared" si="84"/>
        <v>#DIV/0!</v>
      </c>
      <c r="F215" s="9" t="e">
        <f t="shared" si="84"/>
        <v>#DIV/0!</v>
      </c>
      <c r="G215" s="106" t="e">
        <f t="shared" si="84"/>
        <v>#DIV/0!</v>
      </c>
      <c r="H215" s="106" t="e">
        <f t="shared" si="84"/>
        <v>#DIV/0!</v>
      </c>
      <c r="I215" s="106" t="e">
        <f t="shared" si="84"/>
        <v>#DIV/0!</v>
      </c>
      <c r="J215" s="106" t="e">
        <f t="shared" si="84"/>
        <v>#DIV/0!</v>
      </c>
      <c r="K215" s="9" t="e">
        <f t="shared" si="84"/>
        <v>#DIV/0!</v>
      </c>
      <c r="L215" s="106" t="e">
        <f t="shared" si="84"/>
        <v>#DIV/0!</v>
      </c>
      <c r="M215" s="106" t="e">
        <f t="shared" si="84"/>
        <v>#DIV/0!</v>
      </c>
      <c r="N215" s="106" t="e">
        <f t="shared" si="84"/>
        <v>#DIV/0!</v>
      </c>
      <c r="O215" s="106" t="e">
        <f t="shared" si="84"/>
        <v>#DIV/0!</v>
      </c>
      <c r="P215" s="9" t="e">
        <f t="shared" si="84"/>
        <v>#DIV/0!</v>
      </c>
      <c r="Q215" s="137" t="e">
        <f t="shared" si="84"/>
        <v>#DIV/0!</v>
      </c>
      <c r="R215" s="137" t="e">
        <f t="shared" si="84"/>
        <v>#DIV/0!</v>
      </c>
      <c r="S215" s="137" t="e">
        <f t="shared" si="84"/>
        <v>#DIV/0!</v>
      </c>
      <c r="T215" s="137" t="e">
        <f t="shared" si="84"/>
        <v>#DIV/0!</v>
      </c>
      <c r="U215" s="9" t="e">
        <f t="shared" si="84"/>
        <v>#DIV/0!</v>
      </c>
      <c r="V215" s="137" t="e">
        <f t="shared" si="84"/>
        <v>#DIV/0!</v>
      </c>
      <c r="W215" s="137" t="e">
        <f t="shared" si="84"/>
        <v>#DIV/0!</v>
      </c>
      <c r="X215" s="137" t="e">
        <f t="shared" si="84"/>
        <v>#DIV/0!</v>
      </c>
      <c r="Y215" s="137" t="e">
        <f t="shared" si="84"/>
        <v>#DIV/0!</v>
      </c>
      <c r="Z215" s="9" t="e">
        <f t="shared" si="84"/>
        <v>#DIV/0!</v>
      </c>
      <c r="AA215" s="137" t="e">
        <f t="shared" si="84"/>
        <v>#DIV/0!</v>
      </c>
      <c r="AB215" s="137" t="e">
        <f t="shared" si="84"/>
        <v>#DIV/0!</v>
      </c>
      <c r="AC215" s="137" t="e">
        <f t="shared" si="84"/>
        <v>#DIV/0!</v>
      </c>
      <c r="AD215" s="137" t="e">
        <f t="shared" si="84"/>
        <v>#DIV/0!</v>
      </c>
      <c r="AE215" s="9" t="e">
        <f t="shared" si="84"/>
        <v>#DIV/0!</v>
      </c>
      <c r="AF215" s="137" t="e">
        <f t="shared" si="84"/>
        <v>#DIV/0!</v>
      </c>
      <c r="AG215" s="137" t="e">
        <f t="shared" si="84"/>
        <v>#DIV/0!</v>
      </c>
      <c r="AH215" s="137" t="e">
        <f t="shared" si="84"/>
        <v>#DIV/0!</v>
      </c>
      <c r="AI215" s="137" t="e">
        <f t="shared" si="84"/>
        <v>#DIV/0!</v>
      </c>
      <c r="AJ215" s="9" t="e">
        <f t="shared" si="84"/>
        <v>#DIV/0!</v>
      </c>
      <c r="AK215" s="137" t="e">
        <f t="shared" si="84"/>
        <v>#DIV/0!</v>
      </c>
      <c r="AL215" s="137" t="e">
        <f t="shared" si="84"/>
        <v>#DIV/0!</v>
      </c>
      <c r="AM215" s="137" t="e">
        <f t="shared" si="84"/>
        <v>#DIV/0!</v>
      </c>
      <c r="AN215" s="137" t="e">
        <f t="shared" si="84"/>
        <v>#DIV/0!</v>
      </c>
      <c r="AO215" s="9" t="e">
        <f t="shared" si="84"/>
        <v>#DIV/0!</v>
      </c>
      <c r="AP215" s="137" t="e">
        <f t="shared" si="84"/>
        <v>#DIV/0!</v>
      </c>
      <c r="AQ215" s="137" t="e">
        <f t="shared" si="84"/>
        <v>#DIV/0!</v>
      </c>
      <c r="AR215" s="137" t="e">
        <f t="shared" si="84"/>
        <v>#DIV/0!</v>
      </c>
      <c r="AS215" s="137" t="e">
        <f t="shared" si="84"/>
        <v>#DIV/0!</v>
      </c>
      <c r="AT215" s="9" t="e">
        <f t="shared" si="84"/>
        <v>#DIV/0!</v>
      </c>
      <c r="AU215" s="137" t="e">
        <f t="shared" si="84"/>
        <v>#DIV/0!</v>
      </c>
      <c r="AV215" s="137" t="e">
        <f t="shared" si="84"/>
        <v>#DIV/0!</v>
      </c>
      <c r="AW215" s="137" t="e">
        <f t="shared" si="84"/>
        <v>#DIV/0!</v>
      </c>
      <c r="AX215" s="137" t="e">
        <f t="shared" si="84"/>
        <v>#DIV/0!</v>
      </c>
      <c r="AY215" s="106" t="e">
        <f t="shared" si="84"/>
        <v>#DIV/0!</v>
      </c>
    </row>
    <row r="216" spans="1:51">
      <c r="A216" s="128" t="s">
        <v>181</v>
      </c>
      <c r="B216" s="106" t="e">
        <f t="shared" si="84"/>
        <v>#DIV/0!</v>
      </c>
      <c r="C216" s="106" t="e">
        <f t="shared" si="84"/>
        <v>#DIV/0!</v>
      </c>
      <c r="D216" s="106" t="e">
        <f t="shared" si="84"/>
        <v>#DIV/0!</v>
      </c>
      <c r="E216" s="106" t="e">
        <f t="shared" si="84"/>
        <v>#DIV/0!</v>
      </c>
      <c r="F216" s="9" t="e">
        <f t="shared" si="84"/>
        <v>#DIV/0!</v>
      </c>
      <c r="G216" s="106" t="e">
        <f t="shared" si="84"/>
        <v>#DIV/0!</v>
      </c>
      <c r="H216" s="106" t="e">
        <f t="shared" si="84"/>
        <v>#DIV/0!</v>
      </c>
      <c r="I216" s="106" t="e">
        <f t="shared" si="84"/>
        <v>#DIV/0!</v>
      </c>
      <c r="J216" s="106" t="e">
        <f t="shared" si="84"/>
        <v>#DIV/0!</v>
      </c>
      <c r="K216" s="9" t="e">
        <f t="shared" si="84"/>
        <v>#DIV/0!</v>
      </c>
      <c r="L216" s="106" t="e">
        <f t="shared" si="84"/>
        <v>#DIV/0!</v>
      </c>
      <c r="M216" s="106" t="e">
        <f t="shared" si="84"/>
        <v>#DIV/0!</v>
      </c>
      <c r="N216" s="106" t="e">
        <f t="shared" si="84"/>
        <v>#DIV/0!</v>
      </c>
      <c r="O216" s="106" t="e">
        <f t="shared" si="84"/>
        <v>#DIV/0!</v>
      </c>
      <c r="P216" s="9" t="e">
        <f t="shared" si="84"/>
        <v>#DIV/0!</v>
      </c>
      <c r="Q216" s="137" t="e">
        <f t="shared" si="84"/>
        <v>#DIV/0!</v>
      </c>
      <c r="R216" s="137" t="e">
        <f t="shared" si="84"/>
        <v>#DIV/0!</v>
      </c>
      <c r="S216" s="137" t="e">
        <f t="shared" si="84"/>
        <v>#DIV/0!</v>
      </c>
      <c r="T216" s="137" t="e">
        <f t="shared" si="84"/>
        <v>#DIV/0!</v>
      </c>
      <c r="U216" s="9" t="e">
        <f t="shared" si="84"/>
        <v>#DIV/0!</v>
      </c>
      <c r="V216" s="137" t="e">
        <f t="shared" si="84"/>
        <v>#DIV/0!</v>
      </c>
      <c r="W216" s="137" t="e">
        <f t="shared" si="84"/>
        <v>#DIV/0!</v>
      </c>
      <c r="X216" s="137" t="e">
        <f t="shared" si="84"/>
        <v>#DIV/0!</v>
      </c>
      <c r="Y216" s="137" t="e">
        <f t="shared" si="84"/>
        <v>#DIV/0!</v>
      </c>
      <c r="Z216" s="9" t="e">
        <f t="shared" si="84"/>
        <v>#DIV/0!</v>
      </c>
      <c r="AA216" s="137" t="e">
        <f t="shared" si="84"/>
        <v>#DIV/0!</v>
      </c>
      <c r="AB216" s="137" t="e">
        <f t="shared" si="84"/>
        <v>#DIV/0!</v>
      </c>
      <c r="AC216" s="137" t="e">
        <f t="shared" si="84"/>
        <v>#DIV/0!</v>
      </c>
      <c r="AD216" s="137" t="e">
        <f t="shared" si="84"/>
        <v>#DIV/0!</v>
      </c>
      <c r="AE216" s="9" t="e">
        <f t="shared" si="84"/>
        <v>#DIV/0!</v>
      </c>
      <c r="AF216" s="137" t="e">
        <f t="shared" si="84"/>
        <v>#DIV/0!</v>
      </c>
      <c r="AG216" s="137" t="e">
        <f t="shared" si="84"/>
        <v>#DIV/0!</v>
      </c>
      <c r="AH216" s="137" t="e">
        <f t="shared" si="84"/>
        <v>#DIV/0!</v>
      </c>
      <c r="AI216" s="137" t="e">
        <f t="shared" si="84"/>
        <v>#DIV/0!</v>
      </c>
      <c r="AJ216" s="9" t="e">
        <f t="shared" si="84"/>
        <v>#DIV/0!</v>
      </c>
      <c r="AK216" s="137" t="e">
        <f t="shared" si="84"/>
        <v>#DIV/0!</v>
      </c>
      <c r="AL216" s="137" t="e">
        <f t="shared" si="84"/>
        <v>#DIV/0!</v>
      </c>
      <c r="AM216" s="137" t="e">
        <f t="shared" si="84"/>
        <v>#DIV/0!</v>
      </c>
      <c r="AN216" s="137" t="e">
        <f t="shared" si="84"/>
        <v>#DIV/0!</v>
      </c>
      <c r="AO216" s="9" t="e">
        <f t="shared" si="84"/>
        <v>#DIV/0!</v>
      </c>
      <c r="AP216" s="137" t="e">
        <f t="shared" si="84"/>
        <v>#DIV/0!</v>
      </c>
      <c r="AQ216" s="137" t="e">
        <f t="shared" si="84"/>
        <v>#DIV/0!</v>
      </c>
      <c r="AR216" s="137" t="e">
        <f t="shared" si="84"/>
        <v>#DIV/0!</v>
      </c>
      <c r="AS216" s="137" t="e">
        <f t="shared" si="84"/>
        <v>#DIV/0!</v>
      </c>
      <c r="AT216" s="9" t="e">
        <f t="shared" si="84"/>
        <v>#DIV/0!</v>
      </c>
      <c r="AU216" s="137" t="e">
        <f t="shared" si="84"/>
        <v>#DIV/0!</v>
      </c>
      <c r="AV216" s="137" t="e">
        <f t="shared" si="84"/>
        <v>#DIV/0!</v>
      </c>
      <c r="AW216" s="137" t="e">
        <f t="shared" si="84"/>
        <v>#DIV/0!</v>
      </c>
      <c r="AX216" s="137" t="e">
        <f t="shared" si="84"/>
        <v>#DIV/0!</v>
      </c>
      <c r="AY216" s="106" t="e">
        <f t="shared" si="84"/>
        <v>#DIV/0!</v>
      </c>
    </row>
    <row r="217" spans="1:51">
      <c r="A217" s="128" t="s">
        <v>183</v>
      </c>
      <c r="B217" s="106" t="e">
        <f t="shared" ref="B217:AY220" si="85">B79/B$137</f>
        <v>#DIV/0!</v>
      </c>
      <c r="C217" s="106" t="e">
        <f t="shared" si="85"/>
        <v>#DIV/0!</v>
      </c>
      <c r="D217" s="106" t="e">
        <f t="shared" si="85"/>
        <v>#DIV/0!</v>
      </c>
      <c r="E217" s="106" t="e">
        <f t="shared" si="85"/>
        <v>#DIV/0!</v>
      </c>
      <c r="F217" s="9" t="e">
        <f t="shared" si="85"/>
        <v>#DIV/0!</v>
      </c>
      <c r="G217" s="106" t="e">
        <f t="shared" si="85"/>
        <v>#DIV/0!</v>
      </c>
      <c r="H217" s="106" t="e">
        <f t="shared" si="85"/>
        <v>#DIV/0!</v>
      </c>
      <c r="I217" s="106" t="e">
        <f t="shared" si="85"/>
        <v>#DIV/0!</v>
      </c>
      <c r="J217" s="106" t="e">
        <f t="shared" si="85"/>
        <v>#DIV/0!</v>
      </c>
      <c r="K217" s="9" t="e">
        <f t="shared" si="85"/>
        <v>#DIV/0!</v>
      </c>
      <c r="L217" s="106" t="e">
        <f t="shared" si="85"/>
        <v>#DIV/0!</v>
      </c>
      <c r="M217" s="106" t="e">
        <f t="shared" si="85"/>
        <v>#DIV/0!</v>
      </c>
      <c r="N217" s="106" t="e">
        <f t="shared" si="85"/>
        <v>#DIV/0!</v>
      </c>
      <c r="O217" s="106" t="e">
        <f t="shared" si="85"/>
        <v>#DIV/0!</v>
      </c>
      <c r="P217" s="9" t="e">
        <f t="shared" si="85"/>
        <v>#DIV/0!</v>
      </c>
      <c r="Q217" s="137" t="e">
        <f t="shared" si="85"/>
        <v>#DIV/0!</v>
      </c>
      <c r="R217" s="137" t="e">
        <f t="shared" si="85"/>
        <v>#DIV/0!</v>
      </c>
      <c r="S217" s="137" t="e">
        <f t="shared" si="85"/>
        <v>#DIV/0!</v>
      </c>
      <c r="T217" s="137" t="e">
        <f t="shared" si="85"/>
        <v>#DIV/0!</v>
      </c>
      <c r="U217" s="9" t="e">
        <f t="shared" si="85"/>
        <v>#DIV/0!</v>
      </c>
      <c r="V217" s="137" t="e">
        <f t="shared" si="85"/>
        <v>#DIV/0!</v>
      </c>
      <c r="W217" s="137" t="e">
        <f t="shared" si="85"/>
        <v>#DIV/0!</v>
      </c>
      <c r="X217" s="137" t="e">
        <f t="shared" si="85"/>
        <v>#DIV/0!</v>
      </c>
      <c r="Y217" s="137" t="e">
        <f t="shared" si="85"/>
        <v>#DIV/0!</v>
      </c>
      <c r="Z217" s="9" t="e">
        <f t="shared" si="85"/>
        <v>#DIV/0!</v>
      </c>
      <c r="AA217" s="137" t="e">
        <f t="shared" si="85"/>
        <v>#DIV/0!</v>
      </c>
      <c r="AB217" s="137" t="e">
        <f t="shared" si="85"/>
        <v>#DIV/0!</v>
      </c>
      <c r="AC217" s="137" t="e">
        <f t="shared" si="85"/>
        <v>#DIV/0!</v>
      </c>
      <c r="AD217" s="137" t="e">
        <f t="shared" si="85"/>
        <v>#DIV/0!</v>
      </c>
      <c r="AE217" s="9" t="e">
        <f t="shared" si="85"/>
        <v>#DIV/0!</v>
      </c>
      <c r="AF217" s="137" t="e">
        <f t="shared" si="85"/>
        <v>#DIV/0!</v>
      </c>
      <c r="AG217" s="137" t="e">
        <f t="shared" si="85"/>
        <v>#DIV/0!</v>
      </c>
      <c r="AH217" s="137" t="e">
        <f t="shared" si="85"/>
        <v>#DIV/0!</v>
      </c>
      <c r="AI217" s="137" t="e">
        <f t="shared" si="85"/>
        <v>#DIV/0!</v>
      </c>
      <c r="AJ217" s="9" t="e">
        <f t="shared" si="85"/>
        <v>#DIV/0!</v>
      </c>
      <c r="AK217" s="137" t="e">
        <f t="shared" si="85"/>
        <v>#DIV/0!</v>
      </c>
      <c r="AL217" s="137" t="e">
        <f t="shared" si="85"/>
        <v>#DIV/0!</v>
      </c>
      <c r="AM217" s="137" t="e">
        <f t="shared" si="85"/>
        <v>#DIV/0!</v>
      </c>
      <c r="AN217" s="137" t="e">
        <f t="shared" si="85"/>
        <v>#DIV/0!</v>
      </c>
      <c r="AO217" s="9" t="e">
        <f t="shared" si="85"/>
        <v>#DIV/0!</v>
      </c>
      <c r="AP217" s="137" t="e">
        <f t="shared" si="85"/>
        <v>#DIV/0!</v>
      </c>
      <c r="AQ217" s="137" t="e">
        <f t="shared" si="85"/>
        <v>#DIV/0!</v>
      </c>
      <c r="AR217" s="137" t="e">
        <f t="shared" si="85"/>
        <v>#DIV/0!</v>
      </c>
      <c r="AS217" s="137" t="e">
        <f t="shared" si="85"/>
        <v>#DIV/0!</v>
      </c>
      <c r="AT217" s="9" t="e">
        <f t="shared" si="85"/>
        <v>#DIV/0!</v>
      </c>
      <c r="AU217" s="137" t="e">
        <f t="shared" si="85"/>
        <v>#DIV/0!</v>
      </c>
      <c r="AV217" s="137" t="e">
        <f t="shared" si="85"/>
        <v>#DIV/0!</v>
      </c>
      <c r="AW217" s="137" t="e">
        <f t="shared" si="85"/>
        <v>#DIV/0!</v>
      </c>
      <c r="AX217" s="137" t="e">
        <f t="shared" si="85"/>
        <v>#DIV/0!</v>
      </c>
      <c r="AY217" s="106" t="e">
        <f t="shared" si="85"/>
        <v>#DIV/0!</v>
      </c>
    </row>
    <row r="218" spans="1:51">
      <c r="A218" s="128" t="s">
        <v>185</v>
      </c>
      <c r="B218" s="106" t="e">
        <f t="shared" si="85"/>
        <v>#DIV/0!</v>
      </c>
      <c r="C218" s="106" t="e">
        <f t="shared" si="85"/>
        <v>#DIV/0!</v>
      </c>
      <c r="D218" s="106" t="e">
        <f t="shared" si="85"/>
        <v>#DIV/0!</v>
      </c>
      <c r="E218" s="106" t="e">
        <f t="shared" si="85"/>
        <v>#DIV/0!</v>
      </c>
      <c r="F218" s="9" t="e">
        <f t="shared" si="85"/>
        <v>#DIV/0!</v>
      </c>
      <c r="G218" s="106" t="e">
        <f t="shared" si="85"/>
        <v>#DIV/0!</v>
      </c>
      <c r="H218" s="106" t="e">
        <f t="shared" si="85"/>
        <v>#DIV/0!</v>
      </c>
      <c r="I218" s="106" t="e">
        <f t="shared" si="85"/>
        <v>#DIV/0!</v>
      </c>
      <c r="J218" s="106" t="e">
        <f t="shared" si="85"/>
        <v>#DIV/0!</v>
      </c>
      <c r="K218" s="9" t="e">
        <f t="shared" si="85"/>
        <v>#DIV/0!</v>
      </c>
      <c r="L218" s="106" t="e">
        <f t="shared" si="85"/>
        <v>#DIV/0!</v>
      </c>
      <c r="M218" s="106" t="e">
        <f t="shared" si="85"/>
        <v>#DIV/0!</v>
      </c>
      <c r="N218" s="106" t="e">
        <f t="shared" si="85"/>
        <v>#DIV/0!</v>
      </c>
      <c r="O218" s="106" t="e">
        <f t="shared" si="85"/>
        <v>#DIV/0!</v>
      </c>
      <c r="P218" s="9" t="e">
        <f t="shared" si="85"/>
        <v>#DIV/0!</v>
      </c>
      <c r="Q218" s="137" t="e">
        <f t="shared" si="85"/>
        <v>#DIV/0!</v>
      </c>
      <c r="R218" s="137" t="e">
        <f t="shared" si="85"/>
        <v>#DIV/0!</v>
      </c>
      <c r="S218" s="137" t="e">
        <f t="shared" si="85"/>
        <v>#DIV/0!</v>
      </c>
      <c r="T218" s="137" t="e">
        <f t="shared" si="85"/>
        <v>#DIV/0!</v>
      </c>
      <c r="U218" s="9" t="e">
        <f t="shared" si="85"/>
        <v>#DIV/0!</v>
      </c>
      <c r="V218" s="137" t="e">
        <f t="shared" si="85"/>
        <v>#DIV/0!</v>
      </c>
      <c r="W218" s="137" t="e">
        <f t="shared" si="85"/>
        <v>#DIV/0!</v>
      </c>
      <c r="X218" s="137" t="e">
        <f t="shared" si="85"/>
        <v>#DIV/0!</v>
      </c>
      <c r="Y218" s="137" t="e">
        <f t="shared" si="85"/>
        <v>#DIV/0!</v>
      </c>
      <c r="Z218" s="9" t="e">
        <f t="shared" si="85"/>
        <v>#DIV/0!</v>
      </c>
      <c r="AA218" s="137" t="e">
        <f t="shared" si="85"/>
        <v>#DIV/0!</v>
      </c>
      <c r="AB218" s="137" t="e">
        <f t="shared" si="85"/>
        <v>#DIV/0!</v>
      </c>
      <c r="AC218" s="137" t="e">
        <f t="shared" si="85"/>
        <v>#DIV/0!</v>
      </c>
      <c r="AD218" s="137" t="e">
        <f t="shared" si="85"/>
        <v>#DIV/0!</v>
      </c>
      <c r="AE218" s="9" t="e">
        <f t="shared" si="85"/>
        <v>#DIV/0!</v>
      </c>
      <c r="AF218" s="137" t="e">
        <f t="shared" si="85"/>
        <v>#DIV/0!</v>
      </c>
      <c r="AG218" s="137" t="e">
        <f t="shared" si="85"/>
        <v>#DIV/0!</v>
      </c>
      <c r="AH218" s="137" t="e">
        <f t="shared" si="85"/>
        <v>#DIV/0!</v>
      </c>
      <c r="AI218" s="137" t="e">
        <f t="shared" si="85"/>
        <v>#DIV/0!</v>
      </c>
      <c r="AJ218" s="9" t="e">
        <f t="shared" si="85"/>
        <v>#DIV/0!</v>
      </c>
      <c r="AK218" s="137" t="e">
        <f t="shared" si="85"/>
        <v>#DIV/0!</v>
      </c>
      <c r="AL218" s="137" t="e">
        <f t="shared" si="85"/>
        <v>#DIV/0!</v>
      </c>
      <c r="AM218" s="137" t="e">
        <f t="shared" si="85"/>
        <v>#DIV/0!</v>
      </c>
      <c r="AN218" s="137" t="e">
        <f t="shared" si="85"/>
        <v>#DIV/0!</v>
      </c>
      <c r="AO218" s="9" t="e">
        <f t="shared" si="85"/>
        <v>#DIV/0!</v>
      </c>
      <c r="AP218" s="137" t="e">
        <f t="shared" si="85"/>
        <v>#DIV/0!</v>
      </c>
      <c r="AQ218" s="137" t="e">
        <f t="shared" si="85"/>
        <v>#DIV/0!</v>
      </c>
      <c r="AR218" s="137" t="e">
        <f t="shared" si="85"/>
        <v>#DIV/0!</v>
      </c>
      <c r="AS218" s="137" t="e">
        <f t="shared" si="85"/>
        <v>#DIV/0!</v>
      </c>
      <c r="AT218" s="9" t="e">
        <f t="shared" si="85"/>
        <v>#DIV/0!</v>
      </c>
      <c r="AU218" s="137" t="e">
        <f t="shared" si="85"/>
        <v>#DIV/0!</v>
      </c>
      <c r="AV218" s="137" t="e">
        <f t="shared" si="85"/>
        <v>#DIV/0!</v>
      </c>
      <c r="AW218" s="137" t="e">
        <f t="shared" si="85"/>
        <v>#DIV/0!</v>
      </c>
      <c r="AX218" s="137" t="e">
        <f t="shared" si="85"/>
        <v>#DIV/0!</v>
      </c>
      <c r="AY218" s="106" t="e">
        <f t="shared" si="85"/>
        <v>#DIV/0!</v>
      </c>
    </row>
    <row r="219" spans="1:51">
      <c r="A219" s="128" t="s">
        <v>187</v>
      </c>
      <c r="B219" s="106" t="e">
        <f t="shared" si="85"/>
        <v>#DIV/0!</v>
      </c>
      <c r="C219" s="106" t="e">
        <f t="shared" si="85"/>
        <v>#DIV/0!</v>
      </c>
      <c r="D219" s="106" t="e">
        <f t="shared" si="85"/>
        <v>#DIV/0!</v>
      </c>
      <c r="E219" s="106" t="e">
        <f t="shared" si="85"/>
        <v>#DIV/0!</v>
      </c>
      <c r="F219" s="9" t="e">
        <f t="shared" si="85"/>
        <v>#DIV/0!</v>
      </c>
      <c r="G219" s="106" t="e">
        <f t="shared" si="85"/>
        <v>#DIV/0!</v>
      </c>
      <c r="H219" s="106" t="e">
        <f t="shared" si="85"/>
        <v>#DIV/0!</v>
      </c>
      <c r="I219" s="106" t="e">
        <f t="shared" si="85"/>
        <v>#DIV/0!</v>
      </c>
      <c r="J219" s="106" t="e">
        <f t="shared" si="85"/>
        <v>#DIV/0!</v>
      </c>
      <c r="K219" s="9" t="e">
        <f t="shared" si="85"/>
        <v>#DIV/0!</v>
      </c>
      <c r="L219" s="106" t="e">
        <f t="shared" si="85"/>
        <v>#DIV/0!</v>
      </c>
      <c r="M219" s="106" t="e">
        <f t="shared" si="85"/>
        <v>#DIV/0!</v>
      </c>
      <c r="N219" s="106" t="e">
        <f t="shared" si="85"/>
        <v>#DIV/0!</v>
      </c>
      <c r="O219" s="106" t="e">
        <f t="shared" si="85"/>
        <v>#DIV/0!</v>
      </c>
      <c r="P219" s="9" t="e">
        <f t="shared" si="85"/>
        <v>#DIV/0!</v>
      </c>
      <c r="Q219" s="137" t="e">
        <f t="shared" si="85"/>
        <v>#DIV/0!</v>
      </c>
      <c r="R219" s="137" t="e">
        <f t="shared" si="85"/>
        <v>#DIV/0!</v>
      </c>
      <c r="S219" s="137" t="e">
        <f t="shared" si="85"/>
        <v>#DIV/0!</v>
      </c>
      <c r="T219" s="137" t="e">
        <f t="shared" si="85"/>
        <v>#DIV/0!</v>
      </c>
      <c r="U219" s="9" t="e">
        <f t="shared" si="85"/>
        <v>#DIV/0!</v>
      </c>
      <c r="V219" s="137" t="e">
        <f t="shared" si="85"/>
        <v>#DIV/0!</v>
      </c>
      <c r="W219" s="137" t="e">
        <f t="shared" si="85"/>
        <v>#DIV/0!</v>
      </c>
      <c r="X219" s="137" t="e">
        <f t="shared" si="85"/>
        <v>#DIV/0!</v>
      </c>
      <c r="Y219" s="137" t="e">
        <f t="shared" si="85"/>
        <v>#DIV/0!</v>
      </c>
      <c r="Z219" s="9" t="e">
        <f t="shared" si="85"/>
        <v>#DIV/0!</v>
      </c>
      <c r="AA219" s="137" t="e">
        <f t="shared" si="85"/>
        <v>#DIV/0!</v>
      </c>
      <c r="AB219" s="137" t="e">
        <f t="shared" si="85"/>
        <v>#DIV/0!</v>
      </c>
      <c r="AC219" s="137" t="e">
        <f t="shared" si="85"/>
        <v>#DIV/0!</v>
      </c>
      <c r="AD219" s="137" t="e">
        <f t="shared" si="85"/>
        <v>#DIV/0!</v>
      </c>
      <c r="AE219" s="9" t="e">
        <f t="shared" si="85"/>
        <v>#DIV/0!</v>
      </c>
      <c r="AF219" s="137" t="e">
        <f t="shared" si="85"/>
        <v>#DIV/0!</v>
      </c>
      <c r="AG219" s="137" t="e">
        <f t="shared" si="85"/>
        <v>#DIV/0!</v>
      </c>
      <c r="AH219" s="137" t="e">
        <f t="shared" si="85"/>
        <v>#DIV/0!</v>
      </c>
      <c r="AI219" s="137" t="e">
        <f t="shared" si="85"/>
        <v>#DIV/0!</v>
      </c>
      <c r="AJ219" s="9" t="e">
        <f t="shared" si="85"/>
        <v>#DIV/0!</v>
      </c>
      <c r="AK219" s="137" t="e">
        <f t="shared" si="85"/>
        <v>#DIV/0!</v>
      </c>
      <c r="AL219" s="137" t="e">
        <f t="shared" si="85"/>
        <v>#DIV/0!</v>
      </c>
      <c r="AM219" s="137" t="e">
        <f t="shared" si="85"/>
        <v>#DIV/0!</v>
      </c>
      <c r="AN219" s="137" t="e">
        <f t="shared" si="85"/>
        <v>#DIV/0!</v>
      </c>
      <c r="AO219" s="9" t="e">
        <f t="shared" si="85"/>
        <v>#DIV/0!</v>
      </c>
      <c r="AP219" s="137" t="e">
        <f t="shared" si="85"/>
        <v>#DIV/0!</v>
      </c>
      <c r="AQ219" s="137" t="e">
        <f t="shared" si="85"/>
        <v>#DIV/0!</v>
      </c>
      <c r="AR219" s="137" t="e">
        <f t="shared" si="85"/>
        <v>#DIV/0!</v>
      </c>
      <c r="AS219" s="137" t="e">
        <f t="shared" si="85"/>
        <v>#DIV/0!</v>
      </c>
      <c r="AT219" s="9" t="e">
        <f t="shared" si="85"/>
        <v>#DIV/0!</v>
      </c>
      <c r="AU219" s="137" t="e">
        <f t="shared" si="85"/>
        <v>#DIV/0!</v>
      </c>
      <c r="AV219" s="137" t="e">
        <f t="shared" si="85"/>
        <v>#DIV/0!</v>
      </c>
      <c r="AW219" s="137" t="e">
        <f t="shared" si="85"/>
        <v>#DIV/0!</v>
      </c>
      <c r="AX219" s="137" t="e">
        <f t="shared" si="85"/>
        <v>#DIV/0!</v>
      </c>
      <c r="AY219" s="106" t="e">
        <f t="shared" si="85"/>
        <v>#DIV/0!</v>
      </c>
    </row>
    <row r="220" spans="1:51">
      <c r="A220" s="128" t="s">
        <v>189</v>
      </c>
      <c r="B220" s="106" t="e">
        <f t="shared" si="85"/>
        <v>#DIV/0!</v>
      </c>
      <c r="C220" s="106" t="e">
        <f t="shared" si="85"/>
        <v>#DIV/0!</v>
      </c>
      <c r="D220" s="106" t="e">
        <f t="shared" si="85"/>
        <v>#DIV/0!</v>
      </c>
      <c r="E220" s="106" t="e">
        <f t="shared" si="85"/>
        <v>#DIV/0!</v>
      </c>
      <c r="F220" s="9" t="e">
        <f t="shared" si="85"/>
        <v>#DIV/0!</v>
      </c>
      <c r="G220" s="106" t="e">
        <f t="shared" si="85"/>
        <v>#DIV/0!</v>
      </c>
      <c r="H220" s="106" t="e">
        <f t="shared" si="85"/>
        <v>#DIV/0!</v>
      </c>
      <c r="I220" s="106" t="e">
        <f t="shared" si="85"/>
        <v>#DIV/0!</v>
      </c>
      <c r="J220" s="106" t="e">
        <f t="shared" si="85"/>
        <v>#DIV/0!</v>
      </c>
      <c r="K220" s="9" t="e">
        <f t="shared" si="85"/>
        <v>#DIV/0!</v>
      </c>
      <c r="L220" s="106" t="e">
        <f t="shared" si="85"/>
        <v>#DIV/0!</v>
      </c>
      <c r="M220" s="106" t="e">
        <f t="shared" si="85"/>
        <v>#DIV/0!</v>
      </c>
      <c r="N220" s="106" t="e">
        <f t="shared" si="85"/>
        <v>#DIV/0!</v>
      </c>
      <c r="O220" s="106" t="e">
        <f t="shared" si="85"/>
        <v>#DIV/0!</v>
      </c>
      <c r="P220" s="9" t="e">
        <f t="shared" si="85"/>
        <v>#DIV/0!</v>
      </c>
      <c r="Q220" s="137" t="e">
        <f t="shared" si="85"/>
        <v>#DIV/0!</v>
      </c>
      <c r="R220" s="137" t="e">
        <f t="shared" si="85"/>
        <v>#DIV/0!</v>
      </c>
      <c r="S220" s="137" t="e">
        <f t="shared" si="85"/>
        <v>#DIV/0!</v>
      </c>
      <c r="T220" s="137" t="e">
        <f t="shared" si="85"/>
        <v>#DIV/0!</v>
      </c>
      <c r="U220" s="9" t="e">
        <f t="shared" si="85"/>
        <v>#DIV/0!</v>
      </c>
      <c r="V220" s="137" t="e">
        <f t="shared" si="85"/>
        <v>#DIV/0!</v>
      </c>
      <c r="W220" s="137" t="e">
        <f t="shared" si="85"/>
        <v>#DIV/0!</v>
      </c>
      <c r="X220" s="137" t="e">
        <f t="shared" si="85"/>
        <v>#DIV/0!</v>
      </c>
      <c r="Y220" s="137" t="e">
        <f t="shared" si="85"/>
        <v>#DIV/0!</v>
      </c>
      <c r="Z220" s="9" t="e">
        <f t="shared" si="85"/>
        <v>#DIV/0!</v>
      </c>
      <c r="AA220" s="137" t="e">
        <f t="shared" si="85"/>
        <v>#DIV/0!</v>
      </c>
      <c r="AB220" s="137" t="e">
        <f t="shared" si="85"/>
        <v>#DIV/0!</v>
      </c>
      <c r="AC220" s="137" t="e">
        <f t="shared" si="85"/>
        <v>#DIV/0!</v>
      </c>
      <c r="AD220" s="137" t="e">
        <f t="shared" si="85"/>
        <v>#DIV/0!</v>
      </c>
      <c r="AE220" s="9" t="e">
        <f t="shared" si="85"/>
        <v>#DIV/0!</v>
      </c>
      <c r="AF220" s="137" t="e">
        <f t="shared" si="85"/>
        <v>#DIV/0!</v>
      </c>
      <c r="AG220" s="137" t="e">
        <f t="shared" si="85"/>
        <v>#DIV/0!</v>
      </c>
      <c r="AH220" s="137" t="e">
        <f t="shared" si="85"/>
        <v>#DIV/0!</v>
      </c>
      <c r="AI220" s="137" t="e">
        <f t="shared" si="85"/>
        <v>#DIV/0!</v>
      </c>
      <c r="AJ220" s="9" t="e">
        <f t="shared" si="85"/>
        <v>#DIV/0!</v>
      </c>
      <c r="AK220" s="137" t="e">
        <f t="shared" si="85"/>
        <v>#DIV/0!</v>
      </c>
      <c r="AL220" s="137" t="e">
        <f t="shared" si="85"/>
        <v>#DIV/0!</v>
      </c>
      <c r="AM220" s="137" t="e">
        <f t="shared" si="85"/>
        <v>#DIV/0!</v>
      </c>
      <c r="AN220" s="137" t="e">
        <f t="shared" si="85"/>
        <v>#DIV/0!</v>
      </c>
      <c r="AO220" s="9" t="e">
        <f t="shared" si="85"/>
        <v>#DIV/0!</v>
      </c>
      <c r="AP220" s="137" t="e">
        <f t="shared" si="85"/>
        <v>#DIV/0!</v>
      </c>
      <c r="AQ220" s="137" t="e">
        <f t="shared" si="85"/>
        <v>#DIV/0!</v>
      </c>
      <c r="AR220" s="137" t="e">
        <f t="shared" si="85"/>
        <v>#DIV/0!</v>
      </c>
      <c r="AS220" s="137" t="e">
        <f t="shared" si="85"/>
        <v>#DIV/0!</v>
      </c>
      <c r="AT220" s="9" t="e">
        <f t="shared" si="85"/>
        <v>#DIV/0!</v>
      </c>
      <c r="AU220" s="137" t="e">
        <f t="shared" si="85"/>
        <v>#DIV/0!</v>
      </c>
      <c r="AV220" s="137" t="e">
        <f t="shared" si="85"/>
        <v>#DIV/0!</v>
      </c>
      <c r="AW220" s="137" t="e">
        <f t="shared" si="85"/>
        <v>#DIV/0!</v>
      </c>
      <c r="AX220" s="137" t="e">
        <f t="shared" si="85"/>
        <v>#DIV/0!</v>
      </c>
      <c r="AY220" s="106" t="e">
        <f t="shared" si="85"/>
        <v>#DIV/0!</v>
      </c>
    </row>
    <row r="221" spans="1:51">
      <c r="A221" s="128" t="s">
        <v>191</v>
      </c>
      <c r="B221" s="106" t="e">
        <f t="shared" ref="B221:AY224" si="86">B83/B$137</f>
        <v>#DIV/0!</v>
      </c>
      <c r="C221" s="106" t="e">
        <f t="shared" si="86"/>
        <v>#DIV/0!</v>
      </c>
      <c r="D221" s="106" t="e">
        <f t="shared" si="86"/>
        <v>#DIV/0!</v>
      </c>
      <c r="E221" s="106" t="e">
        <f t="shared" si="86"/>
        <v>#DIV/0!</v>
      </c>
      <c r="F221" s="9" t="e">
        <f t="shared" si="86"/>
        <v>#DIV/0!</v>
      </c>
      <c r="G221" s="106" t="e">
        <f t="shared" si="86"/>
        <v>#DIV/0!</v>
      </c>
      <c r="H221" s="106" t="e">
        <f t="shared" si="86"/>
        <v>#DIV/0!</v>
      </c>
      <c r="I221" s="106" t="e">
        <f t="shared" si="86"/>
        <v>#DIV/0!</v>
      </c>
      <c r="J221" s="106" t="e">
        <f t="shared" si="86"/>
        <v>#DIV/0!</v>
      </c>
      <c r="K221" s="9" t="e">
        <f t="shared" si="86"/>
        <v>#DIV/0!</v>
      </c>
      <c r="L221" s="106" t="e">
        <f t="shared" si="86"/>
        <v>#DIV/0!</v>
      </c>
      <c r="M221" s="106" t="e">
        <f t="shared" si="86"/>
        <v>#DIV/0!</v>
      </c>
      <c r="N221" s="106" t="e">
        <f t="shared" si="86"/>
        <v>#DIV/0!</v>
      </c>
      <c r="O221" s="106" t="e">
        <f t="shared" si="86"/>
        <v>#DIV/0!</v>
      </c>
      <c r="P221" s="9" t="e">
        <f t="shared" si="86"/>
        <v>#DIV/0!</v>
      </c>
      <c r="Q221" s="137" t="e">
        <f t="shared" si="86"/>
        <v>#DIV/0!</v>
      </c>
      <c r="R221" s="137" t="e">
        <f t="shared" si="86"/>
        <v>#DIV/0!</v>
      </c>
      <c r="S221" s="137" t="e">
        <f t="shared" si="86"/>
        <v>#DIV/0!</v>
      </c>
      <c r="T221" s="137" t="e">
        <f t="shared" si="86"/>
        <v>#DIV/0!</v>
      </c>
      <c r="U221" s="9" t="e">
        <f t="shared" si="86"/>
        <v>#DIV/0!</v>
      </c>
      <c r="V221" s="137" t="e">
        <f t="shared" si="86"/>
        <v>#DIV/0!</v>
      </c>
      <c r="W221" s="137" t="e">
        <f t="shared" si="86"/>
        <v>#DIV/0!</v>
      </c>
      <c r="X221" s="137" t="e">
        <f t="shared" si="86"/>
        <v>#DIV/0!</v>
      </c>
      <c r="Y221" s="137" t="e">
        <f t="shared" si="86"/>
        <v>#DIV/0!</v>
      </c>
      <c r="Z221" s="9" t="e">
        <f t="shared" si="86"/>
        <v>#DIV/0!</v>
      </c>
      <c r="AA221" s="137" t="e">
        <f t="shared" si="86"/>
        <v>#DIV/0!</v>
      </c>
      <c r="AB221" s="137" t="e">
        <f t="shared" si="86"/>
        <v>#DIV/0!</v>
      </c>
      <c r="AC221" s="137" t="e">
        <f t="shared" si="86"/>
        <v>#DIV/0!</v>
      </c>
      <c r="AD221" s="137" t="e">
        <f t="shared" si="86"/>
        <v>#DIV/0!</v>
      </c>
      <c r="AE221" s="9" t="e">
        <f t="shared" si="86"/>
        <v>#DIV/0!</v>
      </c>
      <c r="AF221" s="137" t="e">
        <f t="shared" si="86"/>
        <v>#DIV/0!</v>
      </c>
      <c r="AG221" s="137" t="e">
        <f t="shared" si="86"/>
        <v>#DIV/0!</v>
      </c>
      <c r="AH221" s="137" t="e">
        <f t="shared" si="86"/>
        <v>#DIV/0!</v>
      </c>
      <c r="AI221" s="137" t="e">
        <f t="shared" si="86"/>
        <v>#DIV/0!</v>
      </c>
      <c r="AJ221" s="9" t="e">
        <f t="shared" si="86"/>
        <v>#DIV/0!</v>
      </c>
      <c r="AK221" s="137" t="e">
        <f t="shared" si="86"/>
        <v>#DIV/0!</v>
      </c>
      <c r="AL221" s="137" t="e">
        <f t="shared" si="86"/>
        <v>#DIV/0!</v>
      </c>
      <c r="AM221" s="137" t="e">
        <f t="shared" si="86"/>
        <v>#DIV/0!</v>
      </c>
      <c r="AN221" s="137" t="e">
        <f t="shared" si="86"/>
        <v>#DIV/0!</v>
      </c>
      <c r="AO221" s="9" t="e">
        <f t="shared" si="86"/>
        <v>#DIV/0!</v>
      </c>
      <c r="AP221" s="137" t="e">
        <f t="shared" si="86"/>
        <v>#DIV/0!</v>
      </c>
      <c r="AQ221" s="137" t="e">
        <f t="shared" si="86"/>
        <v>#DIV/0!</v>
      </c>
      <c r="AR221" s="137" t="e">
        <f t="shared" si="86"/>
        <v>#DIV/0!</v>
      </c>
      <c r="AS221" s="137" t="e">
        <f t="shared" si="86"/>
        <v>#DIV/0!</v>
      </c>
      <c r="AT221" s="9" t="e">
        <f t="shared" si="86"/>
        <v>#DIV/0!</v>
      </c>
      <c r="AU221" s="137" t="e">
        <f t="shared" si="86"/>
        <v>#DIV/0!</v>
      </c>
      <c r="AV221" s="137" t="e">
        <f t="shared" si="86"/>
        <v>#DIV/0!</v>
      </c>
      <c r="AW221" s="137" t="e">
        <f t="shared" si="86"/>
        <v>#DIV/0!</v>
      </c>
      <c r="AX221" s="137" t="e">
        <f t="shared" si="86"/>
        <v>#DIV/0!</v>
      </c>
      <c r="AY221" s="106" t="e">
        <f t="shared" si="86"/>
        <v>#DIV/0!</v>
      </c>
    </row>
    <row r="222" spans="1:51">
      <c r="A222" s="128" t="s">
        <v>193</v>
      </c>
      <c r="B222" s="106" t="e">
        <f t="shared" si="86"/>
        <v>#DIV/0!</v>
      </c>
      <c r="C222" s="106" t="e">
        <f t="shared" si="86"/>
        <v>#DIV/0!</v>
      </c>
      <c r="D222" s="106" t="e">
        <f t="shared" si="86"/>
        <v>#DIV/0!</v>
      </c>
      <c r="E222" s="106" t="e">
        <f t="shared" si="86"/>
        <v>#DIV/0!</v>
      </c>
      <c r="F222" s="9" t="e">
        <f t="shared" si="86"/>
        <v>#DIV/0!</v>
      </c>
      <c r="G222" s="106" t="e">
        <f t="shared" si="86"/>
        <v>#DIV/0!</v>
      </c>
      <c r="H222" s="106" t="e">
        <f t="shared" si="86"/>
        <v>#DIV/0!</v>
      </c>
      <c r="I222" s="106" t="e">
        <f t="shared" si="86"/>
        <v>#DIV/0!</v>
      </c>
      <c r="J222" s="106" t="e">
        <f t="shared" si="86"/>
        <v>#DIV/0!</v>
      </c>
      <c r="K222" s="9" t="e">
        <f t="shared" si="86"/>
        <v>#DIV/0!</v>
      </c>
      <c r="L222" s="106" t="e">
        <f t="shared" si="86"/>
        <v>#DIV/0!</v>
      </c>
      <c r="M222" s="106" t="e">
        <f t="shared" si="86"/>
        <v>#DIV/0!</v>
      </c>
      <c r="N222" s="106" t="e">
        <f t="shared" si="86"/>
        <v>#DIV/0!</v>
      </c>
      <c r="O222" s="106" t="e">
        <f t="shared" si="86"/>
        <v>#DIV/0!</v>
      </c>
      <c r="P222" s="9" t="e">
        <f t="shared" si="86"/>
        <v>#DIV/0!</v>
      </c>
      <c r="Q222" s="137" t="e">
        <f t="shared" si="86"/>
        <v>#DIV/0!</v>
      </c>
      <c r="R222" s="137" t="e">
        <f t="shared" si="86"/>
        <v>#DIV/0!</v>
      </c>
      <c r="S222" s="137" t="e">
        <f t="shared" si="86"/>
        <v>#DIV/0!</v>
      </c>
      <c r="T222" s="137" t="e">
        <f t="shared" si="86"/>
        <v>#DIV/0!</v>
      </c>
      <c r="U222" s="9" t="e">
        <f t="shared" si="86"/>
        <v>#DIV/0!</v>
      </c>
      <c r="V222" s="137" t="e">
        <f t="shared" si="86"/>
        <v>#DIV/0!</v>
      </c>
      <c r="W222" s="137" t="e">
        <f t="shared" si="86"/>
        <v>#DIV/0!</v>
      </c>
      <c r="X222" s="137" t="e">
        <f t="shared" si="86"/>
        <v>#DIV/0!</v>
      </c>
      <c r="Y222" s="137" t="e">
        <f t="shared" si="86"/>
        <v>#DIV/0!</v>
      </c>
      <c r="Z222" s="9" t="e">
        <f t="shared" si="86"/>
        <v>#DIV/0!</v>
      </c>
      <c r="AA222" s="137" t="e">
        <f t="shared" si="86"/>
        <v>#DIV/0!</v>
      </c>
      <c r="AB222" s="137" t="e">
        <f t="shared" si="86"/>
        <v>#DIV/0!</v>
      </c>
      <c r="AC222" s="137" t="e">
        <f t="shared" si="86"/>
        <v>#DIV/0!</v>
      </c>
      <c r="AD222" s="137" t="e">
        <f t="shared" si="86"/>
        <v>#DIV/0!</v>
      </c>
      <c r="AE222" s="9" t="e">
        <f t="shared" si="86"/>
        <v>#DIV/0!</v>
      </c>
      <c r="AF222" s="137" t="e">
        <f t="shared" si="86"/>
        <v>#DIV/0!</v>
      </c>
      <c r="AG222" s="137" t="e">
        <f t="shared" si="86"/>
        <v>#DIV/0!</v>
      </c>
      <c r="AH222" s="137" t="e">
        <f t="shared" si="86"/>
        <v>#DIV/0!</v>
      </c>
      <c r="AI222" s="137" t="e">
        <f t="shared" si="86"/>
        <v>#DIV/0!</v>
      </c>
      <c r="AJ222" s="9" t="e">
        <f t="shared" si="86"/>
        <v>#DIV/0!</v>
      </c>
      <c r="AK222" s="137" t="e">
        <f t="shared" si="86"/>
        <v>#DIV/0!</v>
      </c>
      <c r="AL222" s="137" t="e">
        <f t="shared" si="86"/>
        <v>#DIV/0!</v>
      </c>
      <c r="AM222" s="137" t="e">
        <f t="shared" si="86"/>
        <v>#DIV/0!</v>
      </c>
      <c r="AN222" s="137" t="e">
        <f t="shared" si="86"/>
        <v>#DIV/0!</v>
      </c>
      <c r="AO222" s="9" t="e">
        <f t="shared" si="86"/>
        <v>#DIV/0!</v>
      </c>
      <c r="AP222" s="137" t="e">
        <f t="shared" si="86"/>
        <v>#DIV/0!</v>
      </c>
      <c r="AQ222" s="137" t="e">
        <f t="shared" si="86"/>
        <v>#DIV/0!</v>
      </c>
      <c r="AR222" s="137" t="e">
        <f t="shared" si="86"/>
        <v>#DIV/0!</v>
      </c>
      <c r="AS222" s="137" t="e">
        <f t="shared" si="86"/>
        <v>#DIV/0!</v>
      </c>
      <c r="AT222" s="9" t="e">
        <f t="shared" si="86"/>
        <v>#DIV/0!</v>
      </c>
      <c r="AU222" s="137" t="e">
        <f t="shared" si="86"/>
        <v>#DIV/0!</v>
      </c>
      <c r="AV222" s="137" t="e">
        <f t="shared" si="86"/>
        <v>#DIV/0!</v>
      </c>
      <c r="AW222" s="137" t="e">
        <f t="shared" si="86"/>
        <v>#DIV/0!</v>
      </c>
      <c r="AX222" s="137" t="e">
        <f t="shared" si="86"/>
        <v>#DIV/0!</v>
      </c>
      <c r="AY222" s="106" t="e">
        <f t="shared" si="86"/>
        <v>#DIV/0!</v>
      </c>
    </row>
    <row r="223" spans="1:51">
      <c r="A223" s="128" t="s">
        <v>195</v>
      </c>
      <c r="B223" s="106" t="e">
        <f t="shared" si="86"/>
        <v>#DIV/0!</v>
      </c>
      <c r="C223" s="106" t="e">
        <f t="shared" si="86"/>
        <v>#DIV/0!</v>
      </c>
      <c r="D223" s="106" t="e">
        <f t="shared" si="86"/>
        <v>#DIV/0!</v>
      </c>
      <c r="E223" s="106" t="e">
        <f t="shared" si="86"/>
        <v>#DIV/0!</v>
      </c>
      <c r="F223" s="9" t="e">
        <f t="shared" si="86"/>
        <v>#DIV/0!</v>
      </c>
      <c r="G223" s="106" t="e">
        <f t="shared" si="86"/>
        <v>#DIV/0!</v>
      </c>
      <c r="H223" s="106" t="e">
        <f t="shared" si="86"/>
        <v>#DIV/0!</v>
      </c>
      <c r="I223" s="106" t="e">
        <f t="shared" si="86"/>
        <v>#DIV/0!</v>
      </c>
      <c r="J223" s="106" t="e">
        <f t="shared" si="86"/>
        <v>#DIV/0!</v>
      </c>
      <c r="K223" s="9" t="e">
        <f t="shared" si="86"/>
        <v>#DIV/0!</v>
      </c>
      <c r="L223" s="106" t="e">
        <f t="shared" si="86"/>
        <v>#DIV/0!</v>
      </c>
      <c r="M223" s="106" t="e">
        <f t="shared" si="86"/>
        <v>#DIV/0!</v>
      </c>
      <c r="N223" s="106" t="e">
        <f t="shared" si="86"/>
        <v>#DIV/0!</v>
      </c>
      <c r="O223" s="106" t="e">
        <f t="shared" si="86"/>
        <v>#DIV/0!</v>
      </c>
      <c r="P223" s="9" t="e">
        <f t="shared" si="86"/>
        <v>#DIV/0!</v>
      </c>
      <c r="Q223" s="137" t="e">
        <f t="shared" si="86"/>
        <v>#DIV/0!</v>
      </c>
      <c r="R223" s="137" t="e">
        <f t="shared" si="86"/>
        <v>#DIV/0!</v>
      </c>
      <c r="S223" s="137" t="e">
        <f t="shared" si="86"/>
        <v>#DIV/0!</v>
      </c>
      <c r="T223" s="137" t="e">
        <f t="shared" si="86"/>
        <v>#DIV/0!</v>
      </c>
      <c r="U223" s="9" t="e">
        <f t="shared" si="86"/>
        <v>#DIV/0!</v>
      </c>
      <c r="V223" s="137" t="e">
        <f t="shared" si="86"/>
        <v>#DIV/0!</v>
      </c>
      <c r="W223" s="137" t="e">
        <f t="shared" si="86"/>
        <v>#DIV/0!</v>
      </c>
      <c r="X223" s="137" t="e">
        <f t="shared" si="86"/>
        <v>#DIV/0!</v>
      </c>
      <c r="Y223" s="137" t="e">
        <f t="shared" si="86"/>
        <v>#DIV/0!</v>
      </c>
      <c r="Z223" s="9" t="e">
        <f t="shared" si="86"/>
        <v>#DIV/0!</v>
      </c>
      <c r="AA223" s="137" t="e">
        <f t="shared" si="86"/>
        <v>#DIV/0!</v>
      </c>
      <c r="AB223" s="137" t="e">
        <f t="shared" si="86"/>
        <v>#DIV/0!</v>
      </c>
      <c r="AC223" s="137" t="e">
        <f t="shared" si="86"/>
        <v>#DIV/0!</v>
      </c>
      <c r="AD223" s="137" t="e">
        <f t="shared" si="86"/>
        <v>#DIV/0!</v>
      </c>
      <c r="AE223" s="9" t="e">
        <f t="shared" si="86"/>
        <v>#DIV/0!</v>
      </c>
      <c r="AF223" s="137" t="e">
        <f t="shared" si="86"/>
        <v>#DIV/0!</v>
      </c>
      <c r="AG223" s="137" t="e">
        <f t="shared" si="86"/>
        <v>#DIV/0!</v>
      </c>
      <c r="AH223" s="137" t="e">
        <f t="shared" si="86"/>
        <v>#DIV/0!</v>
      </c>
      <c r="AI223" s="137" t="e">
        <f t="shared" si="86"/>
        <v>#DIV/0!</v>
      </c>
      <c r="AJ223" s="9" t="e">
        <f t="shared" si="86"/>
        <v>#DIV/0!</v>
      </c>
      <c r="AK223" s="137" t="e">
        <f t="shared" si="86"/>
        <v>#DIV/0!</v>
      </c>
      <c r="AL223" s="137" t="e">
        <f t="shared" si="86"/>
        <v>#DIV/0!</v>
      </c>
      <c r="AM223" s="137" t="e">
        <f t="shared" si="86"/>
        <v>#DIV/0!</v>
      </c>
      <c r="AN223" s="137" t="e">
        <f t="shared" si="86"/>
        <v>#DIV/0!</v>
      </c>
      <c r="AO223" s="9" t="e">
        <f t="shared" si="86"/>
        <v>#DIV/0!</v>
      </c>
      <c r="AP223" s="137" t="e">
        <f t="shared" si="86"/>
        <v>#DIV/0!</v>
      </c>
      <c r="AQ223" s="137" t="e">
        <f t="shared" si="86"/>
        <v>#DIV/0!</v>
      </c>
      <c r="AR223" s="137" t="e">
        <f t="shared" si="86"/>
        <v>#DIV/0!</v>
      </c>
      <c r="AS223" s="137" t="e">
        <f t="shared" si="86"/>
        <v>#DIV/0!</v>
      </c>
      <c r="AT223" s="9" t="e">
        <f t="shared" si="86"/>
        <v>#DIV/0!</v>
      </c>
      <c r="AU223" s="137" t="e">
        <f t="shared" si="86"/>
        <v>#DIV/0!</v>
      </c>
      <c r="AV223" s="137" t="e">
        <f t="shared" si="86"/>
        <v>#DIV/0!</v>
      </c>
      <c r="AW223" s="137" t="e">
        <f t="shared" si="86"/>
        <v>#DIV/0!</v>
      </c>
      <c r="AX223" s="137" t="e">
        <f t="shared" si="86"/>
        <v>#DIV/0!</v>
      </c>
      <c r="AY223" s="106" t="e">
        <f t="shared" si="86"/>
        <v>#DIV/0!</v>
      </c>
    </row>
    <row r="224" spans="1:51">
      <c r="A224" s="128" t="s">
        <v>197</v>
      </c>
      <c r="B224" s="106" t="e">
        <f t="shared" si="86"/>
        <v>#DIV/0!</v>
      </c>
      <c r="C224" s="106" t="e">
        <f t="shared" si="86"/>
        <v>#DIV/0!</v>
      </c>
      <c r="D224" s="106" t="e">
        <f t="shared" si="86"/>
        <v>#DIV/0!</v>
      </c>
      <c r="E224" s="106" t="e">
        <f t="shared" si="86"/>
        <v>#DIV/0!</v>
      </c>
      <c r="F224" s="9" t="e">
        <f t="shared" si="86"/>
        <v>#DIV/0!</v>
      </c>
      <c r="G224" s="106" t="e">
        <f t="shared" si="86"/>
        <v>#DIV/0!</v>
      </c>
      <c r="H224" s="106" t="e">
        <f t="shared" si="86"/>
        <v>#DIV/0!</v>
      </c>
      <c r="I224" s="106" t="e">
        <f t="shared" si="86"/>
        <v>#DIV/0!</v>
      </c>
      <c r="J224" s="106" t="e">
        <f t="shared" si="86"/>
        <v>#DIV/0!</v>
      </c>
      <c r="K224" s="9" t="e">
        <f t="shared" si="86"/>
        <v>#DIV/0!</v>
      </c>
      <c r="L224" s="106" t="e">
        <f t="shared" si="86"/>
        <v>#DIV/0!</v>
      </c>
      <c r="M224" s="106" t="e">
        <f t="shared" si="86"/>
        <v>#DIV/0!</v>
      </c>
      <c r="N224" s="106" t="e">
        <f t="shared" si="86"/>
        <v>#DIV/0!</v>
      </c>
      <c r="O224" s="106" t="e">
        <f t="shared" si="86"/>
        <v>#DIV/0!</v>
      </c>
      <c r="P224" s="9" t="e">
        <f t="shared" si="86"/>
        <v>#DIV/0!</v>
      </c>
      <c r="Q224" s="137" t="e">
        <f t="shared" si="86"/>
        <v>#DIV/0!</v>
      </c>
      <c r="R224" s="137" t="e">
        <f t="shared" si="86"/>
        <v>#DIV/0!</v>
      </c>
      <c r="S224" s="137" t="e">
        <f t="shared" si="86"/>
        <v>#DIV/0!</v>
      </c>
      <c r="T224" s="137" t="e">
        <f t="shared" si="86"/>
        <v>#DIV/0!</v>
      </c>
      <c r="U224" s="9" t="e">
        <f t="shared" si="86"/>
        <v>#DIV/0!</v>
      </c>
      <c r="V224" s="137" t="e">
        <f t="shared" si="86"/>
        <v>#DIV/0!</v>
      </c>
      <c r="W224" s="137" t="e">
        <f t="shared" si="86"/>
        <v>#DIV/0!</v>
      </c>
      <c r="X224" s="137" t="e">
        <f t="shared" si="86"/>
        <v>#DIV/0!</v>
      </c>
      <c r="Y224" s="137" t="e">
        <f t="shared" si="86"/>
        <v>#DIV/0!</v>
      </c>
      <c r="Z224" s="9" t="e">
        <f t="shared" si="86"/>
        <v>#DIV/0!</v>
      </c>
      <c r="AA224" s="137" t="e">
        <f t="shared" si="86"/>
        <v>#DIV/0!</v>
      </c>
      <c r="AB224" s="137" t="e">
        <f t="shared" si="86"/>
        <v>#DIV/0!</v>
      </c>
      <c r="AC224" s="137" t="e">
        <f t="shared" si="86"/>
        <v>#DIV/0!</v>
      </c>
      <c r="AD224" s="137" t="e">
        <f t="shared" si="86"/>
        <v>#DIV/0!</v>
      </c>
      <c r="AE224" s="9" t="e">
        <f t="shared" si="86"/>
        <v>#DIV/0!</v>
      </c>
      <c r="AF224" s="137" t="e">
        <f t="shared" si="86"/>
        <v>#DIV/0!</v>
      </c>
      <c r="AG224" s="137" t="e">
        <f t="shared" si="86"/>
        <v>#DIV/0!</v>
      </c>
      <c r="AH224" s="137" t="e">
        <f t="shared" si="86"/>
        <v>#DIV/0!</v>
      </c>
      <c r="AI224" s="137" t="e">
        <f t="shared" si="86"/>
        <v>#DIV/0!</v>
      </c>
      <c r="AJ224" s="9" t="e">
        <f t="shared" si="86"/>
        <v>#DIV/0!</v>
      </c>
      <c r="AK224" s="137" t="e">
        <f t="shared" si="86"/>
        <v>#DIV/0!</v>
      </c>
      <c r="AL224" s="137" t="e">
        <f t="shared" si="86"/>
        <v>#DIV/0!</v>
      </c>
      <c r="AM224" s="137" t="e">
        <f t="shared" si="86"/>
        <v>#DIV/0!</v>
      </c>
      <c r="AN224" s="137" t="e">
        <f t="shared" si="86"/>
        <v>#DIV/0!</v>
      </c>
      <c r="AO224" s="9" t="e">
        <f t="shared" si="86"/>
        <v>#DIV/0!</v>
      </c>
      <c r="AP224" s="137" t="e">
        <f t="shared" si="86"/>
        <v>#DIV/0!</v>
      </c>
      <c r="AQ224" s="137" t="e">
        <f t="shared" si="86"/>
        <v>#DIV/0!</v>
      </c>
      <c r="AR224" s="137" t="e">
        <f t="shared" si="86"/>
        <v>#DIV/0!</v>
      </c>
      <c r="AS224" s="137" t="e">
        <f t="shared" si="86"/>
        <v>#DIV/0!</v>
      </c>
      <c r="AT224" s="9" t="e">
        <f t="shared" si="86"/>
        <v>#DIV/0!</v>
      </c>
      <c r="AU224" s="137" t="e">
        <f t="shared" si="86"/>
        <v>#DIV/0!</v>
      </c>
      <c r="AV224" s="137" t="e">
        <f t="shared" si="86"/>
        <v>#DIV/0!</v>
      </c>
      <c r="AW224" s="137" t="e">
        <f t="shared" si="86"/>
        <v>#DIV/0!</v>
      </c>
      <c r="AX224" s="137" t="e">
        <f t="shared" si="86"/>
        <v>#DIV/0!</v>
      </c>
      <c r="AY224" s="106" t="e">
        <f t="shared" si="86"/>
        <v>#DIV/0!</v>
      </c>
    </row>
    <row r="225" spans="1:51">
      <c r="A225" s="128" t="s">
        <v>199</v>
      </c>
      <c r="B225" s="106" t="e">
        <f t="shared" ref="B225:AY228" si="87">B87/B$137</f>
        <v>#DIV/0!</v>
      </c>
      <c r="C225" s="106" t="e">
        <f t="shared" si="87"/>
        <v>#DIV/0!</v>
      </c>
      <c r="D225" s="106" t="e">
        <f t="shared" si="87"/>
        <v>#DIV/0!</v>
      </c>
      <c r="E225" s="106" t="e">
        <f t="shared" si="87"/>
        <v>#DIV/0!</v>
      </c>
      <c r="F225" s="9" t="e">
        <f t="shared" si="87"/>
        <v>#DIV/0!</v>
      </c>
      <c r="G225" s="106" t="e">
        <f t="shared" si="87"/>
        <v>#DIV/0!</v>
      </c>
      <c r="H225" s="106" t="e">
        <f t="shared" si="87"/>
        <v>#DIV/0!</v>
      </c>
      <c r="I225" s="106" t="e">
        <f t="shared" si="87"/>
        <v>#DIV/0!</v>
      </c>
      <c r="J225" s="106" t="e">
        <f t="shared" si="87"/>
        <v>#DIV/0!</v>
      </c>
      <c r="K225" s="9" t="e">
        <f t="shared" si="87"/>
        <v>#DIV/0!</v>
      </c>
      <c r="L225" s="106" t="e">
        <f t="shared" si="87"/>
        <v>#DIV/0!</v>
      </c>
      <c r="M225" s="106" t="e">
        <f t="shared" si="87"/>
        <v>#DIV/0!</v>
      </c>
      <c r="N225" s="106" t="e">
        <f t="shared" si="87"/>
        <v>#DIV/0!</v>
      </c>
      <c r="O225" s="106" t="e">
        <f t="shared" si="87"/>
        <v>#DIV/0!</v>
      </c>
      <c r="P225" s="9" t="e">
        <f t="shared" si="87"/>
        <v>#DIV/0!</v>
      </c>
      <c r="Q225" s="137" t="e">
        <f t="shared" si="87"/>
        <v>#DIV/0!</v>
      </c>
      <c r="R225" s="137" t="e">
        <f t="shared" si="87"/>
        <v>#DIV/0!</v>
      </c>
      <c r="S225" s="137" t="e">
        <f t="shared" si="87"/>
        <v>#DIV/0!</v>
      </c>
      <c r="T225" s="137" t="e">
        <f t="shared" si="87"/>
        <v>#DIV/0!</v>
      </c>
      <c r="U225" s="9" t="e">
        <f t="shared" si="87"/>
        <v>#DIV/0!</v>
      </c>
      <c r="V225" s="137" t="e">
        <f t="shared" si="87"/>
        <v>#DIV/0!</v>
      </c>
      <c r="W225" s="137" t="e">
        <f t="shared" si="87"/>
        <v>#DIV/0!</v>
      </c>
      <c r="X225" s="137" t="e">
        <f t="shared" si="87"/>
        <v>#DIV/0!</v>
      </c>
      <c r="Y225" s="137" t="e">
        <f t="shared" si="87"/>
        <v>#DIV/0!</v>
      </c>
      <c r="Z225" s="9" t="e">
        <f t="shared" si="87"/>
        <v>#DIV/0!</v>
      </c>
      <c r="AA225" s="137" t="e">
        <f t="shared" si="87"/>
        <v>#DIV/0!</v>
      </c>
      <c r="AB225" s="137" t="e">
        <f t="shared" si="87"/>
        <v>#DIV/0!</v>
      </c>
      <c r="AC225" s="137" t="e">
        <f t="shared" si="87"/>
        <v>#DIV/0!</v>
      </c>
      <c r="AD225" s="137" t="e">
        <f t="shared" si="87"/>
        <v>#DIV/0!</v>
      </c>
      <c r="AE225" s="9" t="e">
        <f t="shared" si="87"/>
        <v>#DIV/0!</v>
      </c>
      <c r="AF225" s="137" t="e">
        <f t="shared" si="87"/>
        <v>#DIV/0!</v>
      </c>
      <c r="AG225" s="137" t="e">
        <f t="shared" si="87"/>
        <v>#DIV/0!</v>
      </c>
      <c r="AH225" s="137" t="e">
        <f t="shared" si="87"/>
        <v>#DIV/0!</v>
      </c>
      <c r="AI225" s="137" t="e">
        <f t="shared" si="87"/>
        <v>#DIV/0!</v>
      </c>
      <c r="AJ225" s="9" t="e">
        <f t="shared" si="87"/>
        <v>#DIV/0!</v>
      </c>
      <c r="AK225" s="137" t="e">
        <f t="shared" si="87"/>
        <v>#DIV/0!</v>
      </c>
      <c r="AL225" s="137" t="e">
        <f t="shared" si="87"/>
        <v>#DIV/0!</v>
      </c>
      <c r="AM225" s="137" t="e">
        <f t="shared" si="87"/>
        <v>#DIV/0!</v>
      </c>
      <c r="AN225" s="137" t="e">
        <f t="shared" si="87"/>
        <v>#DIV/0!</v>
      </c>
      <c r="AO225" s="9" t="e">
        <f t="shared" si="87"/>
        <v>#DIV/0!</v>
      </c>
      <c r="AP225" s="137" t="e">
        <f t="shared" si="87"/>
        <v>#DIV/0!</v>
      </c>
      <c r="AQ225" s="137" t="e">
        <f t="shared" si="87"/>
        <v>#DIV/0!</v>
      </c>
      <c r="AR225" s="137" t="e">
        <f t="shared" si="87"/>
        <v>#DIV/0!</v>
      </c>
      <c r="AS225" s="137" t="e">
        <f t="shared" si="87"/>
        <v>#DIV/0!</v>
      </c>
      <c r="AT225" s="9" t="e">
        <f t="shared" si="87"/>
        <v>#DIV/0!</v>
      </c>
      <c r="AU225" s="137" t="e">
        <f t="shared" si="87"/>
        <v>#DIV/0!</v>
      </c>
      <c r="AV225" s="137" t="e">
        <f t="shared" si="87"/>
        <v>#DIV/0!</v>
      </c>
      <c r="AW225" s="137" t="e">
        <f t="shared" si="87"/>
        <v>#DIV/0!</v>
      </c>
      <c r="AX225" s="137" t="e">
        <f t="shared" si="87"/>
        <v>#DIV/0!</v>
      </c>
      <c r="AY225" s="106" t="e">
        <f t="shared" si="87"/>
        <v>#DIV/0!</v>
      </c>
    </row>
    <row r="226" spans="1:51">
      <c r="A226" s="128" t="s">
        <v>201</v>
      </c>
      <c r="B226" s="106" t="e">
        <f t="shared" si="87"/>
        <v>#DIV/0!</v>
      </c>
      <c r="C226" s="106" t="e">
        <f t="shared" si="87"/>
        <v>#DIV/0!</v>
      </c>
      <c r="D226" s="106" t="e">
        <f t="shared" si="87"/>
        <v>#DIV/0!</v>
      </c>
      <c r="E226" s="106" t="e">
        <f t="shared" si="87"/>
        <v>#DIV/0!</v>
      </c>
      <c r="F226" s="9" t="e">
        <f t="shared" si="87"/>
        <v>#DIV/0!</v>
      </c>
      <c r="G226" s="106" t="e">
        <f t="shared" si="87"/>
        <v>#DIV/0!</v>
      </c>
      <c r="H226" s="106" t="e">
        <f t="shared" si="87"/>
        <v>#DIV/0!</v>
      </c>
      <c r="I226" s="106" t="e">
        <f t="shared" si="87"/>
        <v>#DIV/0!</v>
      </c>
      <c r="J226" s="106" t="e">
        <f t="shared" si="87"/>
        <v>#DIV/0!</v>
      </c>
      <c r="K226" s="9" t="e">
        <f t="shared" si="87"/>
        <v>#DIV/0!</v>
      </c>
      <c r="L226" s="106" t="e">
        <f t="shared" si="87"/>
        <v>#DIV/0!</v>
      </c>
      <c r="M226" s="106" t="e">
        <f t="shared" si="87"/>
        <v>#DIV/0!</v>
      </c>
      <c r="N226" s="106" t="e">
        <f t="shared" si="87"/>
        <v>#DIV/0!</v>
      </c>
      <c r="O226" s="106" t="e">
        <f t="shared" si="87"/>
        <v>#DIV/0!</v>
      </c>
      <c r="P226" s="9" t="e">
        <f t="shared" si="87"/>
        <v>#DIV/0!</v>
      </c>
      <c r="Q226" s="137" t="e">
        <f t="shared" si="87"/>
        <v>#DIV/0!</v>
      </c>
      <c r="R226" s="137" t="e">
        <f t="shared" si="87"/>
        <v>#DIV/0!</v>
      </c>
      <c r="S226" s="137" t="e">
        <f t="shared" si="87"/>
        <v>#DIV/0!</v>
      </c>
      <c r="T226" s="137" t="e">
        <f t="shared" si="87"/>
        <v>#DIV/0!</v>
      </c>
      <c r="U226" s="9" t="e">
        <f t="shared" si="87"/>
        <v>#DIV/0!</v>
      </c>
      <c r="V226" s="137" t="e">
        <f t="shared" si="87"/>
        <v>#DIV/0!</v>
      </c>
      <c r="W226" s="137" t="e">
        <f t="shared" si="87"/>
        <v>#DIV/0!</v>
      </c>
      <c r="X226" s="137" t="e">
        <f t="shared" si="87"/>
        <v>#DIV/0!</v>
      </c>
      <c r="Y226" s="137" t="e">
        <f t="shared" si="87"/>
        <v>#DIV/0!</v>
      </c>
      <c r="Z226" s="9" t="e">
        <f t="shared" si="87"/>
        <v>#DIV/0!</v>
      </c>
      <c r="AA226" s="137" t="e">
        <f t="shared" si="87"/>
        <v>#DIV/0!</v>
      </c>
      <c r="AB226" s="137" t="e">
        <f t="shared" si="87"/>
        <v>#DIV/0!</v>
      </c>
      <c r="AC226" s="137" t="e">
        <f t="shared" si="87"/>
        <v>#DIV/0!</v>
      </c>
      <c r="AD226" s="137" t="e">
        <f t="shared" si="87"/>
        <v>#DIV/0!</v>
      </c>
      <c r="AE226" s="9" t="e">
        <f t="shared" si="87"/>
        <v>#DIV/0!</v>
      </c>
      <c r="AF226" s="137" t="e">
        <f t="shared" si="87"/>
        <v>#DIV/0!</v>
      </c>
      <c r="AG226" s="137" t="e">
        <f t="shared" si="87"/>
        <v>#DIV/0!</v>
      </c>
      <c r="AH226" s="137" t="e">
        <f t="shared" si="87"/>
        <v>#DIV/0!</v>
      </c>
      <c r="AI226" s="137" t="e">
        <f t="shared" si="87"/>
        <v>#DIV/0!</v>
      </c>
      <c r="AJ226" s="9" t="e">
        <f t="shared" si="87"/>
        <v>#DIV/0!</v>
      </c>
      <c r="AK226" s="137" t="e">
        <f t="shared" si="87"/>
        <v>#DIV/0!</v>
      </c>
      <c r="AL226" s="137" t="e">
        <f t="shared" si="87"/>
        <v>#DIV/0!</v>
      </c>
      <c r="AM226" s="137" t="e">
        <f t="shared" si="87"/>
        <v>#DIV/0!</v>
      </c>
      <c r="AN226" s="137" t="e">
        <f t="shared" si="87"/>
        <v>#DIV/0!</v>
      </c>
      <c r="AO226" s="9" t="e">
        <f t="shared" si="87"/>
        <v>#DIV/0!</v>
      </c>
      <c r="AP226" s="137" t="e">
        <f t="shared" si="87"/>
        <v>#DIV/0!</v>
      </c>
      <c r="AQ226" s="137" t="e">
        <f t="shared" si="87"/>
        <v>#DIV/0!</v>
      </c>
      <c r="AR226" s="137" t="e">
        <f t="shared" si="87"/>
        <v>#DIV/0!</v>
      </c>
      <c r="AS226" s="137" t="e">
        <f t="shared" si="87"/>
        <v>#DIV/0!</v>
      </c>
      <c r="AT226" s="9" t="e">
        <f t="shared" si="87"/>
        <v>#DIV/0!</v>
      </c>
      <c r="AU226" s="137" t="e">
        <f t="shared" si="87"/>
        <v>#DIV/0!</v>
      </c>
      <c r="AV226" s="137" t="e">
        <f t="shared" si="87"/>
        <v>#DIV/0!</v>
      </c>
      <c r="AW226" s="137" t="e">
        <f t="shared" si="87"/>
        <v>#DIV/0!</v>
      </c>
      <c r="AX226" s="137" t="e">
        <f t="shared" si="87"/>
        <v>#DIV/0!</v>
      </c>
      <c r="AY226" s="106" t="e">
        <f t="shared" si="87"/>
        <v>#DIV/0!</v>
      </c>
    </row>
    <row r="227" spans="1:51">
      <c r="A227" s="128" t="s">
        <v>203</v>
      </c>
      <c r="B227" s="106" t="e">
        <f t="shared" si="87"/>
        <v>#DIV/0!</v>
      </c>
      <c r="C227" s="106" t="e">
        <f t="shared" si="87"/>
        <v>#DIV/0!</v>
      </c>
      <c r="D227" s="106" t="e">
        <f t="shared" si="87"/>
        <v>#DIV/0!</v>
      </c>
      <c r="E227" s="106" t="e">
        <f t="shared" si="87"/>
        <v>#DIV/0!</v>
      </c>
      <c r="F227" s="9" t="e">
        <f t="shared" si="87"/>
        <v>#DIV/0!</v>
      </c>
      <c r="G227" s="106" t="e">
        <f t="shared" si="87"/>
        <v>#DIV/0!</v>
      </c>
      <c r="H227" s="106" t="e">
        <f t="shared" si="87"/>
        <v>#DIV/0!</v>
      </c>
      <c r="I227" s="106" t="e">
        <f t="shared" si="87"/>
        <v>#DIV/0!</v>
      </c>
      <c r="J227" s="106" t="e">
        <f t="shared" si="87"/>
        <v>#DIV/0!</v>
      </c>
      <c r="K227" s="9" t="e">
        <f t="shared" si="87"/>
        <v>#DIV/0!</v>
      </c>
      <c r="L227" s="106" t="e">
        <f t="shared" si="87"/>
        <v>#DIV/0!</v>
      </c>
      <c r="M227" s="106" t="e">
        <f t="shared" si="87"/>
        <v>#DIV/0!</v>
      </c>
      <c r="N227" s="106" t="e">
        <f t="shared" si="87"/>
        <v>#DIV/0!</v>
      </c>
      <c r="O227" s="106" t="e">
        <f t="shared" si="87"/>
        <v>#DIV/0!</v>
      </c>
      <c r="P227" s="9" t="e">
        <f t="shared" si="87"/>
        <v>#DIV/0!</v>
      </c>
      <c r="Q227" s="137" t="e">
        <f t="shared" si="87"/>
        <v>#DIV/0!</v>
      </c>
      <c r="R227" s="137" t="e">
        <f t="shared" si="87"/>
        <v>#DIV/0!</v>
      </c>
      <c r="S227" s="137" t="e">
        <f t="shared" si="87"/>
        <v>#DIV/0!</v>
      </c>
      <c r="T227" s="137" t="e">
        <f t="shared" si="87"/>
        <v>#DIV/0!</v>
      </c>
      <c r="U227" s="9" t="e">
        <f t="shared" si="87"/>
        <v>#DIV/0!</v>
      </c>
      <c r="V227" s="137" t="e">
        <f t="shared" si="87"/>
        <v>#DIV/0!</v>
      </c>
      <c r="W227" s="137" t="e">
        <f t="shared" si="87"/>
        <v>#DIV/0!</v>
      </c>
      <c r="X227" s="137" t="e">
        <f t="shared" si="87"/>
        <v>#DIV/0!</v>
      </c>
      <c r="Y227" s="137" t="e">
        <f t="shared" si="87"/>
        <v>#DIV/0!</v>
      </c>
      <c r="Z227" s="9" t="e">
        <f t="shared" si="87"/>
        <v>#DIV/0!</v>
      </c>
      <c r="AA227" s="137" t="e">
        <f t="shared" si="87"/>
        <v>#DIV/0!</v>
      </c>
      <c r="AB227" s="137" t="e">
        <f t="shared" si="87"/>
        <v>#DIV/0!</v>
      </c>
      <c r="AC227" s="137" t="e">
        <f t="shared" si="87"/>
        <v>#DIV/0!</v>
      </c>
      <c r="AD227" s="137" t="e">
        <f t="shared" si="87"/>
        <v>#DIV/0!</v>
      </c>
      <c r="AE227" s="9" t="e">
        <f t="shared" si="87"/>
        <v>#DIV/0!</v>
      </c>
      <c r="AF227" s="137" t="e">
        <f t="shared" si="87"/>
        <v>#DIV/0!</v>
      </c>
      <c r="AG227" s="137" t="e">
        <f t="shared" si="87"/>
        <v>#DIV/0!</v>
      </c>
      <c r="AH227" s="137" t="e">
        <f t="shared" si="87"/>
        <v>#DIV/0!</v>
      </c>
      <c r="AI227" s="137" t="e">
        <f t="shared" si="87"/>
        <v>#DIV/0!</v>
      </c>
      <c r="AJ227" s="9" t="e">
        <f t="shared" si="87"/>
        <v>#DIV/0!</v>
      </c>
      <c r="AK227" s="137" t="e">
        <f t="shared" si="87"/>
        <v>#DIV/0!</v>
      </c>
      <c r="AL227" s="137" t="e">
        <f t="shared" si="87"/>
        <v>#DIV/0!</v>
      </c>
      <c r="AM227" s="137" t="e">
        <f t="shared" si="87"/>
        <v>#DIV/0!</v>
      </c>
      <c r="AN227" s="137" t="e">
        <f t="shared" si="87"/>
        <v>#DIV/0!</v>
      </c>
      <c r="AO227" s="9" t="e">
        <f t="shared" si="87"/>
        <v>#DIV/0!</v>
      </c>
      <c r="AP227" s="137" t="e">
        <f t="shared" si="87"/>
        <v>#DIV/0!</v>
      </c>
      <c r="AQ227" s="137" t="e">
        <f t="shared" si="87"/>
        <v>#DIV/0!</v>
      </c>
      <c r="AR227" s="137" t="e">
        <f t="shared" si="87"/>
        <v>#DIV/0!</v>
      </c>
      <c r="AS227" s="137" t="e">
        <f t="shared" si="87"/>
        <v>#DIV/0!</v>
      </c>
      <c r="AT227" s="9" t="e">
        <f t="shared" si="87"/>
        <v>#DIV/0!</v>
      </c>
      <c r="AU227" s="137" t="e">
        <f t="shared" si="87"/>
        <v>#DIV/0!</v>
      </c>
      <c r="AV227" s="137" t="e">
        <f t="shared" si="87"/>
        <v>#DIV/0!</v>
      </c>
      <c r="AW227" s="137" t="e">
        <f t="shared" si="87"/>
        <v>#DIV/0!</v>
      </c>
      <c r="AX227" s="137" t="e">
        <f t="shared" si="87"/>
        <v>#DIV/0!</v>
      </c>
      <c r="AY227" s="106" t="e">
        <f t="shared" si="87"/>
        <v>#DIV/0!</v>
      </c>
    </row>
    <row r="228" spans="1:51">
      <c r="A228" s="128" t="s">
        <v>205</v>
      </c>
      <c r="B228" s="106" t="e">
        <f t="shared" si="87"/>
        <v>#DIV/0!</v>
      </c>
      <c r="C228" s="106" t="e">
        <f t="shared" si="87"/>
        <v>#DIV/0!</v>
      </c>
      <c r="D228" s="106" t="e">
        <f t="shared" si="87"/>
        <v>#DIV/0!</v>
      </c>
      <c r="E228" s="106" t="e">
        <f t="shared" si="87"/>
        <v>#DIV/0!</v>
      </c>
      <c r="F228" s="9" t="e">
        <f t="shared" si="87"/>
        <v>#DIV/0!</v>
      </c>
      <c r="G228" s="106" t="e">
        <f t="shared" si="87"/>
        <v>#DIV/0!</v>
      </c>
      <c r="H228" s="106" t="e">
        <f t="shared" si="87"/>
        <v>#DIV/0!</v>
      </c>
      <c r="I228" s="106" t="e">
        <f t="shared" si="87"/>
        <v>#DIV/0!</v>
      </c>
      <c r="J228" s="106" t="e">
        <f t="shared" si="87"/>
        <v>#DIV/0!</v>
      </c>
      <c r="K228" s="9" t="e">
        <f t="shared" si="87"/>
        <v>#DIV/0!</v>
      </c>
      <c r="L228" s="106" t="e">
        <f t="shared" si="87"/>
        <v>#DIV/0!</v>
      </c>
      <c r="M228" s="106" t="e">
        <f t="shared" si="87"/>
        <v>#DIV/0!</v>
      </c>
      <c r="N228" s="106" t="e">
        <f t="shared" si="87"/>
        <v>#DIV/0!</v>
      </c>
      <c r="O228" s="106" t="e">
        <f t="shared" si="87"/>
        <v>#DIV/0!</v>
      </c>
      <c r="P228" s="9" t="e">
        <f t="shared" si="87"/>
        <v>#DIV/0!</v>
      </c>
      <c r="Q228" s="137" t="e">
        <f t="shared" si="87"/>
        <v>#DIV/0!</v>
      </c>
      <c r="R228" s="137" t="e">
        <f t="shared" si="87"/>
        <v>#DIV/0!</v>
      </c>
      <c r="S228" s="137" t="e">
        <f t="shared" si="87"/>
        <v>#DIV/0!</v>
      </c>
      <c r="T228" s="137" t="e">
        <f t="shared" si="87"/>
        <v>#DIV/0!</v>
      </c>
      <c r="U228" s="9" t="e">
        <f t="shared" si="87"/>
        <v>#DIV/0!</v>
      </c>
      <c r="V228" s="137" t="e">
        <f t="shared" si="87"/>
        <v>#DIV/0!</v>
      </c>
      <c r="W228" s="137" t="e">
        <f t="shared" si="87"/>
        <v>#DIV/0!</v>
      </c>
      <c r="X228" s="137" t="e">
        <f t="shared" si="87"/>
        <v>#DIV/0!</v>
      </c>
      <c r="Y228" s="137" t="e">
        <f t="shared" si="87"/>
        <v>#DIV/0!</v>
      </c>
      <c r="Z228" s="9" t="e">
        <f t="shared" si="87"/>
        <v>#DIV/0!</v>
      </c>
      <c r="AA228" s="137" t="e">
        <f t="shared" si="87"/>
        <v>#DIV/0!</v>
      </c>
      <c r="AB228" s="137" t="e">
        <f t="shared" si="87"/>
        <v>#DIV/0!</v>
      </c>
      <c r="AC228" s="137" t="e">
        <f t="shared" si="87"/>
        <v>#DIV/0!</v>
      </c>
      <c r="AD228" s="137" t="e">
        <f t="shared" si="87"/>
        <v>#DIV/0!</v>
      </c>
      <c r="AE228" s="9" t="e">
        <f t="shared" si="87"/>
        <v>#DIV/0!</v>
      </c>
      <c r="AF228" s="137" t="e">
        <f t="shared" si="87"/>
        <v>#DIV/0!</v>
      </c>
      <c r="AG228" s="137" t="e">
        <f t="shared" si="87"/>
        <v>#DIV/0!</v>
      </c>
      <c r="AH228" s="137" t="e">
        <f t="shared" si="87"/>
        <v>#DIV/0!</v>
      </c>
      <c r="AI228" s="137" t="e">
        <f t="shared" si="87"/>
        <v>#DIV/0!</v>
      </c>
      <c r="AJ228" s="9" t="e">
        <f t="shared" si="87"/>
        <v>#DIV/0!</v>
      </c>
      <c r="AK228" s="137" t="e">
        <f t="shared" si="87"/>
        <v>#DIV/0!</v>
      </c>
      <c r="AL228" s="137" t="e">
        <f t="shared" si="87"/>
        <v>#DIV/0!</v>
      </c>
      <c r="AM228" s="137" t="e">
        <f t="shared" si="87"/>
        <v>#DIV/0!</v>
      </c>
      <c r="AN228" s="137" t="e">
        <f t="shared" si="87"/>
        <v>#DIV/0!</v>
      </c>
      <c r="AO228" s="9" t="e">
        <f t="shared" si="87"/>
        <v>#DIV/0!</v>
      </c>
      <c r="AP228" s="137" t="e">
        <f t="shared" si="87"/>
        <v>#DIV/0!</v>
      </c>
      <c r="AQ228" s="137" t="e">
        <f t="shared" si="87"/>
        <v>#DIV/0!</v>
      </c>
      <c r="AR228" s="137" t="e">
        <f t="shared" si="87"/>
        <v>#DIV/0!</v>
      </c>
      <c r="AS228" s="137" t="e">
        <f t="shared" si="87"/>
        <v>#DIV/0!</v>
      </c>
      <c r="AT228" s="9" t="e">
        <f t="shared" si="87"/>
        <v>#DIV/0!</v>
      </c>
      <c r="AU228" s="137" t="e">
        <f t="shared" si="87"/>
        <v>#DIV/0!</v>
      </c>
      <c r="AV228" s="137" t="e">
        <f t="shared" si="87"/>
        <v>#DIV/0!</v>
      </c>
      <c r="AW228" s="137" t="e">
        <f t="shared" si="87"/>
        <v>#DIV/0!</v>
      </c>
      <c r="AX228" s="137" t="e">
        <f t="shared" si="87"/>
        <v>#DIV/0!</v>
      </c>
      <c r="AY228" s="106" t="e">
        <f t="shared" si="87"/>
        <v>#DIV/0!</v>
      </c>
    </row>
    <row r="229" spans="1:51">
      <c r="A229" s="128" t="s">
        <v>207</v>
      </c>
      <c r="B229" s="106" t="e">
        <f t="shared" ref="B229:AY232" si="88">B91/B$137</f>
        <v>#DIV/0!</v>
      </c>
      <c r="C229" s="106" t="e">
        <f t="shared" si="88"/>
        <v>#DIV/0!</v>
      </c>
      <c r="D229" s="106" t="e">
        <f t="shared" si="88"/>
        <v>#DIV/0!</v>
      </c>
      <c r="E229" s="106" t="e">
        <f t="shared" si="88"/>
        <v>#DIV/0!</v>
      </c>
      <c r="F229" s="9" t="e">
        <f t="shared" si="88"/>
        <v>#DIV/0!</v>
      </c>
      <c r="G229" s="106" t="e">
        <f t="shared" si="88"/>
        <v>#DIV/0!</v>
      </c>
      <c r="H229" s="106" t="e">
        <f t="shared" si="88"/>
        <v>#DIV/0!</v>
      </c>
      <c r="I229" s="106" t="e">
        <f t="shared" si="88"/>
        <v>#DIV/0!</v>
      </c>
      <c r="J229" s="106" t="e">
        <f t="shared" si="88"/>
        <v>#DIV/0!</v>
      </c>
      <c r="K229" s="9" t="e">
        <f t="shared" si="88"/>
        <v>#DIV/0!</v>
      </c>
      <c r="L229" s="106" t="e">
        <f t="shared" si="88"/>
        <v>#DIV/0!</v>
      </c>
      <c r="M229" s="106" t="e">
        <f t="shared" si="88"/>
        <v>#DIV/0!</v>
      </c>
      <c r="N229" s="106" t="e">
        <f t="shared" si="88"/>
        <v>#DIV/0!</v>
      </c>
      <c r="O229" s="106" t="e">
        <f t="shared" si="88"/>
        <v>#DIV/0!</v>
      </c>
      <c r="P229" s="9" t="e">
        <f t="shared" si="88"/>
        <v>#DIV/0!</v>
      </c>
      <c r="Q229" s="137" t="e">
        <f t="shared" si="88"/>
        <v>#DIV/0!</v>
      </c>
      <c r="R229" s="137" t="e">
        <f t="shared" si="88"/>
        <v>#DIV/0!</v>
      </c>
      <c r="S229" s="137" t="e">
        <f t="shared" si="88"/>
        <v>#DIV/0!</v>
      </c>
      <c r="T229" s="137" t="e">
        <f t="shared" si="88"/>
        <v>#DIV/0!</v>
      </c>
      <c r="U229" s="9" t="e">
        <f t="shared" si="88"/>
        <v>#DIV/0!</v>
      </c>
      <c r="V229" s="137" t="e">
        <f t="shared" si="88"/>
        <v>#DIV/0!</v>
      </c>
      <c r="W229" s="137" t="e">
        <f t="shared" si="88"/>
        <v>#DIV/0!</v>
      </c>
      <c r="X229" s="137" t="e">
        <f t="shared" si="88"/>
        <v>#DIV/0!</v>
      </c>
      <c r="Y229" s="137" t="e">
        <f t="shared" si="88"/>
        <v>#DIV/0!</v>
      </c>
      <c r="Z229" s="9" t="e">
        <f t="shared" si="88"/>
        <v>#DIV/0!</v>
      </c>
      <c r="AA229" s="137" t="e">
        <f t="shared" si="88"/>
        <v>#DIV/0!</v>
      </c>
      <c r="AB229" s="137" t="e">
        <f t="shared" si="88"/>
        <v>#DIV/0!</v>
      </c>
      <c r="AC229" s="137" t="e">
        <f t="shared" si="88"/>
        <v>#DIV/0!</v>
      </c>
      <c r="AD229" s="137" t="e">
        <f t="shared" si="88"/>
        <v>#DIV/0!</v>
      </c>
      <c r="AE229" s="9" t="e">
        <f t="shared" si="88"/>
        <v>#DIV/0!</v>
      </c>
      <c r="AF229" s="137" t="e">
        <f t="shared" si="88"/>
        <v>#DIV/0!</v>
      </c>
      <c r="AG229" s="137" t="e">
        <f t="shared" si="88"/>
        <v>#DIV/0!</v>
      </c>
      <c r="AH229" s="137" t="e">
        <f t="shared" si="88"/>
        <v>#DIV/0!</v>
      </c>
      <c r="AI229" s="137" t="e">
        <f t="shared" si="88"/>
        <v>#DIV/0!</v>
      </c>
      <c r="AJ229" s="9" t="e">
        <f t="shared" si="88"/>
        <v>#DIV/0!</v>
      </c>
      <c r="AK229" s="137" t="e">
        <f t="shared" si="88"/>
        <v>#DIV/0!</v>
      </c>
      <c r="AL229" s="137" t="e">
        <f t="shared" si="88"/>
        <v>#DIV/0!</v>
      </c>
      <c r="AM229" s="137" t="e">
        <f t="shared" si="88"/>
        <v>#DIV/0!</v>
      </c>
      <c r="AN229" s="137" t="e">
        <f t="shared" si="88"/>
        <v>#DIV/0!</v>
      </c>
      <c r="AO229" s="9" t="e">
        <f t="shared" si="88"/>
        <v>#DIV/0!</v>
      </c>
      <c r="AP229" s="137" t="e">
        <f t="shared" si="88"/>
        <v>#DIV/0!</v>
      </c>
      <c r="AQ229" s="137" t="e">
        <f t="shared" si="88"/>
        <v>#DIV/0!</v>
      </c>
      <c r="AR229" s="137" t="e">
        <f t="shared" si="88"/>
        <v>#DIV/0!</v>
      </c>
      <c r="AS229" s="137" t="e">
        <f t="shared" si="88"/>
        <v>#DIV/0!</v>
      </c>
      <c r="AT229" s="9" t="e">
        <f t="shared" si="88"/>
        <v>#DIV/0!</v>
      </c>
      <c r="AU229" s="137" t="e">
        <f t="shared" si="88"/>
        <v>#DIV/0!</v>
      </c>
      <c r="AV229" s="137" t="e">
        <f t="shared" si="88"/>
        <v>#DIV/0!</v>
      </c>
      <c r="AW229" s="137" t="e">
        <f t="shared" si="88"/>
        <v>#DIV/0!</v>
      </c>
      <c r="AX229" s="137" t="e">
        <f t="shared" si="88"/>
        <v>#DIV/0!</v>
      </c>
      <c r="AY229" s="106" t="e">
        <f t="shared" si="88"/>
        <v>#DIV/0!</v>
      </c>
    </row>
    <row r="230" spans="1:51">
      <c r="A230" s="128" t="s">
        <v>209</v>
      </c>
      <c r="B230" s="106" t="e">
        <f t="shared" si="88"/>
        <v>#DIV/0!</v>
      </c>
      <c r="C230" s="106" t="e">
        <f t="shared" si="88"/>
        <v>#DIV/0!</v>
      </c>
      <c r="D230" s="106" t="e">
        <f t="shared" si="88"/>
        <v>#DIV/0!</v>
      </c>
      <c r="E230" s="106" t="e">
        <f t="shared" si="88"/>
        <v>#DIV/0!</v>
      </c>
      <c r="F230" s="9" t="e">
        <f t="shared" si="88"/>
        <v>#DIV/0!</v>
      </c>
      <c r="G230" s="106" t="e">
        <f t="shared" si="88"/>
        <v>#DIV/0!</v>
      </c>
      <c r="H230" s="106" t="e">
        <f t="shared" si="88"/>
        <v>#DIV/0!</v>
      </c>
      <c r="I230" s="106" t="e">
        <f t="shared" si="88"/>
        <v>#DIV/0!</v>
      </c>
      <c r="J230" s="106" t="e">
        <f t="shared" si="88"/>
        <v>#DIV/0!</v>
      </c>
      <c r="K230" s="9" t="e">
        <f t="shared" si="88"/>
        <v>#DIV/0!</v>
      </c>
      <c r="L230" s="106" t="e">
        <f t="shared" si="88"/>
        <v>#DIV/0!</v>
      </c>
      <c r="M230" s="106" t="e">
        <f t="shared" si="88"/>
        <v>#DIV/0!</v>
      </c>
      <c r="N230" s="106" t="e">
        <f t="shared" si="88"/>
        <v>#DIV/0!</v>
      </c>
      <c r="O230" s="106" t="e">
        <f t="shared" si="88"/>
        <v>#DIV/0!</v>
      </c>
      <c r="P230" s="9" t="e">
        <f t="shared" si="88"/>
        <v>#DIV/0!</v>
      </c>
      <c r="Q230" s="137" t="e">
        <f t="shared" si="88"/>
        <v>#DIV/0!</v>
      </c>
      <c r="R230" s="137" t="e">
        <f t="shared" si="88"/>
        <v>#DIV/0!</v>
      </c>
      <c r="S230" s="137" t="e">
        <f t="shared" si="88"/>
        <v>#DIV/0!</v>
      </c>
      <c r="T230" s="137" t="e">
        <f t="shared" si="88"/>
        <v>#DIV/0!</v>
      </c>
      <c r="U230" s="9" t="e">
        <f t="shared" si="88"/>
        <v>#DIV/0!</v>
      </c>
      <c r="V230" s="137" t="e">
        <f t="shared" si="88"/>
        <v>#DIV/0!</v>
      </c>
      <c r="W230" s="137" t="e">
        <f t="shared" si="88"/>
        <v>#DIV/0!</v>
      </c>
      <c r="X230" s="137" t="e">
        <f t="shared" si="88"/>
        <v>#DIV/0!</v>
      </c>
      <c r="Y230" s="137" t="e">
        <f t="shared" si="88"/>
        <v>#DIV/0!</v>
      </c>
      <c r="Z230" s="9" t="e">
        <f t="shared" si="88"/>
        <v>#DIV/0!</v>
      </c>
      <c r="AA230" s="137" t="e">
        <f t="shared" si="88"/>
        <v>#DIV/0!</v>
      </c>
      <c r="AB230" s="137" t="e">
        <f t="shared" si="88"/>
        <v>#DIV/0!</v>
      </c>
      <c r="AC230" s="137" t="e">
        <f t="shared" si="88"/>
        <v>#DIV/0!</v>
      </c>
      <c r="AD230" s="137" t="e">
        <f t="shared" si="88"/>
        <v>#DIV/0!</v>
      </c>
      <c r="AE230" s="9" t="e">
        <f t="shared" si="88"/>
        <v>#DIV/0!</v>
      </c>
      <c r="AF230" s="137" t="e">
        <f t="shared" si="88"/>
        <v>#DIV/0!</v>
      </c>
      <c r="AG230" s="137" t="e">
        <f t="shared" si="88"/>
        <v>#DIV/0!</v>
      </c>
      <c r="AH230" s="137" t="e">
        <f t="shared" si="88"/>
        <v>#DIV/0!</v>
      </c>
      <c r="AI230" s="137" t="e">
        <f t="shared" si="88"/>
        <v>#DIV/0!</v>
      </c>
      <c r="AJ230" s="9" t="e">
        <f t="shared" si="88"/>
        <v>#DIV/0!</v>
      </c>
      <c r="AK230" s="137" t="e">
        <f t="shared" si="88"/>
        <v>#DIV/0!</v>
      </c>
      <c r="AL230" s="137" t="e">
        <f t="shared" si="88"/>
        <v>#DIV/0!</v>
      </c>
      <c r="AM230" s="137" t="e">
        <f t="shared" si="88"/>
        <v>#DIV/0!</v>
      </c>
      <c r="AN230" s="137" t="e">
        <f t="shared" si="88"/>
        <v>#DIV/0!</v>
      </c>
      <c r="AO230" s="9" t="e">
        <f t="shared" si="88"/>
        <v>#DIV/0!</v>
      </c>
      <c r="AP230" s="137" t="e">
        <f t="shared" si="88"/>
        <v>#DIV/0!</v>
      </c>
      <c r="AQ230" s="137" t="e">
        <f t="shared" si="88"/>
        <v>#DIV/0!</v>
      </c>
      <c r="AR230" s="137" t="e">
        <f t="shared" si="88"/>
        <v>#DIV/0!</v>
      </c>
      <c r="AS230" s="137" t="e">
        <f t="shared" si="88"/>
        <v>#DIV/0!</v>
      </c>
      <c r="AT230" s="9" t="e">
        <f t="shared" si="88"/>
        <v>#DIV/0!</v>
      </c>
      <c r="AU230" s="137" t="e">
        <f t="shared" si="88"/>
        <v>#DIV/0!</v>
      </c>
      <c r="AV230" s="137" t="e">
        <f t="shared" si="88"/>
        <v>#DIV/0!</v>
      </c>
      <c r="AW230" s="137" t="e">
        <f t="shared" si="88"/>
        <v>#DIV/0!</v>
      </c>
      <c r="AX230" s="137" t="e">
        <f t="shared" si="88"/>
        <v>#DIV/0!</v>
      </c>
      <c r="AY230" s="106" t="e">
        <f t="shared" si="88"/>
        <v>#DIV/0!</v>
      </c>
    </row>
    <row r="231" spans="1:51">
      <c r="A231" s="128" t="s">
        <v>211</v>
      </c>
      <c r="B231" s="106" t="e">
        <f t="shared" si="88"/>
        <v>#DIV/0!</v>
      </c>
      <c r="C231" s="106" t="e">
        <f t="shared" si="88"/>
        <v>#DIV/0!</v>
      </c>
      <c r="D231" s="106" t="e">
        <f t="shared" si="88"/>
        <v>#DIV/0!</v>
      </c>
      <c r="E231" s="106" t="e">
        <f t="shared" si="88"/>
        <v>#DIV/0!</v>
      </c>
      <c r="F231" s="9" t="e">
        <f t="shared" si="88"/>
        <v>#DIV/0!</v>
      </c>
      <c r="G231" s="106" t="e">
        <f t="shared" si="88"/>
        <v>#DIV/0!</v>
      </c>
      <c r="H231" s="106" t="e">
        <f t="shared" si="88"/>
        <v>#DIV/0!</v>
      </c>
      <c r="I231" s="106" t="e">
        <f t="shared" si="88"/>
        <v>#DIV/0!</v>
      </c>
      <c r="J231" s="106" t="e">
        <f t="shared" si="88"/>
        <v>#DIV/0!</v>
      </c>
      <c r="K231" s="9" t="e">
        <f t="shared" si="88"/>
        <v>#DIV/0!</v>
      </c>
      <c r="L231" s="106" t="e">
        <f t="shared" si="88"/>
        <v>#DIV/0!</v>
      </c>
      <c r="M231" s="106" t="e">
        <f t="shared" si="88"/>
        <v>#DIV/0!</v>
      </c>
      <c r="N231" s="106" t="e">
        <f t="shared" si="88"/>
        <v>#DIV/0!</v>
      </c>
      <c r="O231" s="106" t="e">
        <f t="shared" si="88"/>
        <v>#DIV/0!</v>
      </c>
      <c r="P231" s="9" t="e">
        <f t="shared" si="88"/>
        <v>#DIV/0!</v>
      </c>
      <c r="Q231" s="137" t="e">
        <f t="shared" si="88"/>
        <v>#DIV/0!</v>
      </c>
      <c r="R231" s="137" t="e">
        <f t="shared" si="88"/>
        <v>#DIV/0!</v>
      </c>
      <c r="S231" s="137" t="e">
        <f t="shared" si="88"/>
        <v>#DIV/0!</v>
      </c>
      <c r="T231" s="137" t="e">
        <f t="shared" si="88"/>
        <v>#DIV/0!</v>
      </c>
      <c r="U231" s="9" t="e">
        <f t="shared" si="88"/>
        <v>#DIV/0!</v>
      </c>
      <c r="V231" s="137" t="e">
        <f t="shared" si="88"/>
        <v>#DIV/0!</v>
      </c>
      <c r="W231" s="137" t="e">
        <f t="shared" si="88"/>
        <v>#DIV/0!</v>
      </c>
      <c r="X231" s="137" t="e">
        <f t="shared" si="88"/>
        <v>#DIV/0!</v>
      </c>
      <c r="Y231" s="137" t="e">
        <f t="shared" si="88"/>
        <v>#DIV/0!</v>
      </c>
      <c r="Z231" s="9" t="e">
        <f t="shared" si="88"/>
        <v>#DIV/0!</v>
      </c>
      <c r="AA231" s="137" t="e">
        <f t="shared" si="88"/>
        <v>#DIV/0!</v>
      </c>
      <c r="AB231" s="137" t="e">
        <f t="shared" si="88"/>
        <v>#DIV/0!</v>
      </c>
      <c r="AC231" s="137" t="e">
        <f t="shared" si="88"/>
        <v>#DIV/0!</v>
      </c>
      <c r="AD231" s="137" t="e">
        <f t="shared" si="88"/>
        <v>#DIV/0!</v>
      </c>
      <c r="AE231" s="9" t="e">
        <f t="shared" si="88"/>
        <v>#DIV/0!</v>
      </c>
      <c r="AF231" s="137" t="e">
        <f t="shared" si="88"/>
        <v>#DIV/0!</v>
      </c>
      <c r="AG231" s="137" t="e">
        <f t="shared" si="88"/>
        <v>#DIV/0!</v>
      </c>
      <c r="AH231" s="137" t="e">
        <f t="shared" si="88"/>
        <v>#DIV/0!</v>
      </c>
      <c r="AI231" s="137" t="e">
        <f t="shared" si="88"/>
        <v>#DIV/0!</v>
      </c>
      <c r="AJ231" s="9" t="e">
        <f t="shared" si="88"/>
        <v>#DIV/0!</v>
      </c>
      <c r="AK231" s="137" t="e">
        <f t="shared" si="88"/>
        <v>#DIV/0!</v>
      </c>
      <c r="AL231" s="137" t="e">
        <f t="shared" si="88"/>
        <v>#DIV/0!</v>
      </c>
      <c r="AM231" s="137" t="e">
        <f t="shared" si="88"/>
        <v>#DIV/0!</v>
      </c>
      <c r="AN231" s="137" t="e">
        <f t="shared" si="88"/>
        <v>#DIV/0!</v>
      </c>
      <c r="AO231" s="9" t="e">
        <f t="shared" si="88"/>
        <v>#DIV/0!</v>
      </c>
      <c r="AP231" s="137" t="e">
        <f t="shared" si="88"/>
        <v>#DIV/0!</v>
      </c>
      <c r="AQ231" s="137" t="e">
        <f t="shared" si="88"/>
        <v>#DIV/0!</v>
      </c>
      <c r="AR231" s="137" t="e">
        <f t="shared" si="88"/>
        <v>#DIV/0!</v>
      </c>
      <c r="AS231" s="137" t="e">
        <f t="shared" si="88"/>
        <v>#DIV/0!</v>
      </c>
      <c r="AT231" s="9" t="e">
        <f t="shared" si="88"/>
        <v>#DIV/0!</v>
      </c>
      <c r="AU231" s="137" t="e">
        <f t="shared" si="88"/>
        <v>#DIV/0!</v>
      </c>
      <c r="AV231" s="137" t="e">
        <f t="shared" si="88"/>
        <v>#DIV/0!</v>
      </c>
      <c r="AW231" s="137" t="e">
        <f t="shared" si="88"/>
        <v>#DIV/0!</v>
      </c>
      <c r="AX231" s="137" t="e">
        <f t="shared" si="88"/>
        <v>#DIV/0!</v>
      </c>
      <c r="AY231" s="106" t="e">
        <f t="shared" si="88"/>
        <v>#DIV/0!</v>
      </c>
    </row>
    <row r="232" spans="1:51">
      <c r="A232" s="128" t="s">
        <v>213</v>
      </c>
      <c r="B232" s="106" t="e">
        <f t="shared" si="88"/>
        <v>#DIV/0!</v>
      </c>
      <c r="C232" s="106" t="e">
        <f t="shared" si="88"/>
        <v>#DIV/0!</v>
      </c>
      <c r="D232" s="106" t="e">
        <f t="shared" si="88"/>
        <v>#DIV/0!</v>
      </c>
      <c r="E232" s="106" t="e">
        <f t="shared" si="88"/>
        <v>#DIV/0!</v>
      </c>
      <c r="F232" s="9" t="e">
        <f t="shared" si="88"/>
        <v>#DIV/0!</v>
      </c>
      <c r="G232" s="106" t="e">
        <f t="shared" si="88"/>
        <v>#DIV/0!</v>
      </c>
      <c r="H232" s="106" t="e">
        <f t="shared" si="88"/>
        <v>#DIV/0!</v>
      </c>
      <c r="I232" s="106" t="e">
        <f t="shared" si="88"/>
        <v>#DIV/0!</v>
      </c>
      <c r="J232" s="106" t="e">
        <f t="shared" si="88"/>
        <v>#DIV/0!</v>
      </c>
      <c r="K232" s="9" t="e">
        <f t="shared" si="88"/>
        <v>#DIV/0!</v>
      </c>
      <c r="L232" s="106" t="e">
        <f t="shared" si="88"/>
        <v>#DIV/0!</v>
      </c>
      <c r="M232" s="106" t="e">
        <f t="shared" si="88"/>
        <v>#DIV/0!</v>
      </c>
      <c r="N232" s="106" t="e">
        <f t="shared" si="88"/>
        <v>#DIV/0!</v>
      </c>
      <c r="O232" s="106" t="e">
        <f t="shared" si="88"/>
        <v>#DIV/0!</v>
      </c>
      <c r="P232" s="9" t="e">
        <f t="shared" si="88"/>
        <v>#DIV/0!</v>
      </c>
      <c r="Q232" s="137" t="e">
        <f t="shared" si="88"/>
        <v>#DIV/0!</v>
      </c>
      <c r="R232" s="137" t="e">
        <f t="shared" si="88"/>
        <v>#DIV/0!</v>
      </c>
      <c r="S232" s="137" t="e">
        <f t="shared" si="88"/>
        <v>#DIV/0!</v>
      </c>
      <c r="T232" s="137" t="e">
        <f t="shared" si="88"/>
        <v>#DIV/0!</v>
      </c>
      <c r="U232" s="9" t="e">
        <f t="shared" si="88"/>
        <v>#DIV/0!</v>
      </c>
      <c r="V232" s="137" t="e">
        <f t="shared" si="88"/>
        <v>#DIV/0!</v>
      </c>
      <c r="W232" s="137" t="e">
        <f t="shared" si="88"/>
        <v>#DIV/0!</v>
      </c>
      <c r="X232" s="137" t="e">
        <f t="shared" si="88"/>
        <v>#DIV/0!</v>
      </c>
      <c r="Y232" s="137" t="e">
        <f t="shared" si="88"/>
        <v>#DIV/0!</v>
      </c>
      <c r="Z232" s="9" t="e">
        <f t="shared" si="88"/>
        <v>#DIV/0!</v>
      </c>
      <c r="AA232" s="137" t="e">
        <f t="shared" si="88"/>
        <v>#DIV/0!</v>
      </c>
      <c r="AB232" s="137" t="e">
        <f t="shared" si="88"/>
        <v>#DIV/0!</v>
      </c>
      <c r="AC232" s="137" t="e">
        <f t="shared" si="88"/>
        <v>#DIV/0!</v>
      </c>
      <c r="AD232" s="137" t="e">
        <f t="shared" si="88"/>
        <v>#DIV/0!</v>
      </c>
      <c r="AE232" s="9" t="e">
        <f t="shared" si="88"/>
        <v>#DIV/0!</v>
      </c>
      <c r="AF232" s="137" t="e">
        <f t="shared" si="88"/>
        <v>#DIV/0!</v>
      </c>
      <c r="AG232" s="137" t="e">
        <f t="shared" si="88"/>
        <v>#DIV/0!</v>
      </c>
      <c r="AH232" s="137" t="e">
        <f t="shared" si="88"/>
        <v>#DIV/0!</v>
      </c>
      <c r="AI232" s="137" t="e">
        <f t="shared" si="88"/>
        <v>#DIV/0!</v>
      </c>
      <c r="AJ232" s="9" t="e">
        <f t="shared" si="88"/>
        <v>#DIV/0!</v>
      </c>
      <c r="AK232" s="137" t="e">
        <f t="shared" si="88"/>
        <v>#DIV/0!</v>
      </c>
      <c r="AL232" s="137" t="e">
        <f t="shared" si="88"/>
        <v>#DIV/0!</v>
      </c>
      <c r="AM232" s="137" t="e">
        <f t="shared" si="88"/>
        <v>#DIV/0!</v>
      </c>
      <c r="AN232" s="137" t="e">
        <f t="shared" si="88"/>
        <v>#DIV/0!</v>
      </c>
      <c r="AO232" s="9" t="e">
        <f t="shared" si="88"/>
        <v>#DIV/0!</v>
      </c>
      <c r="AP232" s="137" t="e">
        <f t="shared" si="88"/>
        <v>#DIV/0!</v>
      </c>
      <c r="AQ232" s="137" t="e">
        <f t="shared" si="88"/>
        <v>#DIV/0!</v>
      </c>
      <c r="AR232" s="137" t="e">
        <f t="shared" si="88"/>
        <v>#DIV/0!</v>
      </c>
      <c r="AS232" s="137" t="e">
        <f t="shared" si="88"/>
        <v>#DIV/0!</v>
      </c>
      <c r="AT232" s="9" t="e">
        <f t="shared" si="88"/>
        <v>#DIV/0!</v>
      </c>
      <c r="AU232" s="137" t="e">
        <f t="shared" si="88"/>
        <v>#DIV/0!</v>
      </c>
      <c r="AV232" s="137" t="e">
        <f t="shared" si="88"/>
        <v>#DIV/0!</v>
      </c>
      <c r="AW232" s="137" t="e">
        <f t="shared" si="88"/>
        <v>#DIV/0!</v>
      </c>
      <c r="AX232" s="137" t="e">
        <f t="shared" si="88"/>
        <v>#DIV/0!</v>
      </c>
      <c r="AY232" s="106" t="e">
        <f t="shared" si="88"/>
        <v>#DIV/0!</v>
      </c>
    </row>
    <row r="233" spans="1:51">
      <c r="A233" s="128" t="s">
        <v>215</v>
      </c>
      <c r="B233" s="106" t="e">
        <f t="shared" ref="B233:AY236" si="89">B95/B$137</f>
        <v>#DIV/0!</v>
      </c>
      <c r="C233" s="106" t="e">
        <f t="shared" si="89"/>
        <v>#DIV/0!</v>
      </c>
      <c r="D233" s="106" t="e">
        <f t="shared" si="89"/>
        <v>#DIV/0!</v>
      </c>
      <c r="E233" s="106" t="e">
        <f t="shared" si="89"/>
        <v>#DIV/0!</v>
      </c>
      <c r="F233" s="9" t="e">
        <f t="shared" si="89"/>
        <v>#DIV/0!</v>
      </c>
      <c r="G233" s="106" t="e">
        <f t="shared" si="89"/>
        <v>#DIV/0!</v>
      </c>
      <c r="H233" s="106" t="e">
        <f t="shared" si="89"/>
        <v>#DIV/0!</v>
      </c>
      <c r="I233" s="106" t="e">
        <f t="shared" si="89"/>
        <v>#DIV/0!</v>
      </c>
      <c r="J233" s="106" t="e">
        <f t="shared" si="89"/>
        <v>#DIV/0!</v>
      </c>
      <c r="K233" s="9" t="e">
        <f t="shared" si="89"/>
        <v>#DIV/0!</v>
      </c>
      <c r="L233" s="106" t="e">
        <f t="shared" si="89"/>
        <v>#DIV/0!</v>
      </c>
      <c r="M233" s="106" t="e">
        <f t="shared" si="89"/>
        <v>#DIV/0!</v>
      </c>
      <c r="N233" s="106" t="e">
        <f t="shared" si="89"/>
        <v>#DIV/0!</v>
      </c>
      <c r="O233" s="106" t="e">
        <f t="shared" si="89"/>
        <v>#DIV/0!</v>
      </c>
      <c r="P233" s="9" t="e">
        <f t="shared" si="89"/>
        <v>#DIV/0!</v>
      </c>
      <c r="Q233" s="137" t="e">
        <f t="shared" si="89"/>
        <v>#DIV/0!</v>
      </c>
      <c r="R233" s="137" t="e">
        <f t="shared" si="89"/>
        <v>#DIV/0!</v>
      </c>
      <c r="S233" s="137" t="e">
        <f t="shared" si="89"/>
        <v>#DIV/0!</v>
      </c>
      <c r="T233" s="137" t="e">
        <f t="shared" si="89"/>
        <v>#DIV/0!</v>
      </c>
      <c r="U233" s="9" t="e">
        <f t="shared" si="89"/>
        <v>#DIV/0!</v>
      </c>
      <c r="V233" s="137" t="e">
        <f t="shared" si="89"/>
        <v>#DIV/0!</v>
      </c>
      <c r="W233" s="137" t="e">
        <f t="shared" si="89"/>
        <v>#DIV/0!</v>
      </c>
      <c r="X233" s="137" t="e">
        <f t="shared" si="89"/>
        <v>#DIV/0!</v>
      </c>
      <c r="Y233" s="137" t="e">
        <f t="shared" si="89"/>
        <v>#DIV/0!</v>
      </c>
      <c r="Z233" s="9" t="e">
        <f t="shared" si="89"/>
        <v>#DIV/0!</v>
      </c>
      <c r="AA233" s="137" t="e">
        <f t="shared" si="89"/>
        <v>#DIV/0!</v>
      </c>
      <c r="AB233" s="137" t="e">
        <f t="shared" si="89"/>
        <v>#DIV/0!</v>
      </c>
      <c r="AC233" s="137" t="e">
        <f t="shared" si="89"/>
        <v>#DIV/0!</v>
      </c>
      <c r="AD233" s="137" t="e">
        <f t="shared" si="89"/>
        <v>#DIV/0!</v>
      </c>
      <c r="AE233" s="9" t="e">
        <f t="shared" si="89"/>
        <v>#DIV/0!</v>
      </c>
      <c r="AF233" s="137" t="e">
        <f t="shared" si="89"/>
        <v>#DIV/0!</v>
      </c>
      <c r="AG233" s="137" t="e">
        <f t="shared" si="89"/>
        <v>#DIV/0!</v>
      </c>
      <c r="AH233" s="137" t="e">
        <f t="shared" si="89"/>
        <v>#DIV/0!</v>
      </c>
      <c r="AI233" s="137" t="e">
        <f t="shared" si="89"/>
        <v>#DIV/0!</v>
      </c>
      <c r="AJ233" s="9" t="e">
        <f t="shared" si="89"/>
        <v>#DIV/0!</v>
      </c>
      <c r="AK233" s="137" t="e">
        <f t="shared" si="89"/>
        <v>#DIV/0!</v>
      </c>
      <c r="AL233" s="137" t="e">
        <f t="shared" si="89"/>
        <v>#DIV/0!</v>
      </c>
      <c r="AM233" s="137" t="e">
        <f t="shared" si="89"/>
        <v>#DIV/0!</v>
      </c>
      <c r="AN233" s="137" t="e">
        <f t="shared" si="89"/>
        <v>#DIV/0!</v>
      </c>
      <c r="AO233" s="9" t="e">
        <f t="shared" si="89"/>
        <v>#DIV/0!</v>
      </c>
      <c r="AP233" s="137" t="e">
        <f t="shared" si="89"/>
        <v>#DIV/0!</v>
      </c>
      <c r="AQ233" s="137" t="e">
        <f t="shared" si="89"/>
        <v>#DIV/0!</v>
      </c>
      <c r="AR233" s="137" t="e">
        <f t="shared" si="89"/>
        <v>#DIV/0!</v>
      </c>
      <c r="AS233" s="137" t="e">
        <f t="shared" si="89"/>
        <v>#DIV/0!</v>
      </c>
      <c r="AT233" s="9" t="e">
        <f t="shared" si="89"/>
        <v>#DIV/0!</v>
      </c>
      <c r="AU233" s="137" t="e">
        <f t="shared" si="89"/>
        <v>#DIV/0!</v>
      </c>
      <c r="AV233" s="137" t="e">
        <f t="shared" si="89"/>
        <v>#DIV/0!</v>
      </c>
      <c r="AW233" s="137" t="e">
        <f t="shared" si="89"/>
        <v>#DIV/0!</v>
      </c>
      <c r="AX233" s="137" t="e">
        <f t="shared" si="89"/>
        <v>#DIV/0!</v>
      </c>
      <c r="AY233" s="106" t="e">
        <f t="shared" si="89"/>
        <v>#DIV/0!</v>
      </c>
    </row>
    <row r="234" spans="1:51">
      <c r="A234" s="128" t="s">
        <v>217</v>
      </c>
      <c r="B234" s="106" t="e">
        <f t="shared" si="89"/>
        <v>#DIV/0!</v>
      </c>
      <c r="C234" s="106" t="e">
        <f t="shared" si="89"/>
        <v>#DIV/0!</v>
      </c>
      <c r="D234" s="106" t="e">
        <f t="shared" si="89"/>
        <v>#DIV/0!</v>
      </c>
      <c r="E234" s="106" t="e">
        <f t="shared" si="89"/>
        <v>#DIV/0!</v>
      </c>
      <c r="F234" s="9" t="e">
        <f t="shared" si="89"/>
        <v>#DIV/0!</v>
      </c>
      <c r="G234" s="106" t="e">
        <f t="shared" si="89"/>
        <v>#DIV/0!</v>
      </c>
      <c r="H234" s="106" t="e">
        <f t="shared" si="89"/>
        <v>#DIV/0!</v>
      </c>
      <c r="I234" s="106" t="e">
        <f t="shared" si="89"/>
        <v>#DIV/0!</v>
      </c>
      <c r="J234" s="106" t="e">
        <f t="shared" si="89"/>
        <v>#DIV/0!</v>
      </c>
      <c r="K234" s="9" t="e">
        <f t="shared" si="89"/>
        <v>#DIV/0!</v>
      </c>
      <c r="L234" s="106" t="e">
        <f t="shared" si="89"/>
        <v>#DIV/0!</v>
      </c>
      <c r="M234" s="106" t="e">
        <f t="shared" si="89"/>
        <v>#DIV/0!</v>
      </c>
      <c r="N234" s="106" t="e">
        <f t="shared" si="89"/>
        <v>#DIV/0!</v>
      </c>
      <c r="O234" s="106" t="e">
        <f t="shared" si="89"/>
        <v>#DIV/0!</v>
      </c>
      <c r="P234" s="9" t="e">
        <f t="shared" si="89"/>
        <v>#DIV/0!</v>
      </c>
      <c r="Q234" s="137" t="e">
        <f t="shared" si="89"/>
        <v>#DIV/0!</v>
      </c>
      <c r="R234" s="137" t="e">
        <f t="shared" si="89"/>
        <v>#DIV/0!</v>
      </c>
      <c r="S234" s="137" t="e">
        <f t="shared" si="89"/>
        <v>#DIV/0!</v>
      </c>
      <c r="T234" s="137" t="e">
        <f t="shared" si="89"/>
        <v>#DIV/0!</v>
      </c>
      <c r="U234" s="9" t="e">
        <f t="shared" si="89"/>
        <v>#DIV/0!</v>
      </c>
      <c r="V234" s="137" t="e">
        <f t="shared" si="89"/>
        <v>#DIV/0!</v>
      </c>
      <c r="W234" s="137" t="e">
        <f t="shared" si="89"/>
        <v>#DIV/0!</v>
      </c>
      <c r="X234" s="137" t="e">
        <f t="shared" si="89"/>
        <v>#DIV/0!</v>
      </c>
      <c r="Y234" s="137" t="e">
        <f t="shared" si="89"/>
        <v>#DIV/0!</v>
      </c>
      <c r="Z234" s="9" t="e">
        <f t="shared" si="89"/>
        <v>#DIV/0!</v>
      </c>
      <c r="AA234" s="137" t="e">
        <f t="shared" si="89"/>
        <v>#DIV/0!</v>
      </c>
      <c r="AB234" s="137" t="e">
        <f t="shared" si="89"/>
        <v>#DIV/0!</v>
      </c>
      <c r="AC234" s="137" t="e">
        <f t="shared" si="89"/>
        <v>#DIV/0!</v>
      </c>
      <c r="AD234" s="137" t="e">
        <f t="shared" si="89"/>
        <v>#DIV/0!</v>
      </c>
      <c r="AE234" s="9" t="e">
        <f t="shared" si="89"/>
        <v>#DIV/0!</v>
      </c>
      <c r="AF234" s="137" t="e">
        <f t="shared" si="89"/>
        <v>#DIV/0!</v>
      </c>
      <c r="AG234" s="137" t="e">
        <f t="shared" si="89"/>
        <v>#DIV/0!</v>
      </c>
      <c r="AH234" s="137" t="e">
        <f t="shared" si="89"/>
        <v>#DIV/0!</v>
      </c>
      <c r="AI234" s="137" t="e">
        <f t="shared" si="89"/>
        <v>#DIV/0!</v>
      </c>
      <c r="AJ234" s="9" t="e">
        <f t="shared" si="89"/>
        <v>#DIV/0!</v>
      </c>
      <c r="AK234" s="137" t="e">
        <f t="shared" si="89"/>
        <v>#DIV/0!</v>
      </c>
      <c r="AL234" s="137" t="e">
        <f t="shared" si="89"/>
        <v>#DIV/0!</v>
      </c>
      <c r="AM234" s="137" t="e">
        <f t="shared" si="89"/>
        <v>#DIV/0!</v>
      </c>
      <c r="AN234" s="137" t="e">
        <f t="shared" si="89"/>
        <v>#DIV/0!</v>
      </c>
      <c r="AO234" s="9" t="e">
        <f t="shared" si="89"/>
        <v>#DIV/0!</v>
      </c>
      <c r="AP234" s="137" t="e">
        <f t="shared" si="89"/>
        <v>#DIV/0!</v>
      </c>
      <c r="AQ234" s="137" t="e">
        <f t="shared" si="89"/>
        <v>#DIV/0!</v>
      </c>
      <c r="AR234" s="137" t="e">
        <f t="shared" si="89"/>
        <v>#DIV/0!</v>
      </c>
      <c r="AS234" s="137" t="e">
        <f t="shared" si="89"/>
        <v>#DIV/0!</v>
      </c>
      <c r="AT234" s="9" t="e">
        <f t="shared" si="89"/>
        <v>#DIV/0!</v>
      </c>
      <c r="AU234" s="137" t="e">
        <f t="shared" si="89"/>
        <v>#DIV/0!</v>
      </c>
      <c r="AV234" s="137" t="e">
        <f t="shared" si="89"/>
        <v>#DIV/0!</v>
      </c>
      <c r="AW234" s="137" t="e">
        <f t="shared" si="89"/>
        <v>#DIV/0!</v>
      </c>
      <c r="AX234" s="137" t="e">
        <f t="shared" si="89"/>
        <v>#DIV/0!</v>
      </c>
      <c r="AY234" s="106" t="e">
        <f t="shared" si="89"/>
        <v>#DIV/0!</v>
      </c>
    </row>
    <row r="235" spans="1:51">
      <c r="A235" s="128" t="s">
        <v>219</v>
      </c>
      <c r="B235" s="106" t="e">
        <f t="shared" si="89"/>
        <v>#DIV/0!</v>
      </c>
      <c r="C235" s="106" t="e">
        <f t="shared" si="89"/>
        <v>#DIV/0!</v>
      </c>
      <c r="D235" s="106" t="e">
        <f t="shared" si="89"/>
        <v>#DIV/0!</v>
      </c>
      <c r="E235" s="106" t="e">
        <f t="shared" si="89"/>
        <v>#DIV/0!</v>
      </c>
      <c r="F235" s="9" t="e">
        <f t="shared" si="89"/>
        <v>#DIV/0!</v>
      </c>
      <c r="G235" s="106" t="e">
        <f t="shared" si="89"/>
        <v>#DIV/0!</v>
      </c>
      <c r="H235" s="106" t="e">
        <f t="shared" si="89"/>
        <v>#DIV/0!</v>
      </c>
      <c r="I235" s="106" t="e">
        <f t="shared" si="89"/>
        <v>#DIV/0!</v>
      </c>
      <c r="J235" s="106" t="e">
        <f t="shared" si="89"/>
        <v>#DIV/0!</v>
      </c>
      <c r="K235" s="9" t="e">
        <f t="shared" si="89"/>
        <v>#DIV/0!</v>
      </c>
      <c r="L235" s="106" t="e">
        <f t="shared" si="89"/>
        <v>#DIV/0!</v>
      </c>
      <c r="M235" s="106" t="e">
        <f t="shared" si="89"/>
        <v>#DIV/0!</v>
      </c>
      <c r="N235" s="106" t="e">
        <f t="shared" si="89"/>
        <v>#DIV/0!</v>
      </c>
      <c r="O235" s="106" t="e">
        <f t="shared" si="89"/>
        <v>#DIV/0!</v>
      </c>
      <c r="P235" s="9" t="e">
        <f t="shared" si="89"/>
        <v>#DIV/0!</v>
      </c>
      <c r="Q235" s="137" t="e">
        <f t="shared" si="89"/>
        <v>#DIV/0!</v>
      </c>
      <c r="R235" s="137" t="e">
        <f t="shared" si="89"/>
        <v>#DIV/0!</v>
      </c>
      <c r="S235" s="137" t="e">
        <f t="shared" si="89"/>
        <v>#DIV/0!</v>
      </c>
      <c r="T235" s="137" t="e">
        <f t="shared" si="89"/>
        <v>#DIV/0!</v>
      </c>
      <c r="U235" s="9" t="e">
        <f t="shared" si="89"/>
        <v>#DIV/0!</v>
      </c>
      <c r="V235" s="137" t="e">
        <f t="shared" si="89"/>
        <v>#DIV/0!</v>
      </c>
      <c r="W235" s="137" t="e">
        <f t="shared" si="89"/>
        <v>#DIV/0!</v>
      </c>
      <c r="X235" s="137" t="e">
        <f t="shared" si="89"/>
        <v>#DIV/0!</v>
      </c>
      <c r="Y235" s="137" t="e">
        <f t="shared" si="89"/>
        <v>#DIV/0!</v>
      </c>
      <c r="Z235" s="9" t="e">
        <f t="shared" si="89"/>
        <v>#DIV/0!</v>
      </c>
      <c r="AA235" s="137" t="e">
        <f t="shared" si="89"/>
        <v>#DIV/0!</v>
      </c>
      <c r="AB235" s="137" t="e">
        <f t="shared" si="89"/>
        <v>#DIV/0!</v>
      </c>
      <c r="AC235" s="137" t="e">
        <f t="shared" si="89"/>
        <v>#DIV/0!</v>
      </c>
      <c r="AD235" s="137" t="e">
        <f t="shared" si="89"/>
        <v>#DIV/0!</v>
      </c>
      <c r="AE235" s="9" t="e">
        <f t="shared" si="89"/>
        <v>#DIV/0!</v>
      </c>
      <c r="AF235" s="137" t="e">
        <f t="shared" si="89"/>
        <v>#DIV/0!</v>
      </c>
      <c r="AG235" s="137" t="e">
        <f t="shared" si="89"/>
        <v>#DIV/0!</v>
      </c>
      <c r="AH235" s="137" t="e">
        <f t="shared" si="89"/>
        <v>#DIV/0!</v>
      </c>
      <c r="AI235" s="137" t="e">
        <f t="shared" si="89"/>
        <v>#DIV/0!</v>
      </c>
      <c r="AJ235" s="9" t="e">
        <f t="shared" si="89"/>
        <v>#DIV/0!</v>
      </c>
      <c r="AK235" s="137" t="e">
        <f t="shared" si="89"/>
        <v>#DIV/0!</v>
      </c>
      <c r="AL235" s="137" t="e">
        <f t="shared" si="89"/>
        <v>#DIV/0!</v>
      </c>
      <c r="AM235" s="137" t="e">
        <f t="shared" si="89"/>
        <v>#DIV/0!</v>
      </c>
      <c r="AN235" s="137" t="e">
        <f t="shared" si="89"/>
        <v>#DIV/0!</v>
      </c>
      <c r="AO235" s="9" t="e">
        <f t="shared" si="89"/>
        <v>#DIV/0!</v>
      </c>
      <c r="AP235" s="137" t="e">
        <f t="shared" si="89"/>
        <v>#DIV/0!</v>
      </c>
      <c r="AQ235" s="137" t="e">
        <f t="shared" si="89"/>
        <v>#DIV/0!</v>
      </c>
      <c r="AR235" s="137" t="e">
        <f t="shared" si="89"/>
        <v>#DIV/0!</v>
      </c>
      <c r="AS235" s="137" t="e">
        <f t="shared" si="89"/>
        <v>#DIV/0!</v>
      </c>
      <c r="AT235" s="9" t="e">
        <f t="shared" si="89"/>
        <v>#DIV/0!</v>
      </c>
      <c r="AU235" s="137" t="e">
        <f t="shared" si="89"/>
        <v>#DIV/0!</v>
      </c>
      <c r="AV235" s="137" t="e">
        <f t="shared" si="89"/>
        <v>#DIV/0!</v>
      </c>
      <c r="AW235" s="137" t="e">
        <f t="shared" si="89"/>
        <v>#DIV/0!</v>
      </c>
      <c r="AX235" s="137" t="e">
        <f t="shared" si="89"/>
        <v>#DIV/0!</v>
      </c>
      <c r="AY235" s="106" t="e">
        <f t="shared" si="89"/>
        <v>#DIV/0!</v>
      </c>
    </row>
    <row r="236" spans="1:51">
      <c r="A236" s="128" t="s">
        <v>221</v>
      </c>
      <c r="B236" s="106" t="e">
        <f t="shared" si="89"/>
        <v>#DIV/0!</v>
      </c>
      <c r="C236" s="106" t="e">
        <f t="shared" si="89"/>
        <v>#DIV/0!</v>
      </c>
      <c r="D236" s="106" t="e">
        <f t="shared" si="89"/>
        <v>#DIV/0!</v>
      </c>
      <c r="E236" s="106" t="e">
        <f t="shared" si="89"/>
        <v>#DIV/0!</v>
      </c>
      <c r="F236" s="9" t="e">
        <f t="shared" si="89"/>
        <v>#DIV/0!</v>
      </c>
      <c r="G236" s="106" t="e">
        <f t="shared" si="89"/>
        <v>#DIV/0!</v>
      </c>
      <c r="H236" s="106" t="e">
        <f t="shared" si="89"/>
        <v>#DIV/0!</v>
      </c>
      <c r="I236" s="106" t="e">
        <f t="shared" si="89"/>
        <v>#DIV/0!</v>
      </c>
      <c r="J236" s="106" t="e">
        <f t="shared" si="89"/>
        <v>#DIV/0!</v>
      </c>
      <c r="K236" s="9" t="e">
        <f t="shared" si="89"/>
        <v>#DIV/0!</v>
      </c>
      <c r="L236" s="106" t="e">
        <f t="shared" si="89"/>
        <v>#DIV/0!</v>
      </c>
      <c r="M236" s="106" t="e">
        <f t="shared" si="89"/>
        <v>#DIV/0!</v>
      </c>
      <c r="N236" s="106" t="e">
        <f t="shared" si="89"/>
        <v>#DIV/0!</v>
      </c>
      <c r="O236" s="106" t="e">
        <f t="shared" si="89"/>
        <v>#DIV/0!</v>
      </c>
      <c r="P236" s="9" t="e">
        <f t="shared" si="89"/>
        <v>#DIV/0!</v>
      </c>
      <c r="Q236" s="137" t="e">
        <f t="shared" si="89"/>
        <v>#DIV/0!</v>
      </c>
      <c r="R236" s="137" t="e">
        <f t="shared" si="89"/>
        <v>#DIV/0!</v>
      </c>
      <c r="S236" s="137" t="e">
        <f t="shared" si="89"/>
        <v>#DIV/0!</v>
      </c>
      <c r="T236" s="137" t="e">
        <f t="shared" si="89"/>
        <v>#DIV/0!</v>
      </c>
      <c r="U236" s="9" t="e">
        <f t="shared" si="89"/>
        <v>#DIV/0!</v>
      </c>
      <c r="V236" s="137" t="e">
        <f t="shared" si="89"/>
        <v>#DIV/0!</v>
      </c>
      <c r="W236" s="137" t="e">
        <f t="shared" si="89"/>
        <v>#DIV/0!</v>
      </c>
      <c r="X236" s="137" t="e">
        <f t="shared" si="89"/>
        <v>#DIV/0!</v>
      </c>
      <c r="Y236" s="137" t="e">
        <f t="shared" si="89"/>
        <v>#DIV/0!</v>
      </c>
      <c r="Z236" s="9" t="e">
        <f t="shared" si="89"/>
        <v>#DIV/0!</v>
      </c>
      <c r="AA236" s="137" t="e">
        <f t="shared" si="89"/>
        <v>#DIV/0!</v>
      </c>
      <c r="AB236" s="137" t="e">
        <f t="shared" si="89"/>
        <v>#DIV/0!</v>
      </c>
      <c r="AC236" s="137" t="e">
        <f t="shared" si="89"/>
        <v>#DIV/0!</v>
      </c>
      <c r="AD236" s="137" t="e">
        <f t="shared" si="89"/>
        <v>#DIV/0!</v>
      </c>
      <c r="AE236" s="9" t="e">
        <f t="shared" si="89"/>
        <v>#DIV/0!</v>
      </c>
      <c r="AF236" s="137" t="e">
        <f t="shared" si="89"/>
        <v>#DIV/0!</v>
      </c>
      <c r="AG236" s="137" t="e">
        <f t="shared" si="89"/>
        <v>#DIV/0!</v>
      </c>
      <c r="AH236" s="137" t="e">
        <f t="shared" si="89"/>
        <v>#DIV/0!</v>
      </c>
      <c r="AI236" s="137" t="e">
        <f t="shared" si="89"/>
        <v>#DIV/0!</v>
      </c>
      <c r="AJ236" s="9" t="e">
        <f t="shared" si="89"/>
        <v>#DIV/0!</v>
      </c>
      <c r="AK236" s="137" t="e">
        <f t="shared" si="89"/>
        <v>#DIV/0!</v>
      </c>
      <c r="AL236" s="137" t="e">
        <f t="shared" si="89"/>
        <v>#DIV/0!</v>
      </c>
      <c r="AM236" s="137" t="e">
        <f t="shared" si="89"/>
        <v>#DIV/0!</v>
      </c>
      <c r="AN236" s="137" t="e">
        <f t="shared" si="89"/>
        <v>#DIV/0!</v>
      </c>
      <c r="AO236" s="9" t="e">
        <f t="shared" si="89"/>
        <v>#DIV/0!</v>
      </c>
      <c r="AP236" s="137" t="e">
        <f t="shared" si="89"/>
        <v>#DIV/0!</v>
      </c>
      <c r="AQ236" s="137" t="e">
        <f t="shared" si="89"/>
        <v>#DIV/0!</v>
      </c>
      <c r="AR236" s="137" t="e">
        <f t="shared" si="89"/>
        <v>#DIV/0!</v>
      </c>
      <c r="AS236" s="137" t="e">
        <f t="shared" si="89"/>
        <v>#DIV/0!</v>
      </c>
      <c r="AT236" s="9" t="e">
        <f t="shared" si="89"/>
        <v>#DIV/0!</v>
      </c>
      <c r="AU236" s="137" t="e">
        <f t="shared" si="89"/>
        <v>#DIV/0!</v>
      </c>
      <c r="AV236" s="137" t="e">
        <f t="shared" si="89"/>
        <v>#DIV/0!</v>
      </c>
      <c r="AW236" s="137" t="e">
        <f t="shared" si="89"/>
        <v>#DIV/0!</v>
      </c>
      <c r="AX236" s="137" t="e">
        <f t="shared" si="89"/>
        <v>#DIV/0!</v>
      </c>
      <c r="AY236" s="106" t="e">
        <f t="shared" si="89"/>
        <v>#DIV/0!</v>
      </c>
    </row>
    <row r="237" spans="1:51">
      <c r="A237" s="128" t="s">
        <v>223</v>
      </c>
      <c r="B237" s="106" t="e">
        <f t="shared" ref="B237:AY240" si="90">B99/B$137</f>
        <v>#DIV/0!</v>
      </c>
      <c r="C237" s="106" t="e">
        <f t="shared" si="90"/>
        <v>#DIV/0!</v>
      </c>
      <c r="D237" s="106" t="e">
        <f t="shared" si="90"/>
        <v>#DIV/0!</v>
      </c>
      <c r="E237" s="106" t="e">
        <f t="shared" si="90"/>
        <v>#DIV/0!</v>
      </c>
      <c r="F237" s="9" t="e">
        <f t="shared" si="90"/>
        <v>#DIV/0!</v>
      </c>
      <c r="G237" s="106" t="e">
        <f t="shared" si="90"/>
        <v>#DIV/0!</v>
      </c>
      <c r="H237" s="106" t="e">
        <f t="shared" si="90"/>
        <v>#DIV/0!</v>
      </c>
      <c r="I237" s="106" t="e">
        <f t="shared" si="90"/>
        <v>#DIV/0!</v>
      </c>
      <c r="J237" s="106" t="e">
        <f t="shared" si="90"/>
        <v>#DIV/0!</v>
      </c>
      <c r="K237" s="9" t="e">
        <f t="shared" si="90"/>
        <v>#DIV/0!</v>
      </c>
      <c r="L237" s="106" t="e">
        <f t="shared" si="90"/>
        <v>#DIV/0!</v>
      </c>
      <c r="M237" s="106" t="e">
        <f t="shared" si="90"/>
        <v>#DIV/0!</v>
      </c>
      <c r="N237" s="106" t="e">
        <f t="shared" si="90"/>
        <v>#DIV/0!</v>
      </c>
      <c r="O237" s="106" t="e">
        <f t="shared" si="90"/>
        <v>#DIV/0!</v>
      </c>
      <c r="P237" s="9" t="e">
        <f t="shared" si="90"/>
        <v>#DIV/0!</v>
      </c>
      <c r="Q237" s="137" t="e">
        <f t="shared" si="90"/>
        <v>#DIV/0!</v>
      </c>
      <c r="R237" s="137" t="e">
        <f t="shared" si="90"/>
        <v>#DIV/0!</v>
      </c>
      <c r="S237" s="137" t="e">
        <f t="shared" si="90"/>
        <v>#DIV/0!</v>
      </c>
      <c r="T237" s="137" t="e">
        <f t="shared" si="90"/>
        <v>#DIV/0!</v>
      </c>
      <c r="U237" s="9" t="e">
        <f t="shared" si="90"/>
        <v>#DIV/0!</v>
      </c>
      <c r="V237" s="137" t="e">
        <f t="shared" si="90"/>
        <v>#DIV/0!</v>
      </c>
      <c r="W237" s="137" t="e">
        <f t="shared" si="90"/>
        <v>#DIV/0!</v>
      </c>
      <c r="X237" s="137" t="e">
        <f t="shared" si="90"/>
        <v>#DIV/0!</v>
      </c>
      <c r="Y237" s="137" t="e">
        <f t="shared" si="90"/>
        <v>#DIV/0!</v>
      </c>
      <c r="Z237" s="9" t="e">
        <f t="shared" si="90"/>
        <v>#DIV/0!</v>
      </c>
      <c r="AA237" s="137" t="e">
        <f t="shared" si="90"/>
        <v>#DIV/0!</v>
      </c>
      <c r="AB237" s="137" t="e">
        <f t="shared" si="90"/>
        <v>#DIV/0!</v>
      </c>
      <c r="AC237" s="137" t="e">
        <f t="shared" si="90"/>
        <v>#DIV/0!</v>
      </c>
      <c r="AD237" s="137" t="e">
        <f t="shared" si="90"/>
        <v>#DIV/0!</v>
      </c>
      <c r="AE237" s="9" t="e">
        <f t="shared" si="90"/>
        <v>#DIV/0!</v>
      </c>
      <c r="AF237" s="137" t="e">
        <f t="shared" si="90"/>
        <v>#DIV/0!</v>
      </c>
      <c r="AG237" s="137" t="e">
        <f t="shared" si="90"/>
        <v>#DIV/0!</v>
      </c>
      <c r="AH237" s="137" t="e">
        <f t="shared" si="90"/>
        <v>#DIV/0!</v>
      </c>
      <c r="AI237" s="137" t="e">
        <f t="shared" si="90"/>
        <v>#DIV/0!</v>
      </c>
      <c r="AJ237" s="9" t="e">
        <f t="shared" si="90"/>
        <v>#DIV/0!</v>
      </c>
      <c r="AK237" s="137" t="e">
        <f t="shared" si="90"/>
        <v>#DIV/0!</v>
      </c>
      <c r="AL237" s="137" t="e">
        <f t="shared" si="90"/>
        <v>#DIV/0!</v>
      </c>
      <c r="AM237" s="137" t="e">
        <f t="shared" si="90"/>
        <v>#DIV/0!</v>
      </c>
      <c r="AN237" s="137" t="e">
        <f t="shared" si="90"/>
        <v>#DIV/0!</v>
      </c>
      <c r="AO237" s="9" t="e">
        <f t="shared" si="90"/>
        <v>#DIV/0!</v>
      </c>
      <c r="AP237" s="137" t="e">
        <f t="shared" si="90"/>
        <v>#DIV/0!</v>
      </c>
      <c r="AQ237" s="137" t="e">
        <f t="shared" si="90"/>
        <v>#DIV/0!</v>
      </c>
      <c r="AR237" s="137" t="e">
        <f t="shared" si="90"/>
        <v>#DIV/0!</v>
      </c>
      <c r="AS237" s="137" t="e">
        <f t="shared" si="90"/>
        <v>#DIV/0!</v>
      </c>
      <c r="AT237" s="9" t="e">
        <f t="shared" si="90"/>
        <v>#DIV/0!</v>
      </c>
      <c r="AU237" s="137" t="e">
        <f t="shared" si="90"/>
        <v>#DIV/0!</v>
      </c>
      <c r="AV237" s="137" t="e">
        <f t="shared" si="90"/>
        <v>#DIV/0!</v>
      </c>
      <c r="AW237" s="137" t="e">
        <f t="shared" si="90"/>
        <v>#DIV/0!</v>
      </c>
      <c r="AX237" s="137" t="e">
        <f t="shared" si="90"/>
        <v>#DIV/0!</v>
      </c>
      <c r="AY237" s="106" t="e">
        <f t="shared" si="90"/>
        <v>#DIV/0!</v>
      </c>
    </row>
    <row r="238" spans="1:51">
      <c r="A238" s="128" t="s">
        <v>225</v>
      </c>
      <c r="B238" s="106" t="e">
        <f t="shared" si="90"/>
        <v>#DIV/0!</v>
      </c>
      <c r="C238" s="106" t="e">
        <f t="shared" si="90"/>
        <v>#DIV/0!</v>
      </c>
      <c r="D238" s="106" t="e">
        <f t="shared" si="90"/>
        <v>#DIV/0!</v>
      </c>
      <c r="E238" s="106" t="e">
        <f t="shared" si="90"/>
        <v>#DIV/0!</v>
      </c>
      <c r="F238" s="9" t="e">
        <f t="shared" si="90"/>
        <v>#DIV/0!</v>
      </c>
      <c r="G238" s="106" t="e">
        <f t="shared" si="90"/>
        <v>#DIV/0!</v>
      </c>
      <c r="H238" s="106" t="e">
        <f t="shared" si="90"/>
        <v>#DIV/0!</v>
      </c>
      <c r="I238" s="106" t="e">
        <f t="shared" si="90"/>
        <v>#DIV/0!</v>
      </c>
      <c r="J238" s="106" t="e">
        <f t="shared" si="90"/>
        <v>#DIV/0!</v>
      </c>
      <c r="K238" s="9" t="e">
        <f t="shared" si="90"/>
        <v>#DIV/0!</v>
      </c>
      <c r="L238" s="106" t="e">
        <f t="shared" si="90"/>
        <v>#DIV/0!</v>
      </c>
      <c r="M238" s="106" t="e">
        <f t="shared" si="90"/>
        <v>#DIV/0!</v>
      </c>
      <c r="N238" s="106" t="e">
        <f t="shared" si="90"/>
        <v>#DIV/0!</v>
      </c>
      <c r="O238" s="106" t="e">
        <f t="shared" si="90"/>
        <v>#DIV/0!</v>
      </c>
      <c r="P238" s="9" t="e">
        <f t="shared" si="90"/>
        <v>#DIV/0!</v>
      </c>
      <c r="Q238" s="137" t="e">
        <f t="shared" si="90"/>
        <v>#DIV/0!</v>
      </c>
      <c r="R238" s="137" t="e">
        <f t="shared" si="90"/>
        <v>#DIV/0!</v>
      </c>
      <c r="S238" s="137" t="e">
        <f t="shared" si="90"/>
        <v>#DIV/0!</v>
      </c>
      <c r="T238" s="137" t="e">
        <f t="shared" si="90"/>
        <v>#DIV/0!</v>
      </c>
      <c r="U238" s="9" t="e">
        <f t="shared" si="90"/>
        <v>#DIV/0!</v>
      </c>
      <c r="V238" s="137" t="e">
        <f t="shared" si="90"/>
        <v>#DIV/0!</v>
      </c>
      <c r="W238" s="137" t="e">
        <f t="shared" si="90"/>
        <v>#DIV/0!</v>
      </c>
      <c r="X238" s="137" t="e">
        <f t="shared" si="90"/>
        <v>#DIV/0!</v>
      </c>
      <c r="Y238" s="137" t="e">
        <f t="shared" si="90"/>
        <v>#DIV/0!</v>
      </c>
      <c r="Z238" s="9" t="e">
        <f t="shared" si="90"/>
        <v>#DIV/0!</v>
      </c>
      <c r="AA238" s="137" t="e">
        <f t="shared" si="90"/>
        <v>#DIV/0!</v>
      </c>
      <c r="AB238" s="137" t="e">
        <f t="shared" si="90"/>
        <v>#DIV/0!</v>
      </c>
      <c r="AC238" s="137" t="e">
        <f t="shared" si="90"/>
        <v>#DIV/0!</v>
      </c>
      <c r="AD238" s="137" t="e">
        <f t="shared" si="90"/>
        <v>#DIV/0!</v>
      </c>
      <c r="AE238" s="9" t="e">
        <f t="shared" si="90"/>
        <v>#DIV/0!</v>
      </c>
      <c r="AF238" s="137" t="e">
        <f t="shared" si="90"/>
        <v>#DIV/0!</v>
      </c>
      <c r="AG238" s="137" t="e">
        <f t="shared" si="90"/>
        <v>#DIV/0!</v>
      </c>
      <c r="AH238" s="137" t="e">
        <f t="shared" si="90"/>
        <v>#DIV/0!</v>
      </c>
      <c r="AI238" s="137" t="e">
        <f t="shared" si="90"/>
        <v>#DIV/0!</v>
      </c>
      <c r="AJ238" s="9" t="e">
        <f t="shared" si="90"/>
        <v>#DIV/0!</v>
      </c>
      <c r="AK238" s="137" t="e">
        <f t="shared" si="90"/>
        <v>#DIV/0!</v>
      </c>
      <c r="AL238" s="137" t="e">
        <f t="shared" si="90"/>
        <v>#DIV/0!</v>
      </c>
      <c r="AM238" s="137" t="e">
        <f t="shared" si="90"/>
        <v>#DIV/0!</v>
      </c>
      <c r="AN238" s="137" t="e">
        <f t="shared" si="90"/>
        <v>#DIV/0!</v>
      </c>
      <c r="AO238" s="9" t="e">
        <f t="shared" si="90"/>
        <v>#DIV/0!</v>
      </c>
      <c r="AP238" s="137" t="e">
        <f t="shared" si="90"/>
        <v>#DIV/0!</v>
      </c>
      <c r="AQ238" s="137" t="e">
        <f t="shared" si="90"/>
        <v>#DIV/0!</v>
      </c>
      <c r="AR238" s="137" t="e">
        <f t="shared" si="90"/>
        <v>#DIV/0!</v>
      </c>
      <c r="AS238" s="137" t="e">
        <f t="shared" si="90"/>
        <v>#DIV/0!</v>
      </c>
      <c r="AT238" s="9" t="e">
        <f t="shared" si="90"/>
        <v>#DIV/0!</v>
      </c>
      <c r="AU238" s="137" t="e">
        <f t="shared" si="90"/>
        <v>#DIV/0!</v>
      </c>
      <c r="AV238" s="137" t="e">
        <f t="shared" si="90"/>
        <v>#DIV/0!</v>
      </c>
      <c r="AW238" s="137" t="e">
        <f t="shared" si="90"/>
        <v>#DIV/0!</v>
      </c>
      <c r="AX238" s="137" t="e">
        <f t="shared" si="90"/>
        <v>#DIV/0!</v>
      </c>
      <c r="AY238" s="106" t="e">
        <f t="shared" si="90"/>
        <v>#DIV/0!</v>
      </c>
    </row>
    <row r="239" spans="1:51">
      <c r="A239" s="128" t="s">
        <v>227</v>
      </c>
      <c r="B239" s="106" t="e">
        <f t="shared" si="90"/>
        <v>#DIV/0!</v>
      </c>
      <c r="C239" s="106" t="e">
        <f t="shared" si="90"/>
        <v>#DIV/0!</v>
      </c>
      <c r="D239" s="106" t="e">
        <f t="shared" si="90"/>
        <v>#DIV/0!</v>
      </c>
      <c r="E239" s="106" t="e">
        <f t="shared" si="90"/>
        <v>#DIV/0!</v>
      </c>
      <c r="F239" s="9" t="e">
        <f t="shared" si="90"/>
        <v>#DIV/0!</v>
      </c>
      <c r="G239" s="106" t="e">
        <f t="shared" si="90"/>
        <v>#DIV/0!</v>
      </c>
      <c r="H239" s="106" t="e">
        <f t="shared" si="90"/>
        <v>#DIV/0!</v>
      </c>
      <c r="I239" s="106" t="e">
        <f t="shared" si="90"/>
        <v>#DIV/0!</v>
      </c>
      <c r="J239" s="106" t="e">
        <f t="shared" si="90"/>
        <v>#DIV/0!</v>
      </c>
      <c r="K239" s="9" t="e">
        <f t="shared" si="90"/>
        <v>#DIV/0!</v>
      </c>
      <c r="L239" s="106" t="e">
        <f t="shared" si="90"/>
        <v>#DIV/0!</v>
      </c>
      <c r="M239" s="106" t="e">
        <f t="shared" si="90"/>
        <v>#DIV/0!</v>
      </c>
      <c r="N239" s="106" t="e">
        <f t="shared" si="90"/>
        <v>#DIV/0!</v>
      </c>
      <c r="O239" s="106" t="e">
        <f t="shared" si="90"/>
        <v>#DIV/0!</v>
      </c>
      <c r="P239" s="9" t="e">
        <f t="shared" si="90"/>
        <v>#DIV/0!</v>
      </c>
      <c r="Q239" s="137" t="e">
        <f t="shared" si="90"/>
        <v>#DIV/0!</v>
      </c>
      <c r="R239" s="137" t="e">
        <f t="shared" si="90"/>
        <v>#DIV/0!</v>
      </c>
      <c r="S239" s="137" t="e">
        <f t="shared" si="90"/>
        <v>#DIV/0!</v>
      </c>
      <c r="T239" s="137" t="e">
        <f t="shared" si="90"/>
        <v>#DIV/0!</v>
      </c>
      <c r="U239" s="9" t="e">
        <f t="shared" si="90"/>
        <v>#DIV/0!</v>
      </c>
      <c r="V239" s="137" t="e">
        <f t="shared" si="90"/>
        <v>#DIV/0!</v>
      </c>
      <c r="W239" s="137" t="e">
        <f t="shared" si="90"/>
        <v>#DIV/0!</v>
      </c>
      <c r="X239" s="137" t="e">
        <f t="shared" si="90"/>
        <v>#DIV/0!</v>
      </c>
      <c r="Y239" s="137" t="e">
        <f t="shared" si="90"/>
        <v>#DIV/0!</v>
      </c>
      <c r="Z239" s="9" t="e">
        <f t="shared" si="90"/>
        <v>#DIV/0!</v>
      </c>
      <c r="AA239" s="137" t="e">
        <f t="shared" si="90"/>
        <v>#DIV/0!</v>
      </c>
      <c r="AB239" s="137" t="e">
        <f t="shared" si="90"/>
        <v>#DIV/0!</v>
      </c>
      <c r="AC239" s="137" t="e">
        <f t="shared" si="90"/>
        <v>#DIV/0!</v>
      </c>
      <c r="AD239" s="137" t="e">
        <f t="shared" si="90"/>
        <v>#DIV/0!</v>
      </c>
      <c r="AE239" s="9" t="e">
        <f t="shared" si="90"/>
        <v>#DIV/0!</v>
      </c>
      <c r="AF239" s="137" t="e">
        <f t="shared" si="90"/>
        <v>#DIV/0!</v>
      </c>
      <c r="AG239" s="137" t="e">
        <f t="shared" si="90"/>
        <v>#DIV/0!</v>
      </c>
      <c r="AH239" s="137" t="e">
        <f t="shared" si="90"/>
        <v>#DIV/0!</v>
      </c>
      <c r="AI239" s="137" t="e">
        <f t="shared" si="90"/>
        <v>#DIV/0!</v>
      </c>
      <c r="AJ239" s="9" t="e">
        <f t="shared" si="90"/>
        <v>#DIV/0!</v>
      </c>
      <c r="AK239" s="137" t="e">
        <f t="shared" si="90"/>
        <v>#DIV/0!</v>
      </c>
      <c r="AL239" s="137" t="e">
        <f t="shared" si="90"/>
        <v>#DIV/0!</v>
      </c>
      <c r="AM239" s="137" t="e">
        <f t="shared" si="90"/>
        <v>#DIV/0!</v>
      </c>
      <c r="AN239" s="137" t="e">
        <f t="shared" si="90"/>
        <v>#DIV/0!</v>
      </c>
      <c r="AO239" s="9" t="e">
        <f t="shared" si="90"/>
        <v>#DIV/0!</v>
      </c>
      <c r="AP239" s="137" t="e">
        <f t="shared" si="90"/>
        <v>#DIV/0!</v>
      </c>
      <c r="AQ239" s="137" t="e">
        <f t="shared" si="90"/>
        <v>#DIV/0!</v>
      </c>
      <c r="AR239" s="137" t="e">
        <f t="shared" si="90"/>
        <v>#DIV/0!</v>
      </c>
      <c r="AS239" s="137" t="e">
        <f t="shared" si="90"/>
        <v>#DIV/0!</v>
      </c>
      <c r="AT239" s="9" t="e">
        <f t="shared" si="90"/>
        <v>#DIV/0!</v>
      </c>
      <c r="AU239" s="137" t="e">
        <f t="shared" si="90"/>
        <v>#DIV/0!</v>
      </c>
      <c r="AV239" s="137" t="e">
        <f t="shared" si="90"/>
        <v>#DIV/0!</v>
      </c>
      <c r="AW239" s="137" t="e">
        <f t="shared" si="90"/>
        <v>#DIV/0!</v>
      </c>
      <c r="AX239" s="137" t="e">
        <f t="shared" si="90"/>
        <v>#DIV/0!</v>
      </c>
      <c r="AY239" s="106" t="e">
        <f t="shared" si="90"/>
        <v>#DIV/0!</v>
      </c>
    </row>
    <row r="240" spans="1:51">
      <c r="A240" s="128" t="s">
        <v>229</v>
      </c>
      <c r="B240" s="106" t="e">
        <f t="shared" si="90"/>
        <v>#DIV/0!</v>
      </c>
      <c r="C240" s="106" t="e">
        <f t="shared" si="90"/>
        <v>#DIV/0!</v>
      </c>
      <c r="D240" s="106" t="e">
        <f t="shared" si="90"/>
        <v>#DIV/0!</v>
      </c>
      <c r="E240" s="106" t="e">
        <f t="shared" si="90"/>
        <v>#DIV/0!</v>
      </c>
      <c r="F240" s="9" t="e">
        <f t="shared" si="90"/>
        <v>#DIV/0!</v>
      </c>
      <c r="G240" s="106" t="e">
        <f t="shared" si="90"/>
        <v>#DIV/0!</v>
      </c>
      <c r="H240" s="106" t="e">
        <f t="shared" si="90"/>
        <v>#DIV/0!</v>
      </c>
      <c r="I240" s="106" t="e">
        <f t="shared" si="90"/>
        <v>#DIV/0!</v>
      </c>
      <c r="J240" s="106" t="e">
        <f t="shared" si="90"/>
        <v>#DIV/0!</v>
      </c>
      <c r="K240" s="9" t="e">
        <f t="shared" si="90"/>
        <v>#DIV/0!</v>
      </c>
      <c r="L240" s="106" t="e">
        <f t="shared" si="90"/>
        <v>#DIV/0!</v>
      </c>
      <c r="M240" s="106" t="e">
        <f t="shared" si="90"/>
        <v>#DIV/0!</v>
      </c>
      <c r="N240" s="106" t="e">
        <f t="shared" si="90"/>
        <v>#DIV/0!</v>
      </c>
      <c r="O240" s="106" t="e">
        <f t="shared" si="90"/>
        <v>#DIV/0!</v>
      </c>
      <c r="P240" s="9" t="e">
        <f t="shared" si="90"/>
        <v>#DIV/0!</v>
      </c>
      <c r="Q240" s="137" t="e">
        <f t="shared" si="90"/>
        <v>#DIV/0!</v>
      </c>
      <c r="R240" s="137" t="e">
        <f t="shared" si="90"/>
        <v>#DIV/0!</v>
      </c>
      <c r="S240" s="137" t="e">
        <f t="shared" si="90"/>
        <v>#DIV/0!</v>
      </c>
      <c r="T240" s="137" t="e">
        <f t="shared" si="90"/>
        <v>#DIV/0!</v>
      </c>
      <c r="U240" s="9" t="e">
        <f t="shared" si="90"/>
        <v>#DIV/0!</v>
      </c>
      <c r="V240" s="137" t="e">
        <f t="shared" si="90"/>
        <v>#DIV/0!</v>
      </c>
      <c r="W240" s="137" t="e">
        <f t="shared" si="90"/>
        <v>#DIV/0!</v>
      </c>
      <c r="X240" s="137" t="e">
        <f t="shared" si="90"/>
        <v>#DIV/0!</v>
      </c>
      <c r="Y240" s="137" t="e">
        <f t="shared" si="90"/>
        <v>#DIV/0!</v>
      </c>
      <c r="Z240" s="9" t="e">
        <f t="shared" si="90"/>
        <v>#DIV/0!</v>
      </c>
      <c r="AA240" s="137" t="e">
        <f t="shared" si="90"/>
        <v>#DIV/0!</v>
      </c>
      <c r="AB240" s="137" t="e">
        <f t="shared" si="90"/>
        <v>#DIV/0!</v>
      </c>
      <c r="AC240" s="137" t="e">
        <f t="shared" si="90"/>
        <v>#DIV/0!</v>
      </c>
      <c r="AD240" s="137" t="e">
        <f t="shared" si="90"/>
        <v>#DIV/0!</v>
      </c>
      <c r="AE240" s="9" t="e">
        <f t="shared" si="90"/>
        <v>#DIV/0!</v>
      </c>
      <c r="AF240" s="137" t="e">
        <f t="shared" si="90"/>
        <v>#DIV/0!</v>
      </c>
      <c r="AG240" s="137" t="e">
        <f t="shared" si="90"/>
        <v>#DIV/0!</v>
      </c>
      <c r="AH240" s="137" t="e">
        <f t="shared" si="90"/>
        <v>#DIV/0!</v>
      </c>
      <c r="AI240" s="137" t="e">
        <f t="shared" si="90"/>
        <v>#DIV/0!</v>
      </c>
      <c r="AJ240" s="9" t="e">
        <f t="shared" si="90"/>
        <v>#DIV/0!</v>
      </c>
      <c r="AK240" s="137" t="e">
        <f t="shared" si="90"/>
        <v>#DIV/0!</v>
      </c>
      <c r="AL240" s="137" t="e">
        <f t="shared" si="90"/>
        <v>#DIV/0!</v>
      </c>
      <c r="AM240" s="137" t="e">
        <f t="shared" si="90"/>
        <v>#DIV/0!</v>
      </c>
      <c r="AN240" s="137" t="e">
        <f t="shared" si="90"/>
        <v>#DIV/0!</v>
      </c>
      <c r="AO240" s="9" t="e">
        <f t="shared" si="90"/>
        <v>#DIV/0!</v>
      </c>
      <c r="AP240" s="137" t="e">
        <f t="shared" si="90"/>
        <v>#DIV/0!</v>
      </c>
      <c r="AQ240" s="137" t="e">
        <f t="shared" si="90"/>
        <v>#DIV/0!</v>
      </c>
      <c r="AR240" s="137" t="e">
        <f t="shared" si="90"/>
        <v>#DIV/0!</v>
      </c>
      <c r="AS240" s="137" t="e">
        <f t="shared" si="90"/>
        <v>#DIV/0!</v>
      </c>
      <c r="AT240" s="9" t="e">
        <f t="shared" si="90"/>
        <v>#DIV/0!</v>
      </c>
      <c r="AU240" s="137" t="e">
        <f t="shared" si="90"/>
        <v>#DIV/0!</v>
      </c>
      <c r="AV240" s="137" t="e">
        <f t="shared" si="90"/>
        <v>#DIV/0!</v>
      </c>
      <c r="AW240" s="137" t="e">
        <f t="shared" si="90"/>
        <v>#DIV/0!</v>
      </c>
      <c r="AX240" s="137" t="e">
        <f t="shared" si="90"/>
        <v>#DIV/0!</v>
      </c>
      <c r="AY240" s="106" t="e">
        <f t="shared" si="90"/>
        <v>#DIV/0!</v>
      </c>
    </row>
    <row r="241" spans="1:51">
      <c r="A241" s="128" t="s">
        <v>231</v>
      </c>
      <c r="B241" s="106" t="e">
        <f t="shared" ref="B241:AY244" si="91">B103/B$137</f>
        <v>#DIV/0!</v>
      </c>
      <c r="C241" s="106" t="e">
        <f t="shared" si="91"/>
        <v>#DIV/0!</v>
      </c>
      <c r="D241" s="106" t="e">
        <f t="shared" si="91"/>
        <v>#DIV/0!</v>
      </c>
      <c r="E241" s="106" t="e">
        <f t="shared" si="91"/>
        <v>#DIV/0!</v>
      </c>
      <c r="F241" s="9" t="e">
        <f t="shared" si="91"/>
        <v>#DIV/0!</v>
      </c>
      <c r="G241" s="106" t="e">
        <f t="shared" si="91"/>
        <v>#DIV/0!</v>
      </c>
      <c r="H241" s="106" t="e">
        <f t="shared" si="91"/>
        <v>#DIV/0!</v>
      </c>
      <c r="I241" s="106" t="e">
        <f t="shared" si="91"/>
        <v>#DIV/0!</v>
      </c>
      <c r="J241" s="106" t="e">
        <f t="shared" si="91"/>
        <v>#DIV/0!</v>
      </c>
      <c r="K241" s="9" t="e">
        <f t="shared" si="91"/>
        <v>#DIV/0!</v>
      </c>
      <c r="L241" s="106" t="e">
        <f t="shared" si="91"/>
        <v>#DIV/0!</v>
      </c>
      <c r="M241" s="106" t="e">
        <f t="shared" si="91"/>
        <v>#DIV/0!</v>
      </c>
      <c r="N241" s="106" t="e">
        <f t="shared" si="91"/>
        <v>#DIV/0!</v>
      </c>
      <c r="O241" s="106" t="e">
        <f t="shared" si="91"/>
        <v>#DIV/0!</v>
      </c>
      <c r="P241" s="9" t="e">
        <f t="shared" si="91"/>
        <v>#DIV/0!</v>
      </c>
      <c r="Q241" s="137" t="e">
        <f t="shared" si="91"/>
        <v>#DIV/0!</v>
      </c>
      <c r="R241" s="137" t="e">
        <f t="shared" si="91"/>
        <v>#DIV/0!</v>
      </c>
      <c r="S241" s="137" t="e">
        <f t="shared" si="91"/>
        <v>#DIV/0!</v>
      </c>
      <c r="T241" s="137" t="e">
        <f t="shared" si="91"/>
        <v>#DIV/0!</v>
      </c>
      <c r="U241" s="9" t="e">
        <f t="shared" si="91"/>
        <v>#DIV/0!</v>
      </c>
      <c r="V241" s="137" t="e">
        <f t="shared" si="91"/>
        <v>#DIV/0!</v>
      </c>
      <c r="W241" s="137" t="e">
        <f t="shared" si="91"/>
        <v>#DIV/0!</v>
      </c>
      <c r="X241" s="137" t="e">
        <f t="shared" si="91"/>
        <v>#DIV/0!</v>
      </c>
      <c r="Y241" s="137" t="e">
        <f t="shared" si="91"/>
        <v>#DIV/0!</v>
      </c>
      <c r="Z241" s="9" t="e">
        <f t="shared" si="91"/>
        <v>#DIV/0!</v>
      </c>
      <c r="AA241" s="137" t="e">
        <f t="shared" si="91"/>
        <v>#DIV/0!</v>
      </c>
      <c r="AB241" s="137" t="e">
        <f t="shared" si="91"/>
        <v>#DIV/0!</v>
      </c>
      <c r="AC241" s="137" t="e">
        <f t="shared" si="91"/>
        <v>#DIV/0!</v>
      </c>
      <c r="AD241" s="137" t="e">
        <f t="shared" si="91"/>
        <v>#DIV/0!</v>
      </c>
      <c r="AE241" s="9" t="e">
        <f t="shared" si="91"/>
        <v>#DIV/0!</v>
      </c>
      <c r="AF241" s="137" t="e">
        <f t="shared" si="91"/>
        <v>#DIV/0!</v>
      </c>
      <c r="AG241" s="137" t="e">
        <f t="shared" si="91"/>
        <v>#DIV/0!</v>
      </c>
      <c r="AH241" s="137" t="e">
        <f t="shared" si="91"/>
        <v>#DIV/0!</v>
      </c>
      <c r="AI241" s="137" t="e">
        <f t="shared" si="91"/>
        <v>#DIV/0!</v>
      </c>
      <c r="AJ241" s="9" t="e">
        <f t="shared" si="91"/>
        <v>#DIV/0!</v>
      </c>
      <c r="AK241" s="137" t="e">
        <f t="shared" si="91"/>
        <v>#DIV/0!</v>
      </c>
      <c r="AL241" s="137" t="e">
        <f t="shared" si="91"/>
        <v>#DIV/0!</v>
      </c>
      <c r="AM241" s="137" t="e">
        <f t="shared" si="91"/>
        <v>#DIV/0!</v>
      </c>
      <c r="AN241" s="137" t="e">
        <f t="shared" si="91"/>
        <v>#DIV/0!</v>
      </c>
      <c r="AO241" s="9" t="e">
        <f t="shared" si="91"/>
        <v>#DIV/0!</v>
      </c>
      <c r="AP241" s="137" t="e">
        <f t="shared" si="91"/>
        <v>#DIV/0!</v>
      </c>
      <c r="AQ241" s="137" t="e">
        <f t="shared" si="91"/>
        <v>#DIV/0!</v>
      </c>
      <c r="AR241" s="137" t="e">
        <f t="shared" si="91"/>
        <v>#DIV/0!</v>
      </c>
      <c r="AS241" s="137" t="e">
        <f t="shared" si="91"/>
        <v>#DIV/0!</v>
      </c>
      <c r="AT241" s="9" t="e">
        <f t="shared" si="91"/>
        <v>#DIV/0!</v>
      </c>
      <c r="AU241" s="137" t="e">
        <f t="shared" si="91"/>
        <v>#DIV/0!</v>
      </c>
      <c r="AV241" s="137" t="e">
        <f t="shared" si="91"/>
        <v>#DIV/0!</v>
      </c>
      <c r="AW241" s="137" t="e">
        <f t="shared" si="91"/>
        <v>#DIV/0!</v>
      </c>
      <c r="AX241" s="137" t="e">
        <f t="shared" si="91"/>
        <v>#DIV/0!</v>
      </c>
      <c r="AY241" s="106" t="e">
        <f t="shared" si="91"/>
        <v>#DIV/0!</v>
      </c>
    </row>
    <row r="242" spans="1:51">
      <c r="A242" s="128" t="s">
        <v>233</v>
      </c>
      <c r="B242" s="106" t="e">
        <f t="shared" si="91"/>
        <v>#DIV/0!</v>
      </c>
      <c r="C242" s="106" t="e">
        <f t="shared" si="91"/>
        <v>#DIV/0!</v>
      </c>
      <c r="D242" s="106" t="e">
        <f t="shared" si="91"/>
        <v>#DIV/0!</v>
      </c>
      <c r="E242" s="106" t="e">
        <f t="shared" si="91"/>
        <v>#DIV/0!</v>
      </c>
      <c r="F242" s="9" t="e">
        <f t="shared" si="91"/>
        <v>#DIV/0!</v>
      </c>
      <c r="G242" s="106" t="e">
        <f t="shared" si="91"/>
        <v>#DIV/0!</v>
      </c>
      <c r="H242" s="106" t="e">
        <f t="shared" si="91"/>
        <v>#DIV/0!</v>
      </c>
      <c r="I242" s="106" t="e">
        <f t="shared" si="91"/>
        <v>#DIV/0!</v>
      </c>
      <c r="J242" s="106" t="e">
        <f t="shared" si="91"/>
        <v>#DIV/0!</v>
      </c>
      <c r="K242" s="9" t="e">
        <f t="shared" si="91"/>
        <v>#DIV/0!</v>
      </c>
      <c r="L242" s="106" t="e">
        <f t="shared" si="91"/>
        <v>#DIV/0!</v>
      </c>
      <c r="M242" s="106" t="e">
        <f t="shared" si="91"/>
        <v>#DIV/0!</v>
      </c>
      <c r="N242" s="106" t="e">
        <f t="shared" si="91"/>
        <v>#DIV/0!</v>
      </c>
      <c r="O242" s="106" t="e">
        <f t="shared" si="91"/>
        <v>#DIV/0!</v>
      </c>
      <c r="P242" s="9" t="e">
        <f t="shared" si="91"/>
        <v>#DIV/0!</v>
      </c>
      <c r="Q242" s="137" t="e">
        <f t="shared" si="91"/>
        <v>#DIV/0!</v>
      </c>
      <c r="R242" s="137" t="e">
        <f t="shared" si="91"/>
        <v>#DIV/0!</v>
      </c>
      <c r="S242" s="137" t="e">
        <f t="shared" si="91"/>
        <v>#DIV/0!</v>
      </c>
      <c r="T242" s="137" t="e">
        <f t="shared" si="91"/>
        <v>#DIV/0!</v>
      </c>
      <c r="U242" s="9" t="e">
        <f t="shared" si="91"/>
        <v>#DIV/0!</v>
      </c>
      <c r="V242" s="137" t="e">
        <f t="shared" si="91"/>
        <v>#DIV/0!</v>
      </c>
      <c r="W242" s="137" t="e">
        <f t="shared" si="91"/>
        <v>#DIV/0!</v>
      </c>
      <c r="X242" s="137" t="e">
        <f t="shared" si="91"/>
        <v>#DIV/0!</v>
      </c>
      <c r="Y242" s="137" t="e">
        <f t="shared" si="91"/>
        <v>#DIV/0!</v>
      </c>
      <c r="Z242" s="9" t="e">
        <f t="shared" si="91"/>
        <v>#DIV/0!</v>
      </c>
      <c r="AA242" s="137" t="e">
        <f t="shared" si="91"/>
        <v>#DIV/0!</v>
      </c>
      <c r="AB242" s="137" t="e">
        <f t="shared" si="91"/>
        <v>#DIV/0!</v>
      </c>
      <c r="AC242" s="137" t="e">
        <f t="shared" si="91"/>
        <v>#DIV/0!</v>
      </c>
      <c r="AD242" s="137" t="e">
        <f t="shared" si="91"/>
        <v>#DIV/0!</v>
      </c>
      <c r="AE242" s="9" t="e">
        <f t="shared" si="91"/>
        <v>#DIV/0!</v>
      </c>
      <c r="AF242" s="137" t="e">
        <f t="shared" si="91"/>
        <v>#DIV/0!</v>
      </c>
      <c r="AG242" s="137" t="e">
        <f t="shared" si="91"/>
        <v>#DIV/0!</v>
      </c>
      <c r="AH242" s="137" t="e">
        <f t="shared" si="91"/>
        <v>#DIV/0!</v>
      </c>
      <c r="AI242" s="137" t="e">
        <f t="shared" si="91"/>
        <v>#DIV/0!</v>
      </c>
      <c r="AJ242" s="9" t="e">
        <f t="shared" si="91"/>
        <v>#DIV/0!</v>
      </c>
      <c r="AK242" s="137" t="e">
        <f t="shared" si="91"/>
        <v>#DIV/0!</v>
      </c>
      <c r="AL242" s="137" t="e">
        <f t="shared" si="91"/>
        <v>#DIV/0!</v>
      </c>
      <c r="AM242" s="137" t="e">
        <f t="shared" si="91"/>
        <v>#DIV/0!</v>
      </c>
      <c r="AN242" s="137" t="e">
        <f t="shared" si="91"/>
        <v>#DIV/0!</v>
      </c>
      <c r="AO242" s="9" t="e">
        <f t="shared" si="91"/>
        <v>#DIV/0!</v>
      </c>
      <c r="AP242" s="137" t="e">
        <f t="shared" si="91"/>
        <v>#DIV/0!</v>
      </c>
      <c r="AQ242" s="137" t="e">
        <f t="shared" si="91"/>
        <v>#DIV/0!</v>
      </c>
      <c r="AR242" s="137" t="e">
        <f t="shared" si="91"/>
        <v>#DIV/0!</v>
      </c>
      <c r="AS242" s="137" t="e">
        <f t="shared" si="91"/>
        <v>#DIV/0!</v>
      </c>
      <c r="AT242" s="9" t="e">
        <f t="shared" si="91"/>
        <v>#DIV/0!</v>
      </c>
      <c r="AU242" s="137" t="e">
        <f t="shared" si="91"/>
        <v>#DIV/0!</v>
      </c>
      <c r="AV242" s="137" t="e">
        <f t="shared" si="91"/>
        <v>#DIV/0!</v>
      </c>
      <c r="AW242" s="137" t="e">
        <f t="shared" si="91"/>
        <v>#DIV/0!</v>
      </c>
      <c r="AX242" s="137" t="e">
        <f t="shared" si="91"/>
        <v>#DIV/0!</v>
      </c>
      <c r="AY242" s="106" t="e">
        <f t="shared" si="91"/>
        <v>#DIV/0!</v>
      </c>
    </row>
    <row r="243" spans="1:51">
      <c r="A243" s="128" t="s">
        <v>235</v>
      </c>
      <c r="B243" s="106" t="e">
        <f t="shared" si="91"/>
        <v>#DIV/0!</v>
      </c>
      <c r="C243" s="106" t="e">
        <f t="shared" si="91"/>
        <v>#DIV/0!</v>
      </c>
      <c r="D243" s="106" t="e">
        <f t="shared" si="91"/>
        <v>#DIV/0!</v>
      </c>
      <c r="E243" s="106" t="e">
        <f t="shared" si="91"/>
        <v>#DIV/0!</v>
      </c>
      <c r="F243" s="9" t="e">
        <f t="shared" si="91"/>
        <v>#DIV/0!</v>
      </c>
      <c r="G243" s="106" t="e">
        <f t="shared" si="91"/>
        <v>#DIV/0!</v>
      </c>
      <c r="H243" s="106" t="e">
        <f t="shared" si="91"/>
        <v>#DIV/0!</v>
      </c>
      <c r="I243" s="106" t="e">
        <f t="shared" si="91"/>
        <v>#DIV/0!</v>
      </c>
      <c r="J243" s="106" t="e">
        <f t="shared" si="91"/>
        <v>#DIV/0!</v>
      </c>
      <c r="K243" s="9" t="e">
        <f t="shared" si="91"/>
        <v>#DIV/0!</v>
      </c>
      <c r="L243" s="106" t="e">
        <f t="shared" si="91"/>
        <v>#DIV/0!</v>
      </c>
      <c r="M243" s="106" t="e">
        <f t="shared" si="91"/>
        <v>#DIV/0!</v>
      </c>
      <c r="N243" s="106" t="e">
        <f t="shared" si="91"/>
        <v>#DIV/0!</v>
      </c>
      <c r="O243" s="106" t="e">
        <f t="shared" si="91"/>
        <v>#DIV/0!</v>
      </c>
      <c r="P243" s="9" t="e">
        <f t="shared" si="91"/>
        <v>#DIV/0!</v>
      </c>
      <c r="Q243" s="137" t="e">
        <f t="shared" si="91"/>
        <v>#DIV/0!</v>
      </c>
      <c r="R243" s="137" t="e">
        <f t="shared" si="91"/>
        <v>#DIV/0!</v>
      </c>
      <c r="S243" s="137" t="e">
        <f t="shared" si="91"/>
        <v>#DIV/0!</v>
      </c>
      <c r="T243" s="137" t="e">
        <f t="shared" si="91"/>
        <v>#DIV/0!</v>
      </c>
      <c r="U243" s="9" t="e">
        <f t="shared" si="91"/>
        <v>#DIV/0!</v>
      </c>
      <c r="V243" s="137" t="e">
        <f t="shared" si="91"/>
        <v>#DIV/0!</v>
      </c>
      <c r="W243" s="137" t="e">
        <f t="shared" si="91"/>
        <v>#DIV/0!</v>
      </c>
      <c r="X243" s="137" t="e">
        <f t="shared" si="91"/>
        <v>#DIV/0!</v>
      </c>
      <c r="Y243" s="137" t="e">
        <f t="shared" si="91"/>
        <v>#DIV/0!</v>
      </c>
      <c r="Z243" s="9" t="e">
        <f t="shared" si="91"/>
        <v>#DIV/0!</v>
      </c>
      <c r="AA243" s="137" t="e">
        <f t="shared" si="91"/>
        <v>#DIV/0!</v>
      </c>
      <c r="AB243" s="137" t="e">
        <f t="shared" si="91"/>
        <v>#DIV/0!</v>
      </c>
      <c r="AC243" s="137" t="e">
        <f t="shared" si="91"/>
        <v>#DIV/0!</v>
      </c>
      <c r="AD243" s="137" t="e">
        <f t="shared" si="91"/>
        <v>#DIV/0!</v>
      </c>
      <c r="AE243" s="9" t="e">
        <f t="shared" si="91"/>
        <v>#DIV/0!</v>
      </c>
      <c r="AF243" s="137" t="e">
        <f t="shared" si="91"/>
        <v>#DIV/0!</v>
      </c>
      <c r="AG243" s="137" t="e">
        <f t="shared" si="91"/>
        <v>#DIV/0!</v>
      </c>
      <c r="AH243" s="137" t="e">
        <f t="shared" si="91"/>
        <v>#DIV/0!</v>
      </c>
      <c r="AI243" s="137" t="e">
        <f t="shared" si="91"/>
        <v>#DIV/0!</v>
      </c>
      <c r="AJ243" s="9" t="e">
        <f t="shared" si="91"/>
        <v>#DIV/0!</v>
      </c>
      <c r="AK243" s="137" t="e">
        <f t="shared" si="91"/>
        <v>#DIV/0!</v>
      </c>
      <c r="AL243" s="137" t="e">
        <f t="shared" si="91"/>
        <v>#DIV/0!</v>
      </c>
      <c r="AM243" s="137" t="e">
        <f t="shared" si="91"/>
        <v>#DIV/0!</v>
      </c>
      <c r="AN243" s="137" t="e">
        <f t="shared" si="91"/>
        <v>#DIV/0!</v>
      </c>
      <c r="AO243" s="9" t="e">
        <f t="shared" si="91"/>
        <v>#DIV/0!</v>
      </c>
      <c r="AP243" s="137" t="e">
        <f t="shared" si="91"/>
        <v>#DIV/0!</v>
      </c>
      <c r="AQ243" s="137" t="e">
        <f t="shared" si="91"/>
        <v>#DIV/0!</v>
      </c>
      <c r="AR243" s="137" t="e">
        <f t="shared" si="91"/>
        <v>#DIV/0!</v>
      </c>
      <c r="AS243" s="137" t="e">
        <f t="shared" si="91"/>
        <v>#DIV/0!</v>
      </c>
      <c r="AT243" s="9" t="e">
        <f t="shared" si="91"/>
        <v>#DIV/0!</v>
      </c>
      <c r="AU243" s="137" t="e">
        <f t="shared" si="91"/>
        <v>#DIV/0!</v>
      </c>
      <c r="AV243" s="137" t="e">
        <f t="shared" si="91"/>
        <v>#DIV/0!</v>
      </c>
      <c r="AW243" s="137" t="e">
        <f t="shared" si="91"/>
        <v>#DIV/0!</v>
      </c>
      <c r="AX243" s="137" t="e">
        <f t="shared" si="91"/>
        <v>#DIV/0!</v>
      </c>
      <c r="AY243" s="106" t="e">
        <f t="shared" si="91"/>
        <v>#DIV/0!</v>
      </c>
    </row>
    <row r="244" spans="1:51">
      <c r="A244" s="128" t="s">
        <v>237</v>
      </c>
      <c r="B244" s="106" t="e">
        <f t="shared" si="91"/>
        <v>#DIV/0!</v>
      </c>
      <c r="C244" s="106" t="e">
        <f t="shared" si="91"/>
        <v>#DIV/0!</v>
      </c>
      <c r="D244" s="106" t="e">
        <f t="shared" si="91"/>
        <v>#DIV/0!</v>
      </c>
      <c r="E244" s="106" t="e">
        <f t="shared" si="91"/>
        <v>#DIV/0!</v>
      </c>
      <c r="F244" s="9" t="e">
        <f t="shared" si="91"/>
        <v>#DIV/0!</v>
      </c>
      <c r="G244" s="106" t="e">
        <f t="shared" si="91"/>
        <v>#DIV/0!</v>
      </c>
      <c r="H244" s="106" t="e">
        <f t="shared" si="91"/>
        <v>#DIV/0!</v>
      </c>
      <c r="I244" s="106" t="e">
        <f t="shared" si="91"/>
        <v>#DIV/0!</v>
      </c>
      <c r="J244" s="106" t="e">
        <f t="shared" si="91"/>
        <v>#DIV/0!</v>
      </c>
      <c r="K244" s="9" t="e">
        <f t="shared" si="91"/>
        <v>#DIV/0!</v>
      </c>
      <c r="L244" s="106" t="e">
        <f t="shared" si="91"/>
        <v>#DIV/0!</v>
      </c>
      <c r="M244" s="106" t="e">
        <f t="shared" si="91"/>
        <v>#DIV/0!</v>
      </c>
      <c r="N244" s="106" t="e">
        <f t="shared" si="91"/>
        <v>#DIV/0!</v>
      </c>
      <c r="O244" s="106" t="e">
        <f t="shared" si="91"/>
        <v>#DIV/0!</v>
      </c>
      <c r="P244" s="9" t="e">
        <f t="shared" si="91"/>
        <v>#DIV/0!</v>
      </c>
      <c r="Q244" s="137" t="e">
        <f t="shared" si="91"/>
        <v>#DIV/0!</v>
      </c>
      <c r="R244" s="137" t="e">
        <f t="shared" si="91"/>
        <v>#DIV/0!</v>
      </c>
      <c r="S244" s="137" t="e">
        <f t="shared" si="91"/>
        <v>#DIV/0!</v>
      </c>
      <c r="T244" s="137" t="e">
        <f t="shared" si="91"/>
        <v>#DIV/0!</v>
      </c>
      <c r="U244" s="9" t="e">
        <f t="shared" si="91"/>
        <v>#DIV/0!</v>
      </c>
      <c r="V244" s="137" t="e">
        <f t="shared" si="91"/>
        <v>#DIV/0!</v>
      </c>
      <c r="W244" s="137" t="e">
        <f t="shared" si="91"/>
        <v>#DIV/0!</v>
      </c>
      <c r="X244" s="137" t="e">
        <f t="shared" si="91"/>
        <v>#DIV/0!</v>
      </c>
      <c r="Y244" s="137" t="e">
        <f t="shared" si="91"/>
        <v>#DIV/0!</v>
      </c>
      <c r="Z244" s="9" t="e">
        <f t="shared" si="91"/>
        <v>#DIV/0!</v>
      </c>
      <c r="AA244" s="137" t="e">
        <f t="shared" si="91"/>
        <v>#DIV/0!</v>
      </c>
      <c r="AB244" s="137" t="e">
        <f t="shared" si="91"/>
        <v>#DIV/0!</v>
      </c>
      <c r="AC244" s="137" t="e">
        <f t="shared" si="91"/>
        <v>#DIV/0!</v>
      </c>
      <c r="AD244" s="137" t="e">
        <f t="shared" si="91"/>
        <v>#DIV/0!</v>
      </c>
      <c r="AE244" s="9" t="e">
        <f t="shared" si="91"/>
        <v>#DIV/0!</v>
      </c>
      <c r="AF244" s="137" t="e">
        <f t="shared" si="91"/>
        <v>#DIV/0!</v>
      </c>
      <c r="AG244" s="137" t="e">
        <f t="shared" si="91"/>
        <v>#DIV/0!</v>
      </c>
      <c r="AH244" s="137" t="e">
        <f t="shared" si="91"/>
        <v>#DIV/0!</v>
      </c>
      <c r="AI244" s="137" t="e">
        <f t="shared" si="91"/>
        <v>#DIV/0!</v>
      </c>
      <c r="AJ244" s="9" t="e">
        <f t="shared" si="91"/>
        <v>#DIV/0!</v>
      </c>
      <c r="AK244" s="137" t="e">
        <f t="shared" si="91"/>
        <v>#DIV/0!</v>
      </c>
      <c r="AL244" s="137" t="e">
        <f t="shared" si="91"/>
        <v>#DIV/0!</v>
      </c>
      <c r="AM244" s="137" t="e">
        <f t="shared" si="91"/>
        <v>#DIV/0!</v>
      </c>
      <c r="AN244" s="137" t="e">
        <f t="shared" si="91"/>
        <v>#DIV/0!</v>
      </c>
      <c r="AO244" s="9" t="e">
        <f t="shared" si="91"/>
        <v>#DIV/0!</v>
      </c>
      <c r="AP244" s="137" t="e">
        <f t="shared" si="91"/>
        <v>#DIV/0!</v>
      </c>
      <c r="AQ244" s="137" t="e">
        <f t="shared" si="91"/>
        <v>#DIV/0!</v>
      </c>
      <c r="AR244" s="137" t="e">
        <f t="shared" si="91"/>
        <v>#DIV/0!</v>
      </c>
      <c r="AS244" s="137" t="e">
        <f t="shared" si="91"/>
        <v>#DIV/0!</v>
      </c>
      <c r="AT244" s="9" t="e">
        <f t="shared" si="91"/>
        <v>#DIV/0!</v>
      </c>
      <c r="AU244" s="137" t="e">
        <f t="shared" si="91"/>
        <v>#DIV/0!</v>
      </c>
      <c r="AV244" s="137" t="e">
        <f t="shared" si="91"/>
        <v>#DIV/0!</v>
      </c>
      <c r="AW244" s="137" t="e">
        <f t="shared" si="91"/>
        <v>#DIV/0!</v>
      </c>
      <c r="AX244" s="137" t="e">
        <f t="shared" si="91"/>
        <v>#DIV/0!</v>
      </c>
      <c r="AY244" s="106" t="e">
        <f t="shared" si="91"/>
        <v>#DIV/0!</v>
      </c>
    </row>
    <row r="245" spans="1:51">
      <c r="A245" s="128" t="s">
        <v>239</v>
      </c>
      <c r="B245" s="106" t="e">
        <f t="shared" ref="B245:AY248" si="92">B107/B$137</f>
        <v>#DIV/0!</v>
      </c>
      <c r="C245" s="106" t="e">
        <f t="shared" si="92"/>
        <v>#DIV/0!</v>
      </c>
      <c r="D245" s="106" t="e">
        <f t="shared" si="92"/>
        <v>#DIV/0!</v>
      </c>
      <c r="E245" s="106" t="e">
        <f t="shared" si="92"/>
        <v>#DIV/0!</v>
      </c>
      <c r="F245" s="9" t="e">
        <f t="shared" si="92"/>
        <v>#DIV/0!</v>
      </c>
      <c r="G245" s="106" t="e">
        <f t="shared" si="92"/>
        <v>#DIV/0!</v>
      </c>
      <c r="H245" s="106" t="e">
        <f t="shared" si="92"/>
        <v>#DIV/0!</v>
      </c>
      <c r="I245" s="106" t="e">
        <f t="shared" si="92"/>
        <v>#DIV/0!</v>
      </c>
      <c r="J245" s="106" t="e">
        <f t="shared" si="92"/>
        <v>#DIV/0!</v>
      </c>
      <c r="K245" s="9" t="e">
        <f t="shared" si="92"/>
        <v>#DIV/0!</v>
      </c>
      <c r="L245" s="106" t="e">
        <f t="shared" si="92"/>
        <v>#DIV/0!</v>
      </c>
      <c r="M245" s="106" t="e">
        <f t="shared" si="92"/>
        <v>#DIV/0!</v>
      </c>
      <c r="N245" s="106" t="e">
        <f t="shared" si="92"/>
        <v>#DIV/0!</v>
      </c>
      <c r="O245" s="106" t="e">
        <f t="shared" si="92"/>
        <v>#DIV/0!</v>
      </c>
      <c r="P245" s="9" t="e">
        <f t="shared" si="92"/>
        <v>#DIV/0!</v>
      </c>
      <c r="Q245" s="137" t="e">
        <f t="shared" si="92"/>
        <v>#DIV/0!</v>
      </c>
      <c r="R245" s="137" t="e">
        <f t="shared" si="92"/>
        <v>#DIV/0!</v>
      </c>
      <c r="S245" s="137" t="e">
        <f t="shared" si="92"/>
        <v>#DIV/0!</v>
      </c>
      <c r="T245" s="137" t="e">
        <f t="shared" si="92"/>
        <v>#DIV/0!</v>
      </c>
      <c r="U245" s="9" t="e">
        <f t="shared" si="92"/>
        <v>#DIV/0!</v>
      </c>
      <c r="V245" s="137" t="e">
        <f t="shared" si="92"/>
        <v>#DIV/0!</v>
      </c>
      <c r="W245" s="137" t="e">
        <f t="shared" si="92"/>
        <v>#DIV/0!</v>
      </c>
      <c r="X245" s="137" t="e">
        <f t="shared" si="92"/>
        <v>#DIV/0!</v>
      </c>
      <c r="Y245" s="137" t="e">
        <f t="shared" si="92"/>
        <v>#DIV/0!</v>
      </c>
      <c r="Z245" s="9" t="e">
        <f t="shared" si="92"/>
        <v>#DIV/0!</v>
      </c>
      <c r="AA245" s="137" t="e">
        <f t="shared" si="92"/>
        <v>#DIV/0!</v>
      </c>
      <c r="AB245" s="137" t="e">
        <f t="shared" si="92"/>
        <v>#DIV/0!</v>
      </c>
      <c r="AC245" s="137" t="e">
        <f t="shared" si="92"/>
        <v>#DIV/0!</v>
      </c>
      <c r="AD245" s="137" t="e">
        <f t="shared" si="92"/>
        <v>#DIV/0!</v>
      </c>
      <c r="AE245" s="9" t="e">
        <f t="shared" si="92"/>
        <v>#DIV/0!</v>
      </c>
      <c r="AF245" s="137" t="e">
        <f t="shared" si="92"/>
        <v>#DIV/0!</v>
      </c>
      <c r="AG245" s="137" t="e">
        <f t="shared" si="92"/>
        <v>#DIV/0!</v>
      </c>
      <c r="AH245" s="137" t="e">
        <f t="shared" si="92"/>
        <v>#DIV/0!</v>
      </c>
      <c r="AI245" s="137" t="e">
        <f t="shared" si="92"/>
        <v>#DIV/0!</v>
      </c>
      <c r="AJ245" s="9" t="e">
        <f t="shared" si="92"/>
        <v>#DIV/0!</v>
      </c>
      <c r="AK245" s="137" t="e">
        <f t="shared" si="92"/>
        <v>#DIV/0!</v>
      </c>
      <c r="AL245" s="137" t="e">
        <f t="shared" si="92"/>
        <v>#DIV/0!</v>
      </c>
      <c r="AM245" s="137" t="e">
        <f t="shared" si="92"/>
        <v>#DIV/0!</v>
      </c>
      <c r="AN245" s="137" t="e">
        <f t="shared" si="92"/>
        <v>#DIV/0!</v>
      </c>
      <c r="AO245" s="9" t="e">
        <f t="shared" si="92"/>
        <v>#DIV/0!</v>
      </c>
      <c r="AP245" s="137" t="e">
        <f t="shared" si="92"/>
        <v>#DIV/0!</v>
      </c>
      <c r="AQ245" s="137" t="e">
        <f t="shared" si="92"/>
        <v>#DIV/0!</v>
      </c>
      <c r="AR245" s="137" t="e">
        <f t="shared" si="92"/>
        <v>#DIV/0!</v>
      </c>
      <c r="AS245" s="137" t="e">
        <f t="shared" si="92"/>
        <v>#DIV/0!</v>
      </c>
      <c r="AT245" s="9" t="e">
        <f t="shared" si="92"/>
        <v>#DIV/0!</v>
      </c>
      <c r="AU245" s="137" t="e">
        <f t="shared" si="92"/>
        <v>#DIV/0!</v>
      </c>
      <c r="AV245" s="137" t="e">
        <f t="shared" si="92"/>
        <v>#DIV/0!</v>
      </c>
      <c r="AW245" s="137" t="e">
        <f t="shared" si="92"/>
        <v>#DIV/0!</v>
      </c>
      <c r="AX245" s="137" t="e">
        <f t="shared" si="92"/>
        <v>#DIV/0!</v>
      </c>
      <c r="AY245" s="106" t="e">
        <f t="shared" si="92"/>
        <v>#DIV/0!</v>
      </c>
    </row>
    <row r="246" spans="1:51">
      <c r="A246" s="128" t="s">
        <v>241</v>
      </c>
      <c r="B246" s="106" t="e">
        <f t="shared" si="92"/>
        <v>#DIV/0!</v>
      </c>
      <c r="C246" s="106" t="e">
        <f t="shared" si="92"/>
        <v>#DIV/0!</v>
      </c>
      <c r="D246" s="106" t="e">
        <f t="shared" si="92"/>
        <v>#DIV/0!</v>
      </c>
      <c r="E246" s="106" t="e">
        <f t="shared" si="92"/>
        <v>#DIV/0!</v>
      </c>
      <c r="F246" s="9" t="e">
        <f t="shared" si="92"/>
        <v>#DIV/0!</v>
      </c>
      <c r="G246" s="106" t="e">
        <f t="shared" si="92"/>
        <v>#DIV/0!</v>
      </c>
      <c r="H246" s="106" t="e">
        <f t="shared" si="92"/>
        <v>#DIV/0!</v>
      </c>
      <c r="I246" s="106" t="e">
        <f t="shared" si="92"/>
        <v>#DIV/0!</v>
      </c>
      <c r="J246" s="106" t="e">
        <f t="shared" si="92"/>
        <v>#DIV/0!</v>
      </c>
      <c r="K246" s="9" t="e">
        <f t="shared" si="92"/>
        <v>#DIV/0!</v>
      </c>
      <c r="L246" s="106" t="e">
        <f t="shared" si="92"/>
        <v>#DIV/0!</v>
      </c>
      <c r="M246" s="106" t="e">
        <f t="shared" si="92"/>
        <v>#DIV/0!</v>
      </c>
      <c r="N246" s="106" t="e">
        <f t="shared" si="92"/>
        <v>#DIV/0!</v>
      </c>
      <c r="O246" s="106" t="e">
        <f t="shared" si="92"/>
        <v>#DIV/0!</v>
      </c>
      <c r="P246" s="9" t="e">
        <f t="shared" si="92"/>
        <v>#DIV/0!</v>
      </c>
      <c r="Q246" s="137" t="e">
        <f t="shared" si="92"/>
        <v>#DIV/0!</v>
      </c>
      <c r="R246" s="137" t="e">
        <f t="shared" si="92"/>
        <v>#DIV/0!</v>
      </c>
      <c r="S246" s="137" t="e">
        <f t="shared" si="92"/>
        <v>#DIV/0!</v>
      </c>
      <c r="T246" s="137" t="e">
        <f t="shared" si="92"/>
        <v>#DIV/0!</v>
      </c>
      <c r="U246" s="9" t="e">
        <f t="shared" si="92"/>
        <v>#DIV/0!</v>
      </c>
      <c r="V246" s="137" t="e">
        <f t="shared" si="92"/>
        <v>#DIV/0!</v>
      </c>
      <c r="W246" s="137" t="e">
        <f t="shared" si="92"/>
        <v>#DIV/0!</v>
      </c>
      <c r="X246" s="137" t="e">
        <f t="shared" si="92"/>
        <v>#DIV/0!</v>
      </c>
      <c r="Y246" s="137" t="e">
        <f t="shared" si="92"/>
        <v>#DIV/0!</v>
      </c>
      <c r="Z246" s="9" t="e">
        <f t="shared" si="92"/>
        <v>#DIV/0!</v>
      </c>
      <c r="AA246" s="137" t="e">
        <f t="shared" si="92"/>
        <v>#DIV/0!</v>
      </c>
      <c r="AB246" s="137" t="e">
        <f t="shared" si="92"/>
        <v>#DIV/0!</v>
      </c>
      <c r="AC246" s="137" t="e">
        <f t="shared" si="92"/>
        <v>#DIV/0!</v>
      </c>
      <c r="AD246" s="137" t="e">
        <f t="shared" si="92"/>
        <v>#DIV/0!</v>
      </c>
      <c r="AE246" s="9" t="e">
        <f t="shared" si="92"/>
        <v>#DIV/0!</v>
      </c>
      <c r="AF246" s="137" t="e">
        <f t="shared" si="92"/>
        <v>#DIV/0!</v>
      </c>
      <c r="AG246" s="137" t="e">
        <f t="shared" si="92"/>
        <v>#DIV/0!</v>
      </c>
      <c r="AH246" s="137" t="e">
        <f t="shared" si="92"/>
        <v>#DIV/0!</v>
      </c>
      <c r="AI246" s="137" t="e">
        <f t="shared" si="92"/>
        <v>#DIV/0!</v>
      </c>
      <c r="AJ246" s="9" t="e">
        <f t="shared" si="92"/>
        <v>#DIV/0!</v>
      </c>
      <c r="AK246" s="137" t="e">
        <f t="shared" si="92"/>
        <v>#DIV/0!</v>
      </c>
      <c r="AL246" s="137" t="e">
        <f t="shared" si="92"/>
        <v>#DIV/0!</v>
      </c>
      <c r="AM246" s="137" t="e">
        <f t="shared" si="92"/>
        <v>#DIV/0!</v>
      </c>
      <c r="AN246" s="137" t="e">
        <f t="shared" si="92"/>
        <v>#DIV/0!</v>
      </c>
      <c r="AO246" s="9" t="e">
        <f t="shared" si="92"/>
        <v>#DIV/0!</v>
      </c>
      <c r="AP246" s="137" t="e">
        <f t="shared" si="92"/>
        <v>#DIV/0!</v>
      </c>
      <c r="AQ246" s="137" t="e">
        <f t="shared" si="92"/>
        <v>#DIV/0!</v>
      </c>
      <c r="AR246" s="137" t="e">
        <f t="shared" si="92"/>
        <v>#DIV/0!</v>
      </c>
      <c r="AS246" s="137" t="e">
        <f t="shared" si="92"/>
        <v>#DIV/0!</v>
      </c>
      <c r="AT246" s="9" t="e">
        <f t="shared" si="92"/>
        <v>#DIV/0!</v>
      </c>
      <c r="AU246" s="137" t="e">
        <f t="shared" si="92"/>
        <v>#DIV/0!</v>
      </c>
      <c r="AV246" s="137" t="e">
        <f t="shared" si="92"/>
        <v>#DIV/0!</v>
      </c>
      <c r="AW246" s="137" t="e">
        <f t="shared" si="92"/>
        <v>#DIV/0!</v>
      </c>
      <c r="AX246" s="137" t="e">
        <f t="shared" si="92"/>
        <v>#DIV/0!</v>
      </c>
      <c r="AY246" s="106" t="e">
        <f t="shared" si="92"/>
        <v>#DIV/0!</v>
      </c>
    </row>
    <row r="247" spans="1:51">
      <c r="A247" s="128" t="s">
        <v>243</v>
      </c>
      <c r="B247" s="106" t="e">
        <f t="shared" si="92"/>
        <v>#DIV/0!</v>
      </c>
      <c r="C247" s="106" t="e">
        <f t="shared" si="92"/>
        <v>#DIV/0!</v>
      </c>
      <c r="D247" s="106" t="e">
        <f t="shared" si="92"/>
        <v>#DIV/0!</v>
      </c>
      <c r="E247" s="106" t="e">
        <f t="shared" si="92"/>
        <v>#DIV/0!</v>
      </c>
      <c r="F247" s="9" t="e">
        <f t="shared" si="92"/>
        <v>#DIV/0!</v>
      </c>
      <c r="G247" s="106" t="e">
        <f t="shared" si="92"/>
        <v>#DIV/0!</v>
      </c>
      <c r="H247" s="106" t="e">
        <f t="shared" si="92"/>
        <v>#DIV/0!</v>
      </c>
      <c r="I247" s="106" t="e">
        <f t="shared" si="92"/>
        <v>#DIV/0!</v>
      </c>
      <c r="J247" s="106" t="e">
        <f t="shared" si="92"/>
        <v>#DIV/0!</v>
      </c>
      <c r="K247" s="9" t="e">
        <f t="shared" si="92"/>
        <v>#DIV/0!</v>
      </c>
      <c r="L247" s="106" t="e">
        <f t="shared" si="92"/>
        <v>#DIV/0!</v>
      </c>
      <c r="M247" s="106" t="e">
        <f t="shared" si="92"/>
        <v>#DIV/0!</v>
      </c>
      <c r="N247" s="106" t="e">
        <f t="shared" si="92"/>
        <v>#DIV/0!</v>
      </c>
      <c r="O247" s="106" t="e">
        <f t="shared" si="92"/>
        <v>#DIV/0!</v>
      </c>
      <c r="P247" s="9" t="e">
        <f t="shared" si="92"/>
        <v>#DIV/0!</v>
      </c>
      <c r="Q247" s="137" t="e">
        <f t="shared" si="92"/>
        <v>#DIV/0!</v>
      </c>
      <c r="R247" s="137" t="e">
        <f t="shared" si="92"/>
        <v>#DIV/0!</v>
      </c>
      <c r="S247" s="137" t="e">
        <f t="shared" si="92"/>
        <v>#DIV/0!</v>
      </c>
      <c r="T247" s="137" t="e">
        <f t="shared" si="92"/>
        <v>#DIV/0!</v>
      </c>
      <c r="U247" s="9" t="e">
        <f t="shared" si="92"/>
        <v>#DIV/0!</v>
      </c>
      <c r="V247" s="137" t="e">
        <f t="shared" si="92"/>
        <v>#DIV/0!</v>
      </c>
      <c r="W247" s="137" t="e">
        <f t="shared" si="92"/>
        <v>#DIV/0!</v>
      </c>
      <c r="X247" s="137" t="e">
        <f t="shared" si="92"/>
        <v>#DIV/0!</v>
      </c>
      <c r="Y247" s="137" t="e">
        <f t="shared" si="92"/>
        <v>#DIV/0!</v>
      </c>
      <c r="Z247" s="9" t="e">
        <f t="shared" si="92"/>
        <v>#DIV/0!</v>
      </c>
      <c r="AA247" s="137" t="e">
        <f t="shared" si="92"/>
        <v>#DIV/0!</v>
      </c>
      <c r="AB247" s="137" t="e">
        <f t="shared" si="92"/>
        <v>#DIV/0!</v>
      </c>
      <c r="AC247" s="137" t="e">
        <f t="shared" si="92"/>
        <v>#DIV/0!</v>
      </c>
      <c r="AD247" s="137" t="e">
        <f t="shared" si="92"/>
        <v>#DIV/0!</v>
      </c>
      <c r="AE247" s="9" t="e">
        <f t="shared" si="92"/>
        <v>#DIV/0!</v>
      </c>
      <c r="AF247" s="137" t="e">
        <f t="shared" si="92"/>
        <v>#DIV/0!</v>
      </c>
      <c r="AG247" s="137" t="e">
        <f t="shared" si="92"/>
        <v>#DIV/0!</v>
      </c>
      <c r="AH247" s="137" t="e">
        <f t="shared" si="92"/>
        <v>#DIV/0!</v>
      </c>
      <c r="AI247" s="137" t="e">
        <f t="shared" si="92"/>
        <v>#DIV/0!</v>
      </c>
      <c r="AJ247" s="9" t="e">
        <f t="shared" si="92"/>
        <v>#DIV/0!</v>
      </c>
      <c r="AK247" s="137" t="e">
        <f t="shared" si="92"/>
        <v>#DIV/0!</v>
      </c>
      <c r="AL247" s="137" t="e">
        <f t="shared" si="92"/>
        <v>#DIV/0!</v>
      </c>
      <c r="AM247" s="137" t="e">
        <f t="shared" si="92"/>
        <v>#DIV/0!</v>
      </c>
      <c r="AN247" s="137" t="e">
        <f t="shared" si="92"/>
        <v>#DIV/0!</v>
      </c>
      <c r="AO247" s="9" t="e">
        <f t="shared" si="92"/>
        <v>#DIV/0!</v>
      </c>
      <c r="AP247" s="137" t="e">
        <f t="shared" si="92"/>
        <v>#DIV/0!</v>
      </c>
      <c r="AQ247" s="137" t="e">
        <f t="shared" si="92"/>
        <v>#DIV/0!</v>
      </c>
      <c r="AR247" s="137" t="e">
        <f t="shared" si="92"/>
        <v>#DIV/0!</v>
      </c>
      <c r="AS247" s="137" t="e">
        <f t="shared" si="92"/>
        <v>#DIV/0!</v>
      </c>
      <c r="AT247" s="9" t="e">
        <f t="shared" si="92"/>
        <v>#DIV/0!</v>
      </c>
      <c r="AU247" s="137" t="e">
        <f t="shared" si="92"/>
        <v>#DIV/0!</v>
      </c>
      <c r="AV247" s="137" t="e">
        <f t="shared" si="92"/>
        <v>#DIV/0!</v>
      </c>
      <c r="AW247" s="137" t="e">
        <f t="shared" si="92"/>
        <v>#DIV/0!</v>
      </c>
      <c r="AX247" s="137" t="e">
        <f t="shared" si="92"/>
        <v>#DIV/0!</v>
      </c>
      <c r="AY247" s="106" t="e">
        <f t="shared" si="92"/>
        <v>#DIV/0!</v>
      </c>
    </row>
    <row r="248" spans="1:51">
      <c r="A248" s="128" t="s">
        <v>245</v>
      </c>
      <c r="B248" s="106" t="e">
        <f t="shared" si="92"/>
        <v>#DIV/0!</v>
      </c>
      <c r="C248" s="106" t="e">
        <f t="shared" si="92"/>
        <v>#DIV/0!</v>
      </c>
      <c r="D248" s="106" t="e">
        <f t="shared" si="92"/>
        <v>#DIV/0!</v>
      </c>
      <c r="E248" s="106" t="e">
        <f t="shared" si="92"/>
        <v>#DIV/0!</v>
      </c>
      <c r="F248" s="9" t="e">
        <f t="shared" si="92"/>
        <v>#DIV/0!</v>
      </c>
      <c r="G248" s="106" t="e">
        <f t="shared" si="92"/>
        <v>#DIV/0!</v>
      </c>
      <c r="H248" s="106" t="e">
        <f t="shared" si="92"/>
        <v>#DIV/0!</v>
      </c>
      <c r="I248" s="106" t="e">
        <f t="shared" si="92"/>
        <v>#DIV/0!</v>
      </c>
      <c r="J248" s="106" t="e">
        <f t="shared" si="92"/>
        <v>#DIV/0!</v>
      </c>
      <c r="K248" s="9" t="e">
        <f t="shared" si="92"/>
        <v>#DIV/0!</v>
      </c>
      <c r="L248" s="106" t="e">
        <f t="shared" si="92"/>
        <v>#DIV/0!</v>
      </c>
      <c r="M248" s="106" t="e">
        <f t="shared" si="92"/>
        <v>#DIV/0!</v>
      </c>
      <c r="N248" s="106" t="e">
        <f t="shared" si="92"/>
        <v>#DIV/0!</v>
      </c>
      <c r="O248" s="106" t="e">
        <f t="shared" si="92"/>
        <v>#DIV/0!</v>
      </c>
      <c r="P248" s="9" t="e">
        <f t="shared" si="92"/>
        <v>#DIV/0!</v>
      </c>
      <c r="Q248" s="137" t="e">
        <f t="shared" si="92"/>
        <v>#DIV/0!</v>
      </c>
      <c r="R248" s="137" t="e">
        <f t="shared" si="92"/>
        <v>#DIV/0!</v>
      </c>
      <c r="S248" s="137" t="e">
        <f t="shared" si="92"/>
        <v>#DIV/0!</v>
      </c>
      <c r="T248" s="137" t="e">
        <f t="shared" si="92"/>
        <v>#DIV/0!</v>
      </c>
      <c r="U248" s="9" t="e">
        <f t="shared" si="92"/>
        <v>#DIV/0!</v>
      </c>
      <c r="V248" s="137" t="e">
        <f t="shared" si="92"/>
        <v>#DIV/0!</v>
      </c>
      <c r="W248" s="137" t="e">
        <f t="shared" si="92"/>
        <v>#DIV/0!</v>
      </c>
      <c r="X248" s="137" t="e">
        <f t="shared" si="92"/>
        <v>#DIV/0!</v>
      </c>
      <c r="Y248" s="137" t="e">
        <f t="shared" si="92"/>
        <v>#DIV/0!</v>
      </c>
      <c r="Z248" s="9" t="e">
        <f t="shared" si="92"/>
        <v>#DIV/0!</v>
      </c>
      <c r="AA248" s="137" t="e">
        <f t="shared" si="92"/>
        <v>#DIV/0!</v>
      </c>
      <c r="AB248" s="137" t="e">
        <f t="shared" si="92"/>
        <v>#DIV/0!</v>
      </c>
      <c r="AC248" s="137" t="e">
        <f t="shared" si="92"/>
        <v>#DIV/0!</v>
      </c>
      <c r="AD248" s="137" t="e">
        <f t="shared" si="92"/>
        <v>#DIV/0!</v>
      </c>
      <c r="AE248" s="9" t="e">
        <f t="shared" si="92"/>
        <v>#DIV/0!</v>
      </c>
      <c r="AF248" s="137" t="e">
        <f t="shared" si="92"/>
        <v>#DIV/0!</v>
      </c>
      <c r="AG248" s="137" t="e">
        <f t="shared" si="92"/>
        <v>#DIV/0!</v>
      </c>
      <c r="AH248" s="137" t="e">
        <f t="shared" si="92"/>
        <v>#DIV/0!</v>
      </c>
      <c r="AI248" s="137" t="e">
        <f t="shared" si="92"/>
        <v>#DIV/0!</v>
      </c>
      <c r="AJ248" s="9" t="e">
        <f t="shared" si="92"/>
        <v>#DIV/0!</v>
      </c>
      <c r="AK248" s="137" t="e">
        <f t="shared" si="92"/>
        <v>#DIV/0!</v>
      </c>
      <c r="AL248" s="137" t="e">
        <f t="shared" si="92"/>
        <v>#DIV/0!</v>
      </c>
      <c r="AM248" s="137" t="e">
        <f t="shared" si="92"/>
        <v>#DIV/0!</v>
      </c>
      <c r="AN248" s="137" t="e">
        <f t="shared" si="92"/>
        <v>#DIV/0!</v>
      </c>
      <c r="AO248" s="9" t="e">
        <f t="shared" si="92"/>
        <v>#DIV/0!</v>
      </c>
      <c r="AP248" s="137" t="e">
        <f t="shared" si="92"/>
        <v>#DIV/0!</v>
      </c>
      <c r="AQ248" s="137" t="e">
        <f t="shared" si="92"/>
        <v>#DIV/0!</v>
      </c>
      <c r="AR248" s="137" t="e">
        <f t="shared" si="92"/>
        <v>#DIV/0!</v>
      </c>
      <c r="AS248" s="137" t="e">
        <f t="shared" si="92"/>
        <v>#DIV/0!</v>
      </c>
      <c r="AT248" s="9" t="e">
        <f t="shared" si="92"/>
        <v>#DIV/0!</v>
      </c>
      <c r="AU248" s="137" t="e">
        <f t="shared" si="92"/>
        <v>#DIV/0!</v>
      </c>
      <c r="AV248" s="137" t="e">
        <f t="shared" si="92"/>
        <v>#DIV/0!</v>
      </c>
      <c r="AW248" s="137" t="e">
        <f t="shared" si="92"/>
        <v>#DIV/0!</v>
      </c>
      <c r="AX248" s="137" t="e">
        <f t="shared" si="92"/>
        <v>#DIV/0!</v>
      </c>
      <c r="AY248" s="106" t="e">
        <f t="shared" si="92"/>
        <v>#DIV/0!</v>
      </c>
    </row>
    <row r="249" spans="1:51">
      <c r="A249" s="128" t="s">
        <v>247</v>
      </c>
      <c r="B249" s="106" t="e">
        <f t="shared" ref="B249:AY252" si="93">B111/B$137</f>
        <v>#DIV/0!</v>
      </c>
      <c r="C249" s="106" t="e">
        <f t="shared" si="93"/>
        <v>#DIV/0!</v>
      </c>
      <c r="D249" s="106" t="e">
        <f t="shared" si="93"/>
        <v>#DIV/0!</v>
      </c>
      <c r="E249" s="106" t="e">
        <f t="shared" si="93"/>
        <v>#DIV/0!</v>
      </c>
      <c r="F249" s="9" t="e">
        <f t="shared" si="93"/>
        <v>#DIV/0!</v>
      </c>
      <c r="G249" s="106" t="e">
        <f t="shared" si="93"/>
        <v>#DIV/0!</v>
      </c>
      <c r="H249" s="106" t="e">
        <f t="shared" si="93"/>
        <v>#DIV/0!</v>
      </c>
      <c r="I249" s="106" t="e">
        <f t="shared" si="93"/>
        <v>#DIV/0!</v>
      </c>
      <c r="J249" s="106" t="e">
        <f t="shared" si="93"/>
        <v>#DIV/0!</v>
      </c>
      <c r="K249" s="9" t="e">
        <f t="shared" si="93"/>
        <v>#DIV/0!</v>
      </c>
      <c r="L249" s="106" t="e">
        <f t="shared" si="93"/>
        <v>#DIV/0!</v>
      </c>
      <c r="M249" s="106" t="e">
        <f t="shared" si="93"/>
        <v>#DIV/0!</v>
      </c>
      <c r="N249" s="106" t="e">
        <f t="shared" si="93"/>
        <v>#DIV/0!</v>
      </c>
      <c r="O249" s="106" t="e">
        <f t="shared" si="93"/>
        <v>#DIV/0!</v>
      </c>
      <c r="P249" s="9" t="e">
        <f t="shared" si="93"/>
        <v>#DIV/0!</v>
      </c>
      <c r="Q249" s="137" t="e">
        <f t="shared" si="93"/>
        <v>#DIV/0!</v>
      </c>
      <c r="R249" s="137" t="e">
        <f t="shared" si="93"/>
        <v>#DIV/0!</v>
      </c>
      <c r="S249" s="137" t="e">
        <f t="shared" si="93"/>
        <v>#DIV/0!</v>
      </c>
      <c r="T249" s="137" t="e">
        <f t="shared" si="93"/>
        <v>#DIV/0!</v>
      </c>
      <c r="U249" s="9" t="e">
        <f t="shared" si="93"/>
        <v>#DIV/0!</v>
      </c>
      <c r="V249" s="137" t="e">
        <f t="shared" si="93"/>
        <v>#DIV/0!</v>
      </c>
      <c r="W249" s="137" t="e">
        <f t="shared" si="93"/>
        <v>#DIV/0!</v>
      </c>
      <c r="X249" s="137" t="e">
        <f t="shared" si="93"/>
        <v>#DIV/0!</v>
      </c>
      <c r="Y249" s="137" t="e">
        <f t="shared" si="93"/>
        <v>#DIV/0!</v>
      </c>
      <c r="Z249" s="9" t="e">
        <f t="shared" si="93"/>
        <v>#DIV/0!</v>
      </c>
      <c r="AA249" s="137" t="e">
        <f t="shared" si="93"/>
        <v>#DIV/0!</v>
      </c>
      <c r="AB249" s="137" t="e">
        <f t="shared" si="93"/>
        <v>#DIV/0!</v>
      </c>
      <c r="AC249" s="137" t="e">
        <f t="shared" si="93"/>
        <v>#DIV/0!</v>
      </c>
      <c r="AD249" s="137" t="e">
        <f t="shared" si="93"/>
        <v>#DIV/0!</v>
      </c>
      <c r="AE249" s="9" t="e">
        <f t="shared" si="93"/>
        <v>#DIV/0!</v>
      </c>
      <c r="AF249" s="137" t="e">
        <f t="shared" si="93"/>
        <v>#DIV/0!</v>
      </c>
      <c r="AG249" s="137" t="e">
        <f t="shared" si="93"/>
        <v>#DIV/0!</v>
      </c>
      <c r="AH249" s="137" t="e">
        <f t="shared" si="93"/>
        <v>#DIV/0!</v>
      </c>
      <c r="AI249" s="137" t="e">
        <f t="shared" si="93"/>
        <v>#DIV/0!</v>
      </c>
      <c r="AJ249" s="9" t="e">
        <f t="shared" si="93"/>
        <v>#DIV/0!</v>
      </c>
      <c r="AK249" s="137" t="e">
        <f t="shared" si="93"/>
        <v>#DIV/0!</v>
      </c>
      <c r="AL249" s="137" t="e">
        <f t="shared" si="93"/>
        <v>#DIV/0!</v>
      </c>
      <c r="AM249" s="137" t="e">
        <f t="shared" si="93"/>
        <v>#DIV/0!</v>
      </c>
      <c r="AN249" s="137" t="e">
        <f t="shared" si="93"/>
        <v>#DIV/0!</v>
      </c>
      <c r="AO249" s="9" t="e">
        <f t="shared" si="93"/>
        <v>#DIV/0!</v>
      </c>
      <c r="AP249" s="137" t="e">
        <f t="shared" si="93"/>
        <v>#DIV/0!</v>
      </c>
      <c r="AQ249" s="137" t="e">
        <f t="shared" si="93"/>
        <v>#DIV/0!</v>
      </c>
      <c r="AR249" s="137" t="e">
        <f t="shared" si="93"/>
        <v>#DIV/0!</v>
      </c>
      <c r="AS249" s="137" t="e">
        <f t="shared" si="93"/>
        <v>#DIV/0!</v>
      </c>
      <c r="AT249" s="9" t="e">
        <f t="shared" si="93"/>
        <v>#DIV/0!</v>
      </c>
      <c r="AU249" s="137" t="e">
        <f t="shared" si="93"/>
        <v>#DIV/0!</v>
      </c>
      <c r="AV249" s="137" t="e">
        <f t="shared" si="93"/>
        <v>#DIV/0!</v>
      </c>
      <c r="AW249" s="137" t="e">
        <f t="shared" si="93"/>
        <v>#DIV/0!</v>
      </c>
      <c r="AX249" s="137" t="e">
        <f t="shared" si="93"/>
        <v>#DIV/0!</v>
      </c>
      <c r="AY249" s="106" t="e">
        <f t="shared" si="93"/>
        <v>#DIV/0!</v>
      </c>
    </row>
    <row r="250" spans="1:51">
      <c r="A250" s="128" t="s">
        <v>249</v>
      </c>
      <c r="B250" s="106" t="e">
        <f t="shared" si="93"/>
        <v>#DIV/0!</v>
      </c>
      <c r="C250" s="106" t="e">
        <f t="shared" si="93"/>
        <v>#DIV/0!</v>
      </c>
      <c r="D250" s="106" t="e">
        <f t="shared" si="93"/>
        <v>#DIV/0!</v>
      </c>
      <c r="E250" s="106" t="e">
        <f t="shared" si="93"/>
        <v>#DIV/0!</v>
      </c>
      <c r="F250" s="9" t="e">
        <f t="shared" si="93"/>
        <v>#DIV/0!</v>
      </c>
      <c r="G250" s="106" t="e">
        <f t="shared" si="93"/>
        <v>#DIV/0!</v>
      </c>
      <c r="H250" s="106" t="e">
        <f t="shared" si="93"/>
        <v>#DIV/0!</v>
      </c>
      <c r="I250" s="106" t="e">
        <f t="shared" si="93"/>
        <v>#DIV/0!</v>
      </c>
      <c r="J250" s="106" t="e">
        <f t="shared" si="93"/>
        <v>#DIV/0!</v>
      </c>
      <c r="K250" s="9" t="e">
        <f t="shared" si="93"/>
        <v>#DIV/0!</v>
      </c>
      <c r="L250" s="106" t="e">
        <f t="shared" si="93"/>
        <v>#DIV/0!</v>
      </c>
      <c r="M250" s="106" t="e">
        <f t="shared" si="93"/>
        <v>#DIV/0!</v>
      </c>
      <c r="N250" s="106" t="e">
        <f t="shared" si="93"/>
        <v>#DIV/0!</v>
      </c>
      <c r="O250" s="106" t="e">
        <f t="shared" si="93"/>
        <v>#DIV/0!</v>
      </c>
      <c r="P250" s="9" t="e">
        <f t="shared" si="93"/>
        <v>#DIV/0!</v>
      </c>
      <c r="Q250" s="137" t="e">
        <f t="shared" si="93"/>
        <v>#DIV/0!</v>
      </c>
      <c r="R250" s="137" t="e">
        <f t="shared" si="93"/>
        <v>#DIV/0!</v>
      </c>
      <c r="S250" s="137" t="e">
        <f t="shared" si="93"/>
        <v>#DIV/0!</v>
      </c>
      <c r="T250" s="137" t="e">
        <f t="shared" si="93"/>
        <v>#DIV/0!</v>
      </c>
      <c r="U250" s="9" t="e">
        <f t="shared" si="93"/>
        <v>#DIV/0!</v>
      </c>
      <c r="V250" s="137" t="e">
        <f t="shared" si="93"/>
        <v>#DIV/0!</v>
      </c>
      <c r="W250" s="137" t="e">
        <f t="shared" si="93"/>
        <v>#DIV/0!</v>
      </c>
      <c r="X250" s="137" t="e">
        <f t="shared" si="93"/>
        <v>#DIV/0!</v>
      </c>
      <c r="Y250" s="137" t="e">
        <f t="shared" si="93"/>
        <v>#DIV/0!</v>
      </c>
      <c r="Z250" s="9" t="e">
        <f t="shared" si="93"/>
        <v>#DIV/0!</v>
      </c>
      <c r="AA250" s="137" t="e">
        <f t="shared" si="93"/>
        <v>#DIV/0!</v>
      </c>
      <c r="AB250" s="137" t="e">
        <f t="shared" si="93"/>
        <v>#DIV/0!</v>
      </c>
      <c r="AC250" s="137" t="e">
        <f t="shared" si="93"/>
        <v>#DIV/0!</v>
      </c>
      <c r="AD250" s="137" t="e">
        <f t="shared" si="93"/>
        <v>#DIV/0!</v>
      </c>
      <c r="AE250" s="9" t="e">
        <f t="shared" si="93"/>
        <v>#DIV/0!</v>
      </c>
      <c r="AF250" s="137" t="e">
        <f t="shared" si="93"/>
        <v>#DIV/0!</v>
      </c>
      <c r="AG250" s="137" t="e">
        <f t="shared" si="93"/>
        <v>#DIV/0!</v>
      </c>
      <c r="AH250" s="137" t="e">
        <f t="shared" si="93"/>
        <v>#DIV/0!</v>
      </c>
      <c r="AI250" s="137" t="e">
        <f t="shared" si="93"/>
        <v>#DIV/0!</v>
      </c>
      <c r="AJ250" s="9" t="e">
        <f t="shared" si="93"/>
        <v>#DIV/0!</v>
      </c>
      <c r="AK250" s="137" t="e">
        <f t="shared" si="93"/>
        <v>#DIV/0!</v>
      </c>
      <c r="AL250" s="137" t="e">
        <f t="shared" si="93"/>
        <v>#DIV/0!</v>
      </c>
      <c r="AM250" s="137" t="e">
        <f t="shared" si="93"/>
        <v>#DIV/0!</v>
      </c>
      <c r="AN250" s="137" t="e">
        <f t="shared" si="93"/>
        <v>#DIV/0!</v>
      </c>
      <c r="AO250" s="9" t="e">
        <f t="shared" si="93"/>
        <v>#DIV/0!</v>
      </c>
      <c r="AP250" s="137" t="e">
        <f t="shared" si="93"/>
        <v>#DIV/0!</v>
      </c>
      <c r="AQ250" s="137" t="e">
        <f t="shared" si="93"/>
        <v>#DIV/0!</v>
      </c>
      <c r="AR250" s="137" t="e">
        <f t="shared" si="93"/>
        <v>#DIV/0!</v>
      </c>
      <c r="AS250" s="137" t="e">
        <f t="shared" si="93"/>
        <v>#DIV/0!</v>
      </c>
      <c r="AT250" s="9" t="e">
        <f t="shared" si="93"/>
        <v>#DIV/0!</v>
      </c>
      <c r="AU250" s="137" t="e">
        <f t="shared" si="93"/>
        <v>#DIV/0!</v>
      </c>
      <c r="AV250" s="137" t="e">
        <f t="shared" si="93"/>
        <v>#DIV/0!</v>
      </c>
      <c r="AW250" s="137" t="e">
        <f t="shared" si="93"/>
        <v>#DIV/0!</v>
      </c>
      <c r="AX250" s="137" t="e">
        <f t="shared" si="93"/>
        <v>#DIV/0!</v>
      </c>
      <c r="AY250" s="106" t="e">
        <f t="shared" si="93"/>
        <v>#DIV/0!</v>
      </c>
    </row>
    <row r="251" spans="1:51">
      <c r="A251" s="128" t="s">
        <v>251</v>
      </c>
      <c r="B251" s="106" t="e">
        <f t="shared" si="93"/>
        <v>#DIV/0!</v>
      </c>
      <c r="C251" s="106" t="e">
        <f t="shared" si="93"/>
        <v>#DIV/0!</v>
      </c>
      <c r="D251" s="106" t="e">
        <f t="shared" si="93"/>
        <v>#DIV/0!</v>
      </c>
      <c r="E251" s="106" t="e">
        <f t="shared" si="93"/>
        <v>#DIV/0!</v>
      </c>
      <c r="F251" s="9" t="e">
        <f t="shared" si="93"/>
        <v>#DIV/0!</v>
      </c>
      <c r="G251" s="106" t="e">
        <f t="shared" si="93"/>
        <v>#DIV/0!</v>
      </c>
      <c r="H251" s="106" t="e">
        <f t="shared" si="93"/>
        <v>#DIV/0!</v>
      </c>
      <c r="I251" s="106" t="e">
        <f t="shared" si="93"/>
        <v>#DIV/0!</v>
      </c>
      <c r="J251" s="106" t="e">
        <f t="shared" si="93"/>
        <v>#DIV/0!</v>
      </c>
      <c r="K251" s="9" t="e">
        <f t="shared" si="93"/>
        <v>#DIV/0!</v>
      </c>
      <c r="L251" s="106" t="e">
        <f t="shared" si="93"/>
        <v>#DIV/0!</v>
      </c>
      <c r="M251" s="106" t="e">
        <f t="shared" si="93"/>
        <v>#DIV/0!</v>
      </c>
      <c r="N251" s="106" t="e">
        <f t="shared" si="93"/>
        <v>#DIV/0!</v>
      </c>
      <c r="O251" s="106" t="e">
        <f t="shared" si="93"/>
        <v>#DIV/0!</v>
      </c>
      <c r="P251" s="9" t="e">
        <f t="shared" si="93"/>
        <v>#DIV/0!</v>
      </c>
      <c r="Q251" s="137" t="e">
        <f t="shared" si="93"/>
        <v>#DIV/0!</v>
      </c>
      <c r="R251" s="137" t="e">
        <f t="shared" si="93"/>
        <v>#DIV/0!</v>
      </c>
      <c r="S251" s="137" t="e">
        <f t="shared" si="93"/>
        <v>#DIV/0!</v>
      </c>
      <c r="T251" s="137" t="e">
        <f t="shared" si="93"/>
        <v>#DIV/0!</v>
      </c>
      <c r="U251" s="9" t="e">
        <f t="shared" si="93"/>
        <v>#DIV/0!</v>
      </c>
      <c r="V251" s="137" t="e">
        <f t="shared" si="93"/>
        <v>#DIV/0!</v>
      </c>
      <c r="W251" s="137" t="e">
        <f t="shared" si="93"/>
        <v>#DIV/0!</v>
      </c>
      <c r="X251" s="137" t="e">
        <f t="shared" si="93"/>
        <v>#DIV/0!</v>
      </c>
      <c r="Y251" s="137" t="e">
        <f t="shared" si="93"/>
        <v>#DIV/0!</v>
      </c>
      <c r="Z251" s="9" t="e">
        <f t="shared" si="93"/>
        <v>#DIV/0!</v>
      </c>
      <c r="AA251" s="137" t="e">
        <f t="shared" si="93"/>
        <v>#DIV/0!</v>
      </c>
      <c r="AB251" s="137" t="e">
        <f t="shared" si="93"/>
        <v>#DIV/0!</v>
      </c>
      <c r="AC251" s="137" t="e">
        <f t="shared" si="93"/>
        <v>#DIV/0!</v>
      </c>
      <c r="AD251" s="137" t="e">
        <f t="shared" si="93"/>
        <v>#DIV/0!</v>
      </c>
      <c r="AE251" s="9" t="e">
        <f t="shared" si="93"/>
        <v>#DIV/0!</v>
      </c>
      <c r="AF251" s="137" t="e">
        <f t="shared" si="93"/>
        <v>#DIV/0!</v>
      </c>
      <c r="AG251" s="137" t="e">
        <f t="shared" si="93"/>
        <v>#DIV/0!</v>
      </c>
      <c r="AH251" s="137" t="e">
        <f t="shared" si="93"/>
        <v>#DIV/0!</v>
      </c>
      <c r="AI251" s="137" t="e">
        <f t="shared" si="93"/>
        <v>#DIV/0!</v>
      </c>
      <c r="AJ251" s="9" t="e">
        <f t="shared" si="93"/>
        <v>#DIV/0!</v>
      </c>
      <c r="AK251" s="137" t="e">
        <f t="shared" si="93"/>
        <v>#DIV/0!</v>
      </c>
      <c r="AL251" s="137" t="e">
        <f t="shared" si="93"/>
        <v>#DIV/0!</v>
      </c>
      <c r="AM251" s="137" t="e">
        <f t="shared" si="93"/>
        <v>#DIV/0!</v>
      </c>
      <c r="AN251" s="137" t="e">
        <f t="shared" si="93"/>
        <v>#DIV/0!</v>
      </c>
      <c r="AO251" s="9" t="e">
        <f t="shared" si="93"/>
        <v>#DIV/0!</v>
      </c>
      <c r="AP251" s="137" t="e">
        <f t="shared" si="93"/>
        <v>#DIV/0!</v>
      </c>
      <c r="AQ251" s="137" t="e">
        <f t="shared" si="93"/>
        <v>#DIV/0!</v>
      </c>
      <c r="AR251" s="137" t="e">
        <f t="shared" si="93"/>
        <v>#DIV/0!</v>
      </c>
      <c r="AS251" s="137" t="e">
        <f t="shared" si="93"/>
        <v>#DIV/0!</v>
      </c>
      <c r="AT251" s="9" t="e">
        <f t="shared" si="93"/>
        <v>#DIV/0!</v>
      </c>
      <c r="AU251" s="137" t="e">
        <f t="shared" si="93"/>
        <v>#DIV/0!</v>
      </c>
      <c r="AV251" s="137" t="e">
        <f t="shared" si="93"/>
        <v>#DIV/0!</v>
      </c>
      <c r="AW251" s="137" t="e">
        <f t="shared" si="93"/>
        <v>#DIV/0!</v>
      </c>
      <c r="AX251" s="137" t="e">
        <f t="shared" si="93"/>
        <v>#DIV/0!</v>
      </c>
      <c r="AY251" s="106" t="e">
        <f t="shared" si="93"/>
        <v>#DIV/0!</v>
      </c>
    </row>
    <row r="252" spans="1:51">
      <c r="A252" s="128" t="s">
        <v>253</v>
      </c>
      <c r="B252" s="106" t="e">
        <f t="shared" si="93"/>
        <v>#DIV/0!</v>
      </c>
      <c r="C252" s="106" t="e">
        <f t="shared" si="93"/>
        <v>#DIV/0!</v>
      </c>
      <c r="D252" s="106" t="e">
        <f t="shared" si="93"/>
        <v>#DIV/0!</v>
      </c>
      <c r="E252" s="106" t="e">
        <f t="shared" si="93"/>
        <v>#DIV/0!</v>
      </c>
      <c r="F252" s="9" t="e">
        <f t="shared" si="93"/>
        <v>#DIV/0!</v>
      </c>
      <c r="G252" s="106" t="e">
        <f t="shared" si="93"/>
        <v>#DIV/0!</v>
      </c>
      <c r="H252" s="106" t="e">
        <f t="shared" si="93"/>
        <v>#DIV/0!</v>
      </c>
      <c r="I252" s="106" t="e">
        <f t="shared" si="93"/>
        <v>#DIV/0!</v>
      </c>
      <c r="J252" s="106" t="e">
        <f t="shared" si="93"/>
        <v>#DIV/0!</v>
      </c>
      <c r="K252" s="9" t="e">
        <f t="shared" si="93"/>
        <v>#DIV/0!</v>
      </c>
      <c r="L252" s="106" t="e">
        <f t="shared" si="93"/>
        <v>#DIV/0!</v>
      </c>
      <c r="M252" s="106" t="e">
        <f t="shared" si="93"/>
        <v>#DIV/0!</v>
      </c>
      <c r="N252" s="106" t="e">
        <f t="shared" si="93"/>
        <v>#DIV/0!</v>
      </c>
      <c r="O252" s="106" t="e">
        <f t="shared" si="93"/>
        <v>#DIV/0!</v>
      </c>
      <c r="P252" s="9" t="e">
        <f t="shared" si="93"/>
        <v>#DIV/0!</v>
      </c>
      <c r="Q252" s="137" t="e">
        <f t="shared" si="93"/>
        <v>#DIV/0!</v>
      </c>
      <c r="R252" s="137" t="e">
        <f t="shared" si="93"/>
        <v>#DIV/0!</v>
      </c>
      <c r="S252" s="137" t="e">
        <f t="shared" si="93"/>
        <v>#DIV/0!</v>
      </c>
      <c r="T252" s="137" t="e">
        <f t="shared" si="93"/>
        <v>#DIV/0!</v>
      </c>
      <c r="U252" s="9" t="e">
        <f t="shared" si="93"/>
        <v>#DIV/0!</v>
      </c>
      <c r="V252" s="137" t="e">
        <f t="shared" si="93"/>
        <v>#DIV/0!</v>
      </c>
      <c r="W252" s="137" t="e">
        <f t="shared" si="93"/>
        <v>#DIV/0!</v>
      </c>
      <c r="X252" s="137" t="e">
        <f t="shared" si="93"/>
        <v>#DIV/0!</v>
      </c>
      <c r="Y252" s="137" t="e">
        <f t="shared" si="93"/>
        <v>#DIV/0!</v>
      </c>
      <c r="Z252" s="9" t="e">
        <f t="shared" si="93"/>
        <v>#DIV/0!</v>
      </c>
      <c r="AA252" s="137" t="e">
        <f t="shared" si="93"/>
        <v>#DIV/0!</v>
      </c>
      <c r="AB252" s="137" t="e">
        <f t="shared" si="93"/>
        <v>#DIV/0!</v>
      </c>
      <c r="AC252" s="137" t="e">
        <f t="shared" si="93"/>
        <v>#DIV/0!</v>
      </c>
      <c r="AD252" s="137" t="e">
        <f t="shared" si="93"/>
        <v>#DIV/0!</v>
      </c>
      <c r="AE252" s="9" t="e">
        <f t="shared" si="93"/>
        <v>#DIV/0!</v>
      </c>
      <c r="AF252" s="137" t="e">
        <f t="shared" si="93"/>
        <v>#DIV/0!</v>
      </c>
      <c r="AG252" s="137" t="e">
        <f t="shared" si="93"/>
        <v>#DIV/0!</v>
      </c>
      <c r="AH252" s="137" t="e">
        <f t="shared" si="93"/>
        <v>#DIV/0!</v>
      </c>
      <c r="AI252" s="137" t="e">
        <f t="shared" si="93"/>
        <v>#DIV/0!</v>
      </c>
      <c r="AJ252" s="9" t="e">
        <f t="shared" si="93"/>
        <v>#DIV/0!</v>
      </c>
      <c r="AK252" s="137" t="e">
        <f t="shared" si="93"/>
        <v>#DIV/0!</v>
      </c>
      <c r="AL252" s="137" t="e">
        <f t="shared" si="93"/>
        <v>#DIV/0!</v>
      </c>
      <c r="AM252" s="137" t="e">
        <f t="shared" si="93"/>
        <v>#DIV/0!</v>
      </c>
      <c r="AN252" s="137" t="e">
        <f t="shared" si="93"/>
        <v>#DIV/0!</v>
      </c>
      <c r="AO252" s="9" t="e">
        <f t="shared" si="93"/>
        <v>#DIV/0!</v>
      </c>
      <c r="AP252" s="137" t="e">
        <f t="shared" si="93"/>
        <v>#DIV/0!</v>
      </c>
      <c r="AQ252" s="137" t="e">
        <f t="shared" si="93"/>
        <v>#DIV/0!</v>
      </c>
      <c r="AR252" s="137" t="e">
        <f t="shared" si="93"/>
        <v>#DIV/0!</v>
      </c>
      <c r="AS252" s="137" t="e">
        <f t="shared" si="93"/>
        <v>#DIV/0!</v>
      </c>
      <c r="AT252" s="9" t="e">
        <f t="shared" si="93"/>
        <v>#DIV/0!</v>
      </c>
      <c r="AU252" s="137" t="e">
        <f t="shared" si="93"/>
        <v>#DIV/0!</v>
      </c>
      <c r="AV252" s="137" t="e">
        <f t="shared" si="93"/>
        <v>#DIV/0!</v>
      </c>
      <c r="AW252" s="137" t="e">
        <f t="shared" si="93"/>
        <v>#DIV/0!</v>
      </c>
      <c r="AX252" s="137" t="e">
        <f t="shared" si="93"/>
        <v>#DIV/0!</v>
      </c>
      <c r="AY252" s="106" t="e">
        <f t="shared" si="93"/>
        <v>#DIV/0!</v>
      </c>
    </row>
    <row r="253" spans="1:51">
      <c r="A253" s="128" t="s">
        <v>255</v>
      </c>
      <c r="B253" s="106" t="e">
        <f t="shared" ref="B253:AY256" si="94">B115/B$137</f>
        <v>#DIV/0!</v>
      </c>
      <c r="C253" s="106" t="e">
        <f t="shared" si="94"/>
        <v>#DIV/0!</v>
      </c>
      <c r="D253" s="106" t="e">
        <f t="shared" si="94"/>
        <v>#DIV/0!</v>
      </c>
      <c r="E253" s="106" t="e">
        <f t="shared" si="94"/>
        <v>#DIV/0!</v>
      </c>
      <c r="F253" s="9" t="e">
        <f t="shared" si="94"/>
        <v>#DIV/0!</v>
      </c>
      <c r="G253" s="106" t="e">
        <f t="shared" si="94"/>
        <v>#DIV/0!</v>
      </c>
      <c r="H253" s="106" t="e">
        <f t="shared" si="94"/>
        <v>#DIV/0!</v>
      </c>
      <c r="I253" s="106" t="e">
        <f t="shared" si="94"/>
        <v>#DIV/0!</v>
      </c>
      <c r="J253" s="106" t="e">
        <f t="shared" si="94"/>
        <v>#DIV/0!</v>
      </c>
      <c r="K253" s="9" t="e">
        <f t="shared" si="94"/>
        <v>#DIV/0!</v>
      </c>
      <c r="L253" s="106" t="e">
        <f t="shared" si="94"/>
        <v>#DIV/0!</v>
      </c>
      <c r="M253" s="106" t="e">
        <f t="shared" si="94"/>
        <v>#DIV/0!</v>
      </c>
      <c r="N253" s="106" t="e">
        <f t="shared" si="94"/>
        <v>#DIV/0!</v>
      </c>
      <c r="O253" s="106" t="e">
        <f t="shared" si="94"/>
        <v>#DIV/0!</v>
      </c>
      <c r="P253" s="9" t="e">
        <f t="shared" si="94"/>
        <v>#DIV/0!</v>
      </c>
      <c r="Q253" s="137" t="e">
        <f t="shared" si="94"/>
        <v>#DIV/0!</v>
      </c>
      <c r="R253" s="137" t="e">
        <f t="shared" si="94"/>
        <v>#DIV/0!</v>
      </c>
      <c r="S253" s="137" t="e">
        <f t="shared" si="94"/>
        <v>#DIV/0!</v>
      </c>
      <c r="T253" s="137" t="e">
        <f t="shared" si="94"/>
        <v>#DIV/0!</v>
      </c>
      <c r="U253" s="9" t="e">
        <f t="shared" si="94"/>
        <v>#DIV/0!</v>
      </c>
      <c r="V253" s="137" t="e">
        <f t="shared" si="94"/>
        <v>#DIV/0!</v>
      </c>
      <c r="W253" s="137" t="e">
        <f t="shared" si="94"/>
        <v>#DIV/0!</v>
      </c>
      <c r="X253" s="137" t="e">
        <f t="shared" si="94"/>
        <v>#DIV/0!</v>
      </c>
      <c r="Y253" s="137" t="e">
        <f t="shared" si="94"/>
        <v>#DIV/0!</v>
      </c>
      <c r="Z253" s="9" t="e">
        <f t="shared" si="94"/>
        <v>#DIV/0!</v>
      </c>
      <c r="AA253" s="137" t="e">
        <f t="shared" si="94"/>
        <v>#DIV/0!</v>
      </c>
      <c r="AB253" s="137" t="e">
        <f t="shared" si="94"/>
        <v>#DIV/0!</v>
      </c>
      <c r="AC253" s="137" t="e">
        <f t="shared" si="94"/>
        <v>#DIV/0!</v>
      </c>
      <c r="AD253" s="137" t="e">
        <f t="shared" si="94"/>
        <v>#DIV/0!</v>
      </c>
      <c r="AE253" s="9" t="e">
        <f t="shared" si="94"/>
        <v>#DIV/0!</v>
      </c>
      <c r="AF253" s="137" t="e">
        <f t="shared" si="94"/>
        <v>#DIV/0!</v>
      </c>
      <c r="AG253" s="137" t="e">
        <f t="shared" si="94"/>
        <v>#DIV/0!</v>
      </c>
      <c r="AH253" s="137" t="e">
        <f t="shared" si="94"/>
        <v>#DIV/0!</v>
      </c>
      <c r="AI253" s="137" t="e">
        <f t="shared" si="94"/>
        <v>#DIV/0!</v>
      </c>
      <c r="AJ253" s="9" t="e">
        <f t="shared" si="94"/>
        <v>#DIV/0!</v>
      </c>
      <c r="AK253" s="137" t="e">
        <f t="shared" si="94"/>
        <v>#DIV/0!</v>
      </c>
      <c r="AL253" s="137" t="e">
        <f t="shared" si="94"/>
        <v>#DIV/0!</v>
      </c>
      <c r="AM253" s="137" t="e">
        <f t="shared" si="94"/>
        <v>#DIV/0!</v>
      </c>
      <c r="AN253" s="137" t="e">
        <f t="shared" si="94"/>
        <v>#DIV/0!</v>
      </c>
      <c r="AO253" s="9" t="e">
        <f t="shared" si="94"/>
        <v>#DIV/0!</v>
      </c>
      <c r="AP253" s="137" t="e">
        <f t="shared" si="94"/>
        <v>#DIV/0!</v>
      </c>
      <c r="AQ253" s="137" t="e">
        <f t="shared" si="94"/>
        <v>#DIV/0!</v>
      </c>
      <c r="AR253" s="137" t="e">
        <f t="shared" si="94"/>
        <v>#DIV/0!</v>
      </c>
      <c r="AS253" s="137" t="e">
        <f t="shared" si="94"/>
        <v>#DIV/0!</v>
      </c>
      <c r="AT253" s="9" t="e">
        <f t="shared" si="94"/>
        <v>#DIV/0!</v>
      </c>
      <c r="AU253" s="137" t="e">
        <f t="shared" si="94"/>
        <v>#DIV/0!</v>
      </c>
      <c r="AV253" s="137" t="e">
        <f t="shared" si="94"/>
        <v>#DIV/0!</v>
      </c>
      <c r="AW253" s="137" t="e">
        <f t="shared" si="94"/>
        <v>#DIV/0!</v>
      </c>
      <c r="AX253" s="137" t="e">
        <f t="shared" si="94"/>
        <v>#DIV/0!</v>
      </c>
      <c r="AY253" s="106" t="e">
        <f t="shared" si="94"/>
        <v>#DIV/0!</v>
      </c>
    </row>
    <row r="254" spans="1:51">
      <c r="A254" s="128" t="s">
        <v>257</v>
      </c>
      <c r="B254" s="106" t="e">
        <f t="shared" si="94"/>
        <v>#DIV/0!</v>
      </c>
      <c r="C254" s="106" t="e">
        <f t="shared" si="94"/>
        <v>#DIV/0!</v>
      </c>
      <c r="D254" s="106" t="e">
        <f t="shared" si="94"/>
        <v>#DIV/0!</v>
      </c>
      <c r="E254" s="106" t="e">
        <f t="shared" si="94"/>
        <v>#DIV/0!</v>
      </c>
      <c r="F254" s="9" t="e">
        <f t="shared" si="94"/>
        <v>#DIV/0!</v>
      </c>
      <c r="G254" s="106" t="e">
        <f t="shared" si="94"/>
        <v>#DIV/0!</v>
      </c>
      <c r="H254" s="106" t="e">
        <f t="shared" si="94"/>
        <v>#DIV/0!</v>
      </c>
      <c r="I254" s="106" t="e">
        <f t="shared" si="94"/>
        <v>#DIV/0!</v>
      </c>
      <c r="J254" s="106" t="e">
        <f t="shared" si="94"/>
        <v>#DIV/0!</v>
      </c>
      <c r="K254" s="9" t="e">
        <f t="shared" si="94"/>
        <v>#DIV/0!</v>
      </c>
      <c r="L254" s="106" t="e">
        <f t="shared" si="94"/>
        <v>#DIV/0!</v>
      </c>
      <c r="M254" s="106" t="e">
        <f t="shared" si="94"/>
        <v>#DIV/0!</v>
      </c>
      <c r="N254" s="106" t="e">
        <f t="shared" si="94"/>
        <v>#DIV/0!</v>
      </c>
      <c r="O254" s="106" t="e">
        <f t="shared" si="94"/>
        <v>#DIV/0!</v>
      </c>
      <c r="P254" s="9" t="e">
        <f t="shared" si="94"/>
        <v>#DIV/0!</v>
      </c>
      <c r="Q254" s="137" t="e">
        <f t="shared" si="94"/>
        <v>#DIV/0!</v>
      </c>
      <c r="R254" s="137" t="e">
        <f t="shared" si="94"/>
        <v>#DIV/0!</v>
      </c>
      <c r="S254" s="137" t="e">
        <f t="shared" si="94"/>
        <v>#DIV/0!</v>
      </c>
      <c r="T254" s="137" t="e">
        <f t="shared" si="94"/>
        <v>#DIV/0!</v>
      </c>
      <c r="U254" s="9" t="e">
        <f t="shared" si="94"/>
        <v>#DIV/0!</v>
      </c>
      <c r="V254" s="137" t="e">
        <f t="shared" si="94"/>
        <v>#DIV/0!</v>
      </c>
      <c r="W254" s="137" t="e">
        <f t="shared" si="94"/>
        <v>#DIV/0!</v>
      </c>
      <c r="X254" s="137" t="e">
        <f t="shared" si="94"/>
        <v>#DIV/0!</v>
      </c>
      <c r="Y254" s="137" t="e">
        <f t="shared" si="94"/>
        <v>#DIV/0!</v>
      </c>
      <c r="Z254" s="9" t="e">
        <f t="shared" si="94"/>
        <v>#DIV/0!</v>
      </c>
      <c r="AA254" s="137" t="e">
        <f t="shared" si="94"/>
        <v>#DIV/0!</v>
      </c>
      <c r="AB254" s="137" t="e">
        <f t="shared" si="94"/>
        <v>#DIV/0!</v>
      </c>
      <c r="AC254" s="137" t="e">
        <f t="shared" si="94"/>
        <v>#DIV/0!</v>
      </c>
      <c r="AD254" s="137" t="e">
        <f t="shared" si="94"/>
        <v>#DIV/0!</v>
      </c>
      <c r="AE254" s="9" t="e">
        <f t="shared" si="94"/>
        <v>#DIV/0!</v>
      </c>
      <c r="AF254" s="137" t="e">
        <f t="shared" si="94"/>
        <v>#DIV/0!</v>
      </c>
      <c r="AG254" s="137" t="e">
        <f t="shared" si="94"/>
        <v>#DIV/0!</v>
      </c>
      <c r="AH254" s="137" t="e">
        <f t="shared" si="94"/>
        <v>#DIV/0!</v>
      </c>
      <c r="AI254" s="137" t="e">
        <f t="shared" si="94"/>
        <v>#DIV/0!</v>
      </c>
      <c r="AJ254" s="9" t="e">
        <f t="shared" si="94"/>
        <v>#DIV/0!</v>
      </c>
      <c r="AK254" s="137" t="e">
        <f t="shared" si="94"/>
        <v>#DIV/0!</v>
      </c>
      <c r="AL254" s="137" t="e">
        <f t="shared" si="94"/>
        <v>#DIV/0!</v>
      </c>
      <c r="AM254" s="137" t="e">
        <f t="shared" si="94"/>
        <v>#DIV/0!</v>
      </c>
      <c r="AN254" s="137" t="e">
        <f t="shared" si="94"/>
        <v>#DIV/0!</v>
      </c>
      <c r="AO254" s="9" t="e">
        <f t="shared" si="94"/>
        <v>#DIV/0!</v>
      </c>
      <c r="AP254" s="137" t="e">
        <f t="shared" si="94"/>
        <v>#DIV/0!</v>
      </c>
      <c r="AQ254" s="137" t="e">
        <f t="shared" si="94"/>
        <v>#DIV/0!</v>
      </c>
      <c r="AR254" s="137" t="e">
        <f t="shared" si="94"/>
        <v>#DIV/0!</v>
      </c>
      <c r="AS254" s="137" t="e">
        <f t="shared" si="94"/>
        <v>#DIV/0!</v>
      </c>
      <c r="AT254" s="9" t="e">
        <f t="shared" si="94"/>
        <v>#DIV/0!</v>
      </c>
      <c r="AU254" s="137" t="e">
        <f t="shared" si="94"/>
        <v>#DIV/0!</v>
      </c>
      <c r="AV254" s="137" t="e">
        <f t="shared" si="94"/>
        <v>#DIV/0!</v>
      </c>
      <c r="AW254" s="137" t="e">
        <f t="shared" si="94"/>
        <v>#DIV/0!</v>
      </c>
      <c r="AX254" s="137" t="e">
        <f t="shared" si="94"/>
        <v>#DIV/0!</v>
      </c>
      <c r="AY254" s="106" t="e">
        <f t="shared" si="94"/>
        <v>#DIV/0!</v>
      </c>
    </row>
    <row r="255" spans="1:51">
      <c r="A255" s="128" t="s">
        <v>259</v>
      </c>
      <c r="B255" s="106" t="e">
        <f t="shared" si="94"/>
        <v>#DIV/0!</v>
      </c>
      <c r="C255" s="106" t="e">
        <f t="shared" si="94"/>
        <v>#DIV/0!</v>
      </c>
      <c r="D255" s="106" t="e">
        <f t="shared" si="94"/>
        <v>#DIV/0!</v>
      </c>
      <c r="E255" s="106" t="e">
        <f t="shared" si="94"/>
        <v>#DIV/0!</v>
      </c>
      <c r="F255" s="9" t="e">
        <f t="shared" si="94"/>
        <v>#DIV/0!</v>
      </c>
      <c r="G255" s="106" t="e">
        <f t="shared" si="94"/>
        <v>#DIV/0!</v>
      </c>
      <c r="H255" s="106" t="e">
        <f t="shared" si="94"/>
        <v>#DIV/0!</v>
      </c>
      <c r="I255" s="106" t="e">
        <f t="shared" si="94"/>
        <v>#DIV/0!</v>
      </c>
      <c r="J255" s="106" t="e">
        <f t="shared" si="94"/>
        <v>#DIV/0!</v>
      </c>
      <c r="K255" s="9" t="e">
        <f t="shared" si="94"/>
        <v>#DIV/0!</v>
      </c>
      <c r="L255" s="106" t="e">
        <f t="shared" si="94"/>
        <v>#DIV/0!</v>
      </c>
      <c r="M255" s="106" t="e">
        <f t="shared" si="94"/>
        <v>#DIV/0!</v>
      </c>
      <c r="N255" s="106" t="e">
        <f t="shared" si="94"/>
        <v>#DIV/0!</v>
      </c>
      <c r="O255" s="106" t="e">
        <f t="shared" si="94"/>
        <v>#DIV/0!</v>
      </c>
      <c r="P255" s="9" t="e">
        <f t="shared" si="94"/>
        <v>#DIV/0!</v>
      </c>
      <c r="Q255" s="137" t="e">
        <f t="shared" si="94"/>
        <v>#DIV/0!</v>
      </c>
      <c r="R255" s="137" t="e">
        <f t="shared" si="94"/>
        <v>#DIV/0!</v>
      </c>
      <c r="S255" s="137" t="e">
        <f t="shared" si="94"/>
        <v>#DIV/0!</v>
      </c>
      <c r="T255" s="137" t="e">
        <f t="shared" si="94"/>
        <v>#DIV/0!</v>
      </c>
      <c r="U255" s="9" t="e">
        <f t="shared" si="94"/>
        <v>#DIV/0!</v>
      </c>
      <c r="V255" s="137" t="e">
        <f t="shared" si="94"/>
        <v>#DIV/0!</v>
      </c>
      <c r="W255" s="137" t="e">
        <f t="shared" si="94"/>
        <v>#DIV/0!</v>
      </c>
      <c r="X255" s="137" t="e">
        <f t="shared" si="94"/>
        <v>#DIV/0!</v>
      </c>
      <c r="Y255" s="137" t="e">
        <f t="shared" si="94"/>
        <v>#DIV/0!</v>
      </c>
      <c r="Z255" s="9" t="e">
        <f t="shared" si="94"/>
        <v>#DIV/0!</v>
      </c>
      <c r="AA255" s="137" t="e">
        <f t="shared" si="94"/>
        <v>#DIV/0!</v>
      </c>
      <c r="AB255" s="137" t="e">
        <f t="shared" si="94"/>
        <v>#DIV/0!</v>
      </c>
      <c r="AC255" s="137" t="e">
        <f t="shared" si="94"/>
        <v>#DIV/0!</v>
      </c>
      <c r="AD255" s="137" t="e">
        <f t="shared" si="94"/>
        <v>#DIV/0!</v>
      </c>
      <c r="AE255" s="9" t="e">
        <f t="shared" si="94"/>
        <v>#DIV/0!</v>
      </c>
      <c r="AF255" s="137" t="e">
        <f t="shared" si="94"/>
        <v>#DIV/0!</v>
      </c>
      <c r="AG255" s="137" t="e">
        <f t="shared" si="94"/>
        <v>#DIV/0!</v>
      </c>
      <c r="AH255" s="137" t="e">
        <f t="shared" si="94"/>
        <v>#DIV/0!</v>
      </c>
      <c r="AI255" s="137" t="e">
        <f t="shared" si="94"/>
        <v>#DIV/0!</v>
      </c>
      <c r="AJ255" s="9" t="e">
        <f t="shared" si="94"/>
        <v>#DIV/0!</v>
      </c>
      <c r="AK255" s="137" t="e">
        <f t="shared" si="94"/>
        <v>#DIV/0!</v>
      </c>
      <c r="AL255" s="137" t="e">
        <f t="shared" si="94"/>
        <v>#DIV/0!</v>
      </c>
      <c r="AM255" s="137" t="e">
        <f t="shared" si="94"/>
        <v>#DIV/0!</v>
      </c>
      <c r="AN255" s="137" t="e">
        <f t="shared" si="94"/>
        <v>#DIV/0!</v>
      </c>
      <c r="AO255" s="9" t="e">
        <f t="shared" si="94"/>
        <v>#DIV/0!</v>
      </c>
      <c r="AP255" s="137" t="e">
        <f t="shared" si="94"/>
        <v>#DIV/0!</v>
      </c>
      <c r="AQ255" s="137" t="e">
        <f t="shared" si="94"/>
        <v>#DIV/0!</v>
      </c>
      <c r="AR255" s="137" t="e">
        <f t="shared" si="94"/>
        <v>#DIV/0!</v>
      </c>
      <c r="AS255" s="137" t="e">
        <f t="shared" si="94"/>
        <v>#DIV/0!</v>
      </c>
      <c r="AT255" s="9" t="e">
        <f t="shared" si="94"/>
        <v>#DIV/0!</v>
      </c>
      <c r="AU255" s="137" t="e">
        <f t="shared" si="94"/>
        <v>#DIV/0!</v>
      </c>
      <c r="AV255" s="137" t="e">
        <f t="shared" si="94"/>
        <v>#DIV/0!</v>
      </c>
      <c r="AW255" s="137" t="e">
        <f t="shared" si="94"/>
        <v>#DIV/0!</v>
      </c>
      <c r="AX255" s="137" t="e">
        <f t="shared" si="94"/>
        <v>#DIV/0!</v>
      </c>
      <c r="AY255" s="106" t="e">
        <f t="shared" si="94"/>
        <v>#DIV/0!</v>
      </c>
    </row>
    <row r="256" spans="1:51">
      <c r="A256" s="128" t="s">
        <v>261</v>
      </c>
      <c r="B256" s="106" t="e">
        <f t="shared" si="94"/>
        <v>#DIV/0!</v>
      </c>
      <c r="C256" s="106" t="e">
        <f t="shared" si="94"/>
        <v>#DIV/0!</v>
      </c>
      <c r="D256" s="106" t="e">
        <f t="shared" si="94"/>
        <v>#DIV/0!</v>
      </c>
      <c r="E256" s="106" t="e">
        <f t="shared" si="94"/>
        <v>#DIV/0!</v>
      </c>
      <c r="F256" s="9" t="e">
        <f t="shared" si="94"/>
        <v>#DIV/0!</v>
      </c>
      <c r="G256" s="106" t="e">
        <f t="shared" si="94"/>
        <v>#DIV/0!</v>
      </c>
      <c r="H256" s="106" t="e">
        <f t="shared" si="94"/>
        <v>#DIV/0!</v>
      </c>
      <c r="I256" s="106" t="e">
        <f t="shared" si="94"/>
        <v>#DIV/0!</v>
      </c>
      <c r="J256" s="106" t="e">
        <f t="shared" si="94"/>
        <v>#DIV/0!</v>
      </c>
      <c r="K256" s="9" t="e">
        <f t="shared" si="94"/>
        <v>#DIV/0!</v>
      </c>
      <c r="L256" s="106" t="e">
        <f t="shared" si="94"/>
        <v>#DIV/0!</v>
      </c>
      <c r="M256" s="106" t="e">
        <f t="shared" si="94"/>
        <v>#DIV/0!</v>
      </c>
      <c r="N256" s="106" t="e">
        <f t="shared" si="94"/>
        <v>#DIV/0!</v>
      </c>
      <c r="O256" s="106" t="e">
        <f t="shared" si="94"/>
        <v>#DIV/0!</v>
      </c>
      <c r="P256" s="9" t="e">
        <f t="shared" si="94"/>
        <v>#DIV/0!</v>
      </c>
      <c r="Q256" s="137" t="e">
        <f t="shared" si="94"/>
        <v>#DIV/0!</v>
      </c>
      <c r="R256" s="137" t="e">
        <f t="shared" si="94"/>
        <v>#DIV/0!</v>
      </c>
      <c r="S256" s="137" t="e">
        <f t="shared" si="94"/>
        <v>#DIV/0!</v>
      </c>
      <c r="T256" s="137" t="e">
        <f t="shared" si="94"/>
        <v>#DIV/0!</v>
      </c>
      <c r="U256" s="9" t="e">
        <f t="shared" si="94"/>
        <v>#DIV/0!</v>
      </c>
      <c r="V256" s="137" t="e">
        <f t="shared" si="94"/>
        <v>#DIV/0!</v>
      </c>
      <c r="W256" s="137" t="e">
        <f t="shared" si="94"/>
        <v>#DIV/0!</v>
      </c>
      <c r="X256" s="137" t="e">
        <f t="shared" si="94"/>
        <v>#DIV/0!</v>
      </c>
      <c r="Y256" s="137" t="e">
        <f t="shared" si="94"/>
        <v>#DIV/0!</v>
      </c>
      <c r="Z256" s="9" t="e">
        <f t="shared" si="94"/>
        <v>#DIV/0!</v>
      </c>
      <c r="AA256" s="137" t="e">
        <f t="shared" si="94"/>
        <v>#DIV/0!</v>
      </c>
      <c r="AB256" s="137" t="e">
        <f t="shared" si="94"/>
        <v>#DIV/0!</v>
      </c>
      <c r="AC256" s="137" t="e">
        <f t="shared" si="94"/>
        <v>#DIV/0!</v>
      </c>
      <c r="AD256" s="137" t="e">
        <f t="shared" si="94"/>
        <v>#DIV/0!</v>
      </c>
      <c r="AE256" s="9" t="e">
        <f t="shared" si="94"/>
        <v>#DIV/0!</v>
      </c>
      <c r="AF256" s="137" t="e">
        <f t="shared" si="94"/>
        <v>#DIV/0!</v>
      </c>
      <c r="AG256" s="137" t="e">
        <f t="shared" si="94"/>
        <v>#DIV/0!</v>
      </c>
      <c r="AH256" s="137" t="e">
        <f t="shared" si="94"/>
        <v>#DIV/0!</v>
      </c>
      <c r="AI256" s="137" t="e">
        <f t="shared" si="94"/>
        <v>#DIV/0!</v>
      </c>
      <c r="AJ256" s="9" t="e">
        <f t="shared" si="94"/>
        <v>#DIV/0!</v>
      </c>
      <c r="AK256" s="137" t="e">
        <f t="shared" si="94"/>
        <v>#DIV/0!</v>
      </c>
      <c r="AL256" s="137" t="e">
        <f t="shared" si="94"/>
        <v>#DIV/0!</v>
      </c>
      <c r="AM256" s="137" t="e">
        <f t="shared" si="94"/>
        <v>#DIV/0!</v>
      </c>
      <c r="AN256" s="137" t="e">
        <f t="shared" si="94"/>
        <v>#DIV/0!</v>
      </c>
      <c r="AO256" s="9" t="e">
        <f t="shared" si="94"/>
        <v>#DIV/0!</v>
      </c>
      <c r="AP256" s="137" t="e">
        <f t="shared" si="94"/>
        <v>#DIV/0!</v>
      </c>
      <c r="AQ256" s="137" t="e">
        <f t="shared" si="94"/>
        <v>#DIV/0!</v>
      </c>
      <c r="AR256" s="137" t="e">
        <f t="shared" si="94"/>
        <v>#DIV/0!</v>
      </c>
      <c r="AS256" s="137" t="e">
        <f t="shared" si="94"/>
        <v>#DIV/0!</v>
      </c>
      <c r="AT256" s="9" t="e">
        <f t="shared" si="94"/>
        <v>#DIV/0!</v>
      </c>
      <c r="AU256" s="137" t="e">
        <f t="shared" si="94"/>
        <v>#DIV/0!</v>
      </c>
      <c r="AV256" s="137" t="e">
        <f t="shared" si="94"/>
        <v>#DIV/0!</v>
      </c>
      <c r="AW256" s="137" t="e">
        <f t="shared" si="94"/>
        <v>#DIV/0!</v>
      </c>
      <c r="AX256" s="137" t="e">
        <f t="shared" si="94"/>
        <v>#DIV/0!</v>
      </c>
      <c r="AY256" s="106" t="e">
        <f t="shared" si="94"/>
        <v>#DIV/0!</v>
      </c>
    </row>
    <row r="257" spans="1:51">
      <c r="A257" s="128" t="s">
        <v>263</v>
      </c>
      <c r="B257" s="106" t="e">
        <f t="shared" ref="B257:AY260" si="95">B119/B$137</f>
        <v>#DIV/0!</v>
      </c>
      <c r="C257" s="106" t="e">
        <f t="shared" si="95"/>
        <v>#DIV/0!</v>
      </c>
      <c r="D257" s="106" t="e">
        <f t="shared" si="95"/>
        <v>#DIV/0!</v>
      </c>
      <c r="E257" s="106" t="e">
        <f t="shared" si="95"/>
        <v>#DIV/0!</v>
      </c>
      <c r="F257" s="9" t="e">
        <f t="shared" si="95"/>
        <v>#DIV/0!</v>
      </c>
      <c r="G257" s="106" t="e">
        <f t="shared" si="95"/>
        <v>#DIV/0!</v>
      </c>
      <c r="H257" s="106" t="e">
        <f t="shared" si="95"/>
        <v>#DIV/0!</v>
      </c>
      <c r="I257" s="106" t="e">
        <f t="shared" si="95"/>
        <v>#DIV/0!</v>
      </c>
      <c r="J257" s="106" t="e">
        <f t="shared" si="95"/>
        <v>#DIV/0!</v>
      </c>
      <c r="K257" s="9" t="e">
        <f t="shared" si="95"/>
        <v>#DIV/0!</v>
      </c>
      <c r="L257" s="106" t="e">
        <f t="shared" si="95"/>
        <v>#DIV/0!</v>
      </c>
      <c r="M257" s="106" t="e">
        <f t="shared" si="95"/>
        <v>#DIV/0!</v>
      </c>
      <c r="N257" s="106" t="e">
        <f t="shared" si="95"/>
        <v>#DIV/0!</v>
      </c>
      <c r="O257" s="106" t="e">
        <f t="shared" si="95"/>
        <v>#DIV/0!</v>
      </c>
      <c r="P257" s="9" t="e">
        <f t="shared" si="95"/>
        <v>#DIV/0!</v>
      </c>
      <c r="Q257" s="137" t="e">
        <f t="shared" si="95"/>
        <v>#DIV/0!</v>
      </c>
      <c r="R257" s="137" t="e">
        <f t="shared" si="95"/>
        <v>#DIV/0!</v>
      </c>
      <c r="S257" s="137" t="e">
        <f t="shared" si="95"/>
        <v>#DIV/0!</v>
      </c>
      <c r="T257" s="137" t="e">
        <f t="shared" si="95"/>
        <v>#DIV/0!</v>
      </c>
      <c r="U257" s="9" t="e">
        <f t="shared" si="95"/>
        <v>#DIV/0!</v>
      </c>
      <c r="V257" s="137" t="e">
        <f t="shared" si="95"/>
        <v>#DIV/0!</v>
      </c>
      <c r="W257" s="137" t="e">
        <f t="shared" si="95"/>
        <v>#DIV/0!</v>
      </c>
      <c r="X257" s="137" t="e">
        <f t="shared" si="95"/>
        <v>#DIV/0!</v>
      </c>
      <c r="Y257" s="137" t="e">
        <f t="shared" si="95"/>
        <v>#DIV/0!</v>
      </c>
      <c r="Z257" s="9" t="e">
        <f t="shared" si="95"/>
        <v>#DIV/0!</v>
      </c>
      <c r="AA257" s="137" t="e">
        <f t="shared" si="95"/>
        <v>#DIV/0!</v>
      </c>
      <c r="AB257" s="137" t="e">
        <f t="shared" si="95"/>
        <v>#DIV/0!</v>
      </c>
      <c r="AC257" s="137" t="e">
        <f t="shared" si="95"/>
        <v>#DIV/0!</v>
      </c>
      <c r="AD257" s="137" t="e">
        <f t="shared" si="95"/>
        <v>#DIV/0!</v>
      </c>
      <c r="AE257" s="9" t="e">
        <f t="shared" si="95"/>
        <v>#DIV/0!</v>
      </c>
      <c r="AF257" s="137" t="e">
        <f t="shared" si="95"/>
        <v>#DIV/0!</v>
      </c>
      <c r="AG257" s="137" t="e">
        <f t="shared" si="95"/>
        <v>#DIV/0!</v>
      </c>
      <c r="AH257" s="137" t="e">
        <f t="shared" si="95"/>
        <v>#DIV/0!</v>
      </c>
      <c r="AI257" s="137" t="e">
        <f t="shared" si="95"/>
        <v>#DIV/0!</v>
      </c>
      <c r="AJ257" s="9" t="e">
        <f t="shared" si="95"/>
        <v>#DIV/0!</v>
      </c>
      <c r="AK257" s="137" t="e">
        <f t="shared" si="95"/>
        <v>#DIV/0!</v>
      </c>
      <c r="AL257" s="137" t="e">
        <f t="shared" si="95"/>
        <v>#DIV/0!</v>
      </c>
      <c r="AM257" s="137" t="e">
        <f t="shared" si="95"/>
        <v>#DIV/0!</v>
      </c>
      <c r="AN257" s="137" t="e">
        <f t="shared" si="95"/>
        <v>#DIV/0!</v>
      </c>
      <c r="AO257" s="9" t="e">
        <f t="shared" si="95"/>
        <v>#DIV/0!</v>
      </c>
      <c r="AP257" s="137" t="e">
        <f t="shared" si="95"/>
        <v>#DIV/0!</v>
      </c>
      <c r="AQ257" s="137" t="e">
        <f t="shared" si="95"/>
        <v>#DIV/0!</v>
      </c>
      <c r="AR257" s="137" t="e">
        <f t="shared" si="95"/>
        <v>#DIV/0!</v>
      </c>
      <c r="AS257" s="137" t="e">
        <f t="shared" si="95"/>
        <v>#DIV/0!</v>
      </c>
      <c r="AT257" s="9" t="e">
        <f t="shared" si="95"/>
        <v>#DIV/0!</v>
      </c>
      <c r="AU257" s="137" t="e">
        <f t="shared" si="95"/>
        <v>#DIV/0!</v>
      </c>
      <c r="AV257" s="137" t="e">
        <f t="shared" si="95"/>
        <v>#DIV/0!</v>
      </c>
      <c r="AW257" s="137" t="e">
        <f t="shared" si="95"/>
        <v>#DIV/0!</v>
      </c>
      <c r="AX257" s="137" t="e">
        <f t="shared" si="95"/>
        <v>#DIV/0!</v>
      </c>
      <c r="AY257" s="106" t="e">
        <f t="shared" si="95"/>
        <v>#DIV/0!</v>
      </c>
    </row>
    <row r="258" spans="1:51">
      <c r="A258" s="128" t="s">
        <v>265</v>
      </c>
      <c r="B258" s="106" t="e">
        <f t="shared" si="95"/>
        <v>#DIV/0!</v>
      </c>
      <c r="C258" s="106" t="e">
        <f t="shared" si="95"/>
        <v>#DIV/0!</v>
      </c>
      <c r="D258" s="106" t="e">
        <f t="shared" si="95"/>
        <v>#DIV/0!</v>
      </c>
      <c r="E258" s="106" t="e">
        <f t="shared" si="95"/>
        <v>#DIV/0!</v>
      </c>
      <c r="F258" s="9" t="e">
        <f t="shared" si="95"/>
        <v>#DIV/0!</v>
      </c>
      <c r="G258" s="106" t="e">
        <f t="shared" si="95"/>
        <v>#DIV/0!</v>
      </c>
      <c r="H258" s="106" t="e">
        <f t="shared" si="95"/>
        <v>#DIV/0!</v>
      </c>
      <c r="I258" s="106" t="e">
        <f t="shared" si="95"/>
        <v>#DIV/0!</v>
      </c>
      <c r="J258" s="106" t="e">
        <f t="shared" si="95"/>
        <v>#DIV/0!</v>
      </c>
      <c r="K258" s="9" t="e">
        <f t="shared" si="95"/>
        <v>#DIV/0!</v>
      </c>
      <c r="L258" s="106" t="e">
        <f t="shared" si="95"/>
        <v>#DIV/0!</v>
      </c>
      <c r="M258" s="106" t="e">
        <f t="shared" si="95"/>
        <v>#DIV/0!</v>
      </c>
      <c r="N258" s="106" t="e">
        <f t="shared" si="95"/>
        <v>#DIV/0!</v>
      </c>
      <c r="O258" s="106" t="e">
        <f t="shared" si="95"/>
        <v>#DIV/0!</v>
      </c>
      <c r="P258" s="9" t="e">
        <f t="shared" si="95"/>
        <v>#DIV/0!</v>
      </c>
      <c r="Q258" s="137" t="e">
        <f t="shared" si="95"/>
        <v>#DIV/0!</v>
      </c>
      <c r="R258" s="137" t="e">
        <f t="shared" si="95"/>
        <v>#DIV/0!</v>
      </c>
      <c r="S258" s="137" t="e">
        <f t="shared" si="95"/>
        <v>#DIV/0!</v>
      </c>
      <c r="T258" s="137" t="e">
        <f t="shared" si="95"/>
        <v>#DIV/0!</v>
      </c>
      <c r="U258" s="9" t="e">
        <f t="shared" si="95"/>
        <v>#DIV/0!</v>
      </c>
      <c r="V258" s="137" t="e">
        <f t="shared" si="95"/>
        <v>#DIV/0!</v>
      </c>
      <c r="W258" s="137" t="e">
        <f t="shared" si="95"/>
        <v>#DIV/0!</v>
      </c>
      <c r="X258" s="137" t="e">
        <f t="shared" si="95"/>
        <v>#DIV/0!</v>
      </c>
      <c r="Y258" s="137" t="e">
        <f t="shared" si="95"/>
        <v>#DIV/0!</v>
      </c>
      <c r="Z258" s="9" t="e">
        <f t="shared" si="95"/>
        <v>#DIV/0!</v>
      </c>
      <c r="AA258" s="137" t="e">
        <f t="shared" si="95"/>
        <v>#DIV/0!</v>
      </c>
      <c r="AB258" s="137" t="e">
        <f t="shared" si="95"/>
        <v>#DIV/0!</v>
      </c>
      <c r="AC258" s="137" t="e">
        <f t="shared" si="95"/>
        <v>#DIV/0!</v>
      </c>
      <c r="AD258" s="137" t="e">
        <f t="shared" si="95"/>
        <v>#DIV/0!</v>
      </c>
      <c r="AE258" s="9" t="e">
        <f t="shared" si="95"/>
        <v>#DIV/0!</v>
      </c>
      <c r="AF258" s="137" t="e">
        <f t="shared" si="95"/>
        <v>#DIV/0!</v>
      </c>
      <c r="AG258" s="137" t="e">
        <f t="shared" si="95"/>
        <v>#DIV/0!</v>
      </c>
      <c r="AH258" s="137" t="e">
        <f t="shared" si="95"/>
        <v>#DIV/0!</v>
      </c>
      <c r="AI258" s="137" t="e">
        <f t="shared" si="95"/>
        <v>#DIV/0!</v>
      </c>
      <c r="AJ258" s="9" t="e">
        <f t="shared" si="95"/>
        <v>#DIV/0!</v>
      </c>
      <c r="AK258" s="137" t="e">
        <f t="shared" si="95"/>
        <v>#DIV/0!</v>
      </c>
      <c r="AL258" s="137" t="e">
        <f t="shared" si="95"/>
        <v>#DIV/0!</v>
      </c>
      <c r="AM258" s="137" t="e">
        <f t="shared" si="95"/>
        <v>#DIV/0!</v>
      </c>
      <c r="AN258" s="137" t="e">
        <f t="shared" si="95"/>
        <v>#DIV/0!</v>
      </c>
      <c r="AO258" s="9" t="e">
        <f t="shared" si="95"/>
        <v>#DIV/0!</v>
      </c>
      <c r="AP258" s="137" t="e">
        <f t="shared" si="95"/>
        <v>#DIV/0!</v>
      </c>
      <c r="AQ258" s="137" t="e">
        <f t="shared" si="95"/>
        <v>#DIV/0!</v>
      </c>
      <c r="AR258" s="137" t="e">
        <f t="shared" si="95"/>
        <v>#DIV/0!</v>
      </c>
      <c r="AS258" s="137" t="e">
        <f t="shared" si="95"/>
        <v>#DIV/0!</v>
      </c>
      <c r="AT258" s="9" t="e">
        <f t="shared" si="95"/>
        <v>#DIV/0!</v>
      </c>
      <c r="AU258" s="137" t="e">
        <f t="shared" si="95"/>
        <v>#DIV/0!</v>
      </c>
      <c r="AV258" s="137" t="e">
        <f t="shared" si="95"/>
        <v>#DIV/0!</v>
      </c>
      <c r="AW258" s="137" t="e">
        <f t="shared" si="95"/>
        <v>#DIV/0!</v>
      </c>
      <c r="AX258" s="137" t="e">
        <f t="shared" si="95"/>
        <v>#DIV/0!</v>
      </c>
      <c r="AY258" s="106" t="e">
        <f t="shared" si="95"/>
        <v>#DIV/0!</v>
      </c>
    </row>
    <row r="259" spans="1:51">
      <c r="A259" s="128" t="s">
        <v>267</v>
      </c>
      <c r="B259" s="106" t="e">
        <f t="shared" si="95"/>
        <v>#DIV/0!</v>
      </c>
      <c r="C259" s="106" t="e">
        <f t="shared" si="95"/>
        <v>#DIV/0!</v>
      </c>
      <c r="D259" s="106" t="e">
        <f t="shared" si="95"/>
        <v>#DIV/0!</v>
      </c>
      <c r="E259" s="106" t="e">
        <f t="shared" si="95"/>
        <v>#DIV/0!</v>
      </c>
      <c r="F259" s="9" t="e">
        <f t="shared" si="95"/>
        <v>#DIV/0!</v>
      </c>
      <c r="G259" s="106" t="e">
        <f t="shared" si="95"/>
        <v>#DIV/0!</v>
      </c>
      <c r="H259" s="106" t="e">
        <f t="shared" si="95"/>
        <v>#DIV/0!</v>
      </c>
      <c r="I259" s="106" t="e">
        <f t="shared" si="95"/>
        <v>#DIV/0!</v>
      </c>
      <c r="J259" s="106" t="e">
        <f t="shared" si="95"/>
        <v>#DIV/0!</v>
      </c>
      <c r="K259" s="9" t="e">
        <f t="shared" si="95"/>
        <v>#DIV/0!</v>
      </c>
      <c r="L259" s="106" t="e">
        <f t="shared" si="95"/>
        <v>#DIV/0!</v>
      </c>
      <c r="M259" s="106" t="e">
        <f t="shared" si="95"/>
        <v>#DIV/0!</v>
      </c>
      <c r="N259" s="106" t="e">
        <f t="shared" si="95"/>
        <v>#DIV/0!</v>
      </c>
      <c r="O259" s="106" t="e">
        <f t="shared" si="95"/>
        <v>#DIV/0!</v>
      </c>
      <c r="P259" s="9" t="e">
        <f t="shared" si="95"/>
        <v>#DIV/0!</v>
      </c>
      <c r="Q259" s="137" t="e">
        <f t="shared" si="95"/>
        <v>#DIV/0!</v>
      </c>
      <c r="R259" s="137" t="e">
        <f t="shared" si="95"/>
        <v>#DIV/0!</v>
      </c>
      <c r="S259" s="137" t="e">
        <f t="shared" si="95"/>
        <v>#DIV/0!</v>
      </c>
      <c r="T259" s="137" t="e">
        <f t="shared" si="95"/>
        <v>#DIV/0!</v>
      </c>
      <c r="U259" s="9" t="e">
        <f t="shared" si="95"/>
        <v>#DIV/0!</v>
      </c>
      <c r="V259" s="137" t="e">
        <f t="shared" si="95"/>
        <v>#DIV/0!</v>
      </c>
      <c r="W259" s="137" t="e">
        <f t="shared" si="95"/>
        <v>#DIV/0!</v>
      </c>
      <c r="X259" s="137" t="e">
        <f t="shared" si="95"/>
        <v>#DIV/0!</v>
      </c>
      <c r="Y259" s="137" t="e">
        <f t="shared" si="95"/>
        <v>#DIV/0!</v>
      </c>
      <c r="Z259" s="9" t="e">
        <f t="shared" si="95"/>
        <v>#DIV/0!</v>
      </c>
      <c r="AA259" s="137" t="e">
        <f t="shared" si="95"/>
        <v>#DIV/0!</v>
      </c>
      <c r="AB259" s="137" t="e">
        <f t="shared" si="95"/>
        <v>#DIV/0!</v>
      </c>
      <c r="AC259" s="137" t="e">
        <f t="shared" si="95"/>
        <v>#DIV/0!</v>
      </c>
      <c r="AD259" s="137" t="e">
        <f t="shared" si="95"/>
        <v>#DIV/0!</v>
      </c>
      <c r="AE259" s="9" t="e">
        <f t="shared" si="95"/>
        <v>#DIV/0!</v>
      </c>
      <c r="AF259" s="137" t="e">
        <f t="shared" si="95"/>
        <v>#DIV/0!</v>
      </c>
      <c r="AG259" s="137" t="e">
        <f t="shared" si="95"/>
        <v>#DIV/0!</v>
      </c>
      <c r="AH259" s="137" t="e">
        <f t="shared" si="95"/>
        <v>#DIV/0!</v>
      </c>
      <c r="AI259" s="137" t="e">
        <f t="shared" si="95"/>
        <v>#DIV/0!</v>
      </c>
      <c r="AJ259" s="9" t="e">
        <f t="shared" si="95"/>
        <v>#DIV/0!</v>
      </c>
      <c r="AK259" s="137" t="e">
        <f t="shared" si="95"/>
        <v>#DIV/0!</v>
      </c>
      <c r="AL259" s="137" t="e">
        <f t="shared" si="95"/>
        <v>#DIV/0!</v>
      </c>
      <c r="AM259" s="137" t="e">
        <f t="shared" si="95"/>
        <v>#DIV/0!</v>
      </c>
      <c r="AN259" s="137" t="e">
        <f t="shared" si="95"/>
        <v>#DIV/0!</v>
      </c>
      <c r="AO259" s="9" t="e">
        <f t="shared" si="95"/>
        <v>#DIV/0!</v>
      </c>
      <c r="AP259" s="137" t="e">
        <f t="shared" si="95"/>
        <v>#DIV/0!</v>
      </c>
      <c r="AQ259" s="137" t="e">
        <f t="shared" si="95"/>
        <v>#DIV/0!</v>
      </c>
      <c r="AR259" s="137" t="e">
        <f t="shared" si="95"/>
        <v>#DIV/0!</v>
      </c>
      <c r="AS259" s="137" t="e">
        <f t="shared" si="95"/>
        <v>#DIV/0!</v>
      </c>
      <c r="AT259" s="9" t="e">
        <f t="shared" si="95"/>
        <v>#DIV/0!</v>
      </c>
      <c r="AU259" s="137" t="e">
        <f t="shared" si="95"/>
        <v>#DIV/0!</v>
      </c>
      <c r="AV259" s="137" t="e">
        <f t="shared" si="95"/>
        <v>#DIV/0!</v>
      </c>
      <c r="AW259" s="137" t="e">
        <f t="shared" si="95"/>
        <v>#DIV/0!</v>
      </c>
      <c r="AX259" s="137" t="e">
        <f t="shared" si="95"/>
        <v>#DIV/0!</v>
      </c>
      <c r="AY259" s="106" t="e">
        <f t="shared" si="95"/>
        <v>#DIV/0!</v>
      </c>
    </row>
    <row r="260" spans="1:51">
      <c r="A260" s="128" t="s">
        <v>269</v>
      </c>
      <c r="B260" s="106" t="e">
        <f t="shared" si="95"/>
        <v>#DIV/0!</v>
      </c>
      <c r="C260" s="106" t="e">
        <f t="shared" si="95"/>
        <v>#DIV/0!</v>
      </c>
      <c r="D260" s="106" t="e">
        <f t="shared" si="95"/>
        <v>#DIV/0!</v>
      </c>
      <c r="E260" s="106" t="e">
        <f t="shared" si="95"/>
        <v>#DIV/0!</v>
      </c>
      <c r="F260" s="9" t="e">
        <f t="shared" si="95"/>
        <v>#DIV/0!</v>
      </c>
      <c r="G260" s="106" t="e">
        <f t="shared" si="95"/>
        <v>#DIV/0!</v>
      </c>
      <c r="H260" s="106" t="e">
        <f t="shared" si="95"/>
        <v>#DIV/0!</v>
      </c>
      <c r="I260" s="106" t="e">
        <f t="shared" si="95"/>
        <v>#DIV/0!</v>
      </c>
      <c r="J260" s="106" t="e">
        <f t="shared" si="95"/>
        <v>#DIV/0!</v>
      </c>
      <c r="K260" s="9" t="e">
        <f t="shared" si="95"/>
        <v>#DIV/0!</v>
      </c>
      <c r="L260" s="106" t="e">
        <f t="shared" si="95"/>
        <v>#DIV/0!</v>
      </c>
      <c r="M260" s="106" t="e">
        <f t="shared" si="95"/>
        <v>#DIV/0!</v>
      </c>
      <c r="N260" s="106" t="e">
        <f t="shared" si="95"/>
        <v>#DIV/0!</v>
      </c>
      <c r="O260" s="106" t="e">
        <f t="shared" si="95"/>
        <v>#DIV/0!</v>
      </c>
      <c r="P260" s="9" t="e">
        <f t="shared" si="95"/>
        <v>#DIV/0!</v>
      </c>
      <c r="Q260" s="137" t="e">
        <f t="shared" si="95"/>
        <v>#DIV/0!</v>
      </c>
      <c r="R260" s="137" t="e">
        <f t="shared" si="95"/>
        <v>#DIV/0!</v>
      </c>
      <c r="S260" s="137" t="e">
        <f t="shared" si="95"/>
        <v>#DIV/0!</v>
      </c>
      <c r="T260" s="137" t="e">
        <f t="shared" si="95"/>
        <v>#DIV/0!</v>
      </c>
      <c r="U260" s="9" t="e">
        <f t="shared" si="95"/>
        <v>#DIV/0!</v>
      </c>
      <c r="V260" s="137" t="e">
        <f t="shared" si="95"/>
        <v>#DIV/0!</v>
      </c>
      <c r="W260" s="137" t="e">
        <f t="shared" si="95"/>
        <v>#DIV/0!</v>
      </c>
      <c r="X260" s="137" t="e">
        <f t="shared" si="95"/>
        <v>#DIV/0!</v>
      </c>
      <c r="Y260" s="137" t="e">
        <f t="shared" si="95"/>
        <v>#DIV/0!</v>
      </c>
      <c r="Z260" s="9" t="e">
        <f t="shared" si="95"/>
        <v>#DIV/0!</v>
      </c>
      <c r="AA260" s="137" t="e">
        <f t="shared" si="95"/>
        <v>#DIV/0!</v>
      </c>
      <c r="AB260" s="137" t="e">
        <f t="shared" si="95"/>
        <v>#DIV/0!</v>
      </c>
      <c r="AC260" s="137" t="e">
        <f t="shared" si="95"/>
        <v>#DIV/0!</v>
      </c>
      <c r="AD260" s="137" t="e">
        <f t="shared" si="95"/>
        <v>#DIV/0!</v>
      </c>
      <c r="AE260" s="9" t="e">
        <f t="shared" si="95"/>
        <v>#DIV/0!</v>
      </c>
      <c r="AF260" s="137" t="e">
        <f t="shared" si="95"/>
        <v>#DIV/0!</v>
      </c>
      <c r="AG260" s="137" t="e">
        <f t="shared" si="95"/>
        <v>#DIV/0!</v>
      </c>
      <c r="AH260" s="137" t="e">
        <f t="shared" si="95"/>
        <v>#DIV/0!</v>
      </c>
      <c r="AI260" s="137" t="e">
        <f t="shared" si="95"/>
        <v>#DIV/0!</v>
      </c>
      <c r="AJ260" s="9" t="e">
        <f t="shared" si="95"/>
        <v>#DIV/0!</v>
      </c>
      <c r="AK260" s="137" t="e">
        <f t="shared" si="95"/>
        <v>#DIV/0!</v>
      </c>
      <c r="AL260" s="137" t="e">
        <f t="shared" si="95"/>
        <v>#DIV/0!</v>
      </c>
      <c r="AM260" s="137" t="e">
        <f t="shared" si="95"/>
        <v>#DIV/0!</v>
      </c>
      <c r="AN260" s="137" t="e">
        <f t="shared" si="95"/>
        <v>#DIV/0!</v>
      </c>
      <c r="AO260" s="9" t="e">
        <f t="shared" si="95"/>
        <v>#DIV/0!</v>
      </c>
      <c r="AP260" s="137" t="e">
        <f t="shared" si="95"/>
        <v>#DIV/0!</v>
      </c>
      <c r="AQ260" s="137" t="e">
        <f t="shared" si="95"/>
        <v>#DIV/0!</v>
      </c>
      <c r="AR260" s="137" t="e">
        <f t="shared" si="95"/>
        <v>#DIV/0!</v>
      </c>
      <c r="AS260" s="137" t="e">
        <f t="shared" si="95"/>
        <v>#DIV/0!</v>
      </c>
      <c r="AT260" s="9" t="e">
        <f t="shared" si="95"/>
        <v>#DIV/0!</v>
      </c>
      <c r="AU260" s="137" t="e">
        <f t="shared" si="95"/>
        <v>#DIV/0!</v>
      </c>
      <c r="AV260" s="137" t="e">
        <f t="shared" si="95"/>
        <v>#DIV/0!</v>
      </c>
      <c r="AW260" s="137" t="e">
        <f t="shared" si="95"/>
        <v>#DIV/0!</v>
      </c>
      <c r="AX260" s="137" t="e">
        <f t="shared" si="95"/>
        <v>#DIV/0!</v>
      </c>
      <c r="AY260" s="106" t="e">
        <f t="shared" si="95"/>
        <v>#DIV/0!</v>
      </c>
    </row>
    <row r="261" spans="1:51">
      <c r="A261" s="128" t="s">
        <v>271</v>
      </c>
      <c r="B261" s="106" t="e">
        <f t="shared" ref="B261:AY264" si="96">B123/B$137</f>
        <v>#DIV/0!</v>
      </c>
      <c r="C261" s="106" t="e">
        <f t="shared" si="96"/>
        <v>#DIV/0!</v>
      </c>
      <c r="D261" s="106" t="e">
        <f t="shared" si="96"/>
        <v>#DIV/0!</v>
      </c>
      <c r="E261" s="106" t="e">
        <f t="shared" si="96"/>
        <v>#DIV/0!</v>
      </c>
      <c r="F261" s="9" t="e">
        <f t="shared" si="96"/>
        <v>#DIV/0!</v>
      </c>
      <c r="G261" s="106" t="e">
        <f t="shared" si="96"/>
        <v>#DIV/0!</v>
      </c>
      <c r="H261" s="106" t="e">
        <f t="shared" si="96"/>
        <v>#DIV/0!</v>
      </c>
      <c r="I261" s="106" t="e">
        <f t="shared" si="96"/>
        <v>#DIV/0!</v>
      </c>
      <c r="J261" s="106" t="e">
        <f t="shared" si="96"/>
        <v>#DIV/0!</v>
      </c>
      <c r="K261" s="9" t="e">
        <f t="shared" si="96"/>
        <v>#DIV/0!</v>
      </c>
      <c r="L261" s="106" t="e">
        <f t="shared" si="96"/>
        <v>#DIV/0!</v>
      </c>
      <c r="M261" s="106" t="e">
        <f t="shared" si="96"/>
        <v>#DIV/0!</v>
      </c>
      <c r="N261" s="106" t="e">
        <f t="shared" si="96"/>
        <v>#DIV/0!</v>
      </c>
      <c r="O261" s="106" t="e">
        <f t="shared" si="96"/>
        <v>#DIV/0!</v>
      </c>
      <c r="P261" s="9" t="e">
        <f t="shared" si="96"/>
        <v>#DIV/0!</v>
      </c>
      <c r="Q261" s="137" t="e">
        <f t="shared" si="96"/>
        <v>#DIV/0!</v>
      </c>
      <c r="R261" s="137" t="e">
        <f t="shared" si="96"/>
        <v>#DIV/0!</v>
      </c>
      <c r="S261" s="137" t="e">
        <f t="shared" si="96"/>
        <v>#DIV/0!</v>
      </c>
      <c r="T261" s="137" t="e">
        <f t="shared" si="96"/>
        <v>#DIV/0!</v>
      </c>
      <c r="U261" s="9" t="e">
        <f t="shared" si="96"/>
        <v>#DIV/0!</v>
      </c>
      <c r="V261" s="137" t="e">
        <f t="shared" si="96"/>
        <v>#DIV/0!</v>
      </c>
      <c r="W261" s="137" t="e">
        <f t="shared" si="96"/>
        <v>#DIV/0!</v>
      </c>
      <c r="X261" s="137" t="e">
        <f t="shared" si="96"/>
        <v>#DIV/0!</v>
      </c>
      <c r="Y261" s="137" t="e">
        <f t="shared" si="96"/>
        <v>#DIV/0!</v>
      </c>
      <c r="Z261" s="9" t="e">
        <f t="shared" si="96"/>
        <v>#DIV/0!</v>
      </c>
      <c r="AA261" s="137" t="e">
        <f t="shared" si="96"/>
        <v>#DIV/0!</v>
      </c>
      <c r="AB261" s="137" t="e">
        <f t="shared" si="96"/>
        <v>#DIV/0!</v>
      </c>
      <c r="AC261" s="137" t="e">
        <f t="shared" si="96"/>
        <v>#DIV/0!</v>
      </c>
      <c r="AD261" s="137" t="e">
        <f t="shared" si="96"/>
        <v>#DIV/0!</v>
      </c>
      <c r="AE261" s="9" t="e">
        <f t="shared" si="96"/>
        <v>#DIV/0!</v>
      </c>
      <c r="AF261" s="137" t="e">
        <f t="shared" si="96"/>
        <v>#DIV/0!</v>
      </c>
      <c r="AG261" s="137" t="e">
        <f t="shared" si="96"/>
        <v>#DIV/0!</v>
      </c>
      <c r="AH261" s="137" t="e">
        <f t="shared" si="96"/>
        <v>#DIV/0!</v>
      </c>
      <c r="AI261" s="137" t="e">
        <f t="shared" si="96"/>
        <v>#DIV/0!</v>
      </c>
      <c r="AJ261" s="9" t="e">
        <f t="shared" si="96"/>
        <v>#DIV/0!</v>
      </c>
      <c r="AK261" s="137" t="e">
        <f t="shared" si="96"/>
        <v>#DIV/0!</v>
      </c>
      <c r="AL261" s="137" t="e">
        <f t="shared" si="96"/>
        <v>#DIV/0!</v>
      </c>
      <c r="AM261" s="137" t="e">
        <f t="shared" si="96"/>
        <v>#DIV/0!</v>
      </c>
      <c r="AN261" s="137" t="e">
        <f t="shared" si="96"/>
        <v>#DIV/0!</v>
      </c>
      <c r="AO261" s="9" t="e">
        <f t="shared" si="96"/>
        <v>#DIV/0!</v>
      </c>
      <c r="AP261" s="137" t="e">
        <f t="shared" si="96"/>
        <v>#DIV/0!</v>
      </c>
      <c r="AQ261" s="137" t="e">
        <f t="shared" si="96"/>
        <v>#DIV/0!</v>
      </c>
      <c r="AR261" s="137" t="e">
        <f t="shared" si="96"/>
        <v>#DIV/0!</v>
      </c>
      <c r="AS261" s="137" t="e">
        <f t="shared" si="96"/>
        <v>#DIV/0!</v>
      </c>
      <c r="AT261" s="9" t="e">
        <f t="shared" si="96"/>
        <v>#DIV/0!</v>
      </c>
      <c r="AU261" s="137" t="e">
        <f t="shared" si="96"/>
        <v>#DIV/0!</v>
      </c>
      <c r="AV261" s="137" t="e">
        <f t="shared" si="96"/>
        <v>#DIV/0!</v>
      </c>
      <c r="AW261" s="137" t="e">
        <f t="shared" si="96"/>
        <v>#DIV/0!</v>
      </c>
      <c r="AX261" s="137" t="e">
        <f t="shared" si="96"/>
        <v>#DIV/0!</v>
      </c>
      <c r="AY261" s="106" t="e">
        <f t="shared" si="96"/>
        <v>#DIV/0!</v>
      </c>
    </row>
    <row r="262" spans="1:51">
      <c r="A262" s="128" t="s">
        <v>273</v>
      </c>
      <c r="B262" s="106" t="e">
        <f t="shared" si="96"/>
        <v>#DIV/0!</v>
      </c>
      <c r="C262" s="106" t="e">
        <f t="shared" si="96"/>
        <v>#DIV/0!</v>
      </c>
      <c r="D262" s="106" t="e">
        <f t="shared" si="96"/>
        <v>#DIV/0!</v>
      </c>
      <c r="E262" s="106" t="e">
        <f t="shared" si="96"/>
        <v>#DIV/0!</v>
      </c>
      <c r="F262" s="9" t="e">
        <f t="shared" si="96"/>
        <v>#DIV/0!</v>
      </c>
      <c r="G262" s="106" t="e">
        <f t="shared" si="96"/>
        <v>#DIV/0!</v>
      </c>
      <c r="H262" s="106" t="e">
        <f t="shared" si="96"/>
        <v>#DIV/0!</v>
      </c>
      <c r="I262" s="106" t="e">
        <f t="shared" si="96"/>
        <v>#DIV/0!</v>
      </c>
      <c r="J262" s="106" t="e">
        <f t="shared" si="96"/>
        <v>#DIV/0!</v>
      </c>
      <c r="K262" s="9" t="e">
        <f t="shared" si="96"/>
        <v>#DIV/0!</v>
      </c>
      <c r="L262" s="106" t="e">
        <f t="shared" si="96"/>
        <v>#DIV/0!</v>
      </c>
      <c r="M262" s="106" t="e">
        <f t="shared" si="96"/>
        <v>#DIV/0!</v>
      </c>
      <c r="N262" s="106" t="e">
        <f t="shared" si="96"/>
        <v>#DIV/0!</v>
      </c>
      <c r="O262" s="106" t="e">
        <f t="shared" si="96"/>
        <v>#DIV/0!</v>
      </c>
      <c r="P262" s="9" t="e">
        <f t="shared" si="96"/>
        <v>#DIV/0!</v>
      </c>
      <c r="Q262" s="137" t="e">
        <f t="shared" si="96"/>
        <v>#DIV/0!</v>
      </c>
      <c r="R262" s="137" t="e">
        <f t="shared" si="96"/>
        <v>#DIV/0!</v>
      </c>
      <c r="S262" s="137" t="e">
        <f t="shared" si="96"/>
        <v>#DIV/0!</v>
      </c>
      <c r="T262" s="137" t="e">
        <f t="shared" si="96"/>
        <v>#DIV/0!</v>
      </c>
      <c r="U262" s="9" t="e">
        <f t="shared" si="96"/>
        <v>#DIV/0!</v>
      </c>
      <c r="V262" s="137" t="e">
        <f t="shared" si="96"/>
        <v>#DIV/0!</v>
      </c>
      <c r="W262" s="137" t="e">
        <f t="shared" si="96"/>
        <v>#DIV/0!</v>
      </c>
      <c r="X262" s="137" t="e">
        <f t="shared" si="96"/>
        <v>#DIV/0!</v>
      </c>
      <c r="Y262" s="137" t="e">
        <f t="shared" si="96"/>
        <v>#DIV/0!</v>
      </c>
      <c r="Z262" s="9" t="e">
        <f t="shared" si="96"/>
        <v>#DIV/0!</v>
      </c>
      <c r="AA262" s="137" t="e">
        <f t="shared" si="96"/>
        <v>#DIV/0!</v>
      </c>
      <c r="AB262" s="137" t="e">
        <f t="shared" si="96"/>
        <v>#DIV/0!</v>
      </c>
      <c r="AC262" s="137" t="e">
        <f t="shared" si="96"/>
        <v>#DIV/0!</v>
      </c>
      <c r="AD262" s="137" t="e">
        <f t="shared" si="96"/>
        <v>#DIV/0!</v>
      </c>
      <c r="AE262" s="9" t="e">
        <f t="shared" si="96"/>
        <v>#DIV/0!</v>
      </c>
      <c r="AF262" s="137" t="e">
        <f t="shared" si="96"/>
        <v>#DIV/0!</v>
      </c>
      <c r="AG262" s="137" t="e">
        <f t="shared" si="96"/>
        <v>#DIV/0!</v>
      </c>
      <c r="AH262" s="137" t="e">
        <f t="shared" si="96"/>
        <v>#DIV/0!</v>
      </c>
      <c r="AI262" s="137" t="e">
        <f t="shared" si="96"/>
        <v>#DIV/0!</v>
      </c>
      <c r="AJ262" s="9" t="e">
        <f t="shared" si="96"/>
        <v>#DIV/0!</v>
      </c>
      <c r="AK262" s="137" t="e">
        <f t="shared" si="96"/>
        <v>#DIV/0!</v>
      </c>
      <c r="AL262" s="137" t="e">
        <f t="shared" si="96"/>
        <v>#DIV/0!</v>
      </c>
      <c r="AM262" s="137" t="e">
        <f t="shared" si="96"/>
        <v>#DIV/0!</v>
      </c>
      <c r="AN262" s="137" t="e">
        <f t="shared" si="96"/>
        <v>#DIV/0!</v>
      </c>
      <c r="AO262" s="9" t="e">
        <f t="shared" si="96"/>
        <v>#DIV/0!</v>
      </c>
      <c r="AP262" s="137" t="e">
        <f t="shared" si="96"/>
        <v>#DIV/0!</v>
      </c>
      <c r="AQ262" s="137" t="e">
        <f t="shared" si="96"/>
        <v>#DIV/0!</v>
      </c>
      <c r="AR262" s="137" t="e">
        <f t="shared" si="96"/>
        <v>#DIV/0!</v>
      </c>
      <c r="AS262" s="137" t="e">
        <f t="shared" si="96"/>
        <v>#DIV/0!</v>
      </c>
      <c r="AT262" s="9" t="e">
        <f t="shared" si="96"/>
        <v>#DIV/0!</v>
      </c>
      <c r="AU262" s="137" t="e">
        <f t="shared" si="96"/>
        <v>#DIV/0!</v>
      </c>
      <c r="AV262" s="137" t="e">
        <f t="shared" si="96"/>
        <v>#DIV/0!</v>
      </c>
      <c r="AW262" s="137" t="e">
        <f t="shared" si="96"/>
        <v>#DIV/0!</v>
      </c>
      <c r="AX262" s="137" t="e">
        <f t="shared" si="96"/>
        <v>#DIV/0!</v>
      </c>
      <c r="AY262" s="106" t="e">
        <f t="shared" si="96"/>
        <v>#DIV/0!</v>
      </c>
    </row>
    <row r="263" spans="1:51">
      <c r="A263" s="128" t="s">
        <v>275</v>
      </c>
      <c r="B263" s="106" t="e">
        <f t="shared" si="96"/>
        <v>#DIV/0!</v>
      </c>
      <c r="C263" s="106" t="e">
        <f t="shared" si="96"/>
        <v>#DIV/0!</v>
      </c>
      <c r="D263" s="106" t="e">
        <f t="shared" si="96"/>
        <v>#DIV/0!</v>
      </c>
      <c r="E263" s="106" t="e">
        <f t="shared" si="96"/>
        <v>#DIV/0!</v>
      </c>
      <c r="F263" s="9" t="e">
        <f t="shared" si="96"/>
        <v>#DIV/0!</v>
      </c>
      <c r="G263" s="106" t="e">
        <f t="shared" si="96"/>
        <v>#DIV/0!</v>
      </c>
      <c r="H263" s="106" t="e">
        <f t="shared" si="96"/>
        <v>#DIV/0!</v>
      </c>
      <c r="I263" s="106" t="e">
        <f t="shared" si="96"/>
        <v>#DIV/0!</v>
      </c>
      <c r="J263" s="106" t="e">
        <f t="shared" si="96"/>
        <v>#DIV/0!</v>
      </c>
      <c r="K263" s="9" t="e">
        <f t="shared" si="96"/>
        <v>#DIV/0!</v>
      </c>
      <c r="L263" s="106" t="e">
        <f t="shared" si="96"/>
        <v>#DIV/0!</v>
      </c>
      <c r="M263" s="106" t="e">
        <f t="shared" si="96"/>
        <v>#DIV/0!</v>
      </c>
      <c r="N263" s="106" t="e">
        <f t="shared" si="96"/>
        <v>#DIV/0!</v>
      </c>
      <c r="O263" s="106" t="e">
        <f t="shared" si="96"/>
        <v>#DIV/0!</v>
      </c>
      <c r="P263" s="9" t="e">
        <f t="shared" si="96"/>
        <v>#DIV/0!</v>
      </c>
      <c r="Q263" s="137" t="e">
        <f t="shared" si="96"/>
        <v>#DIV/0!</v>
      </c>
      <c r="R263" s="137" t="e">
        <f t="shared" si="96"/>
        <v>#DIV/0!</v>
      </c>
      <c r="S263" s="137" t="e">
        <f t="shared" si="96"/>
        <v>#DIV/0!</v>
      </c>
      <c r="T263" s="137" t="e">
        <f t="shared" si="96"/>
        <v>#DIV/0!</v>
      </c>
      <c r="U263" s="9" t="e">
        <f t="shared" si="96"/>
        <v>#DIV/0!</v>
      </c>
      <c r="V263" s="137" t="e">
        <f t="shared" si="96"/>
        <v>#DIV/0!</v>
      </c>
      <c r="W263" s="137" t="e">
        <f t="shared" si="96"/>
        <v>#DIV/0!</v>
      </c>
      <c r="X263" s="137" t="e">
        <f t="shared" si="96"/>
        <v>#DIV/0!</v>
      </c>
      <c r="Y263" s="137" t="e">
        <f t="shared" si="96"/>
        <v>#DIV/0!</v>
      </c>
      <c r="Z263" s="9" t="e">
        <f t="shared" si="96"/>
        <v>#DIV/0!</v>
      </c>
      <c r="AA263" s="137" t="e">
        <f t="shared" si="96"/>
        <v>#DIV/0!</v>
      </c>
      <c r="AB263" s="137" t="e">
        <f t="shared" si="96"/>
        <v>#DIV/0!</v>
      </c>
      <c r="AC263" s="137" t="e">
        <f t="shared" si="96"/>
        <v>#DIV/0!</v>
      </c>
      <c r="AD263" s="137" t="e">
        <f t="shared" si="96"/>
        <v>#DIV/0!</v>
      </c>
      <c r="AE263" s="9" t="e">
        <f t="shared" si="96"/>
        <v>#DIV/0!</v>
      </c>
      <c r="AF263" s="137" t="e">
        <f t="shared" si="96"/>
        <v>#DIV/0!</v>
      </c>
      <c r="AG263" s="137" t="e">
        <f t="shared" si="96"/>
        <v>#DIV/0!</v>
      </c>
      <c r="AH263" s="137" t="e">
        <f t="shared" si="96"/>
        <v>#DIV/0!</v>
      </c>
      <c r="AI263" s="137" t="e">
        <f t="shared" si="96"/>
        <v>#DIV/0!</v>
      </c>
      <c r="AJ263" s="9" t="e">
        <f t="shared" si="96"/>
        <v>#DIV/0!</v>
      </c>
      <c r="AK263" s="137" t="e">
        <f t="shared" si="96"/>
        <v>#DIV/0!</v>
      </c>
      <c r="AL263" s="137" t="e">
        <f t="shared" si="96"/>
        <v>#DIV/0!</v>
      </c>
      <c r="AM263" s="137" t="e">
        <f t="shared" si="96"/>
        <v>#DIV/0!</v>
      </c>
      <c r="AN263" s="137" t="e">
        <f t="shared" si="96"/>
        <v>#DIV/0!</v>
      </c>
      <c r="AO263" s="9" t="e">
        <f t="shared" si="96"/>
        <v>#DIV/0!</v>
      </c>
      <c r="AP263" s="137" t="e">
        <f t="shared" si="96"/>
        <v>#DIV/0!</v>
      </c>
      <c r="AQ263" s="137" t="e">
        <f t="shared" si="96"/>
        <v>#DIV/0!</v>
      </c>
      <c r="AR263" s="137" t="e">
        <f t="shared" si="96"/>
        <v>#DIV/0!</v>
      </c>
      <c r="AS263" s="137" t="e">
        <f t="shared" si="96"/>
        <v>#DIV/0!</v>
      </c>
      <c r="AT263" s="9" t="e">
        <f t="shared" si="96"/>
        <v>#DIV/0!</v>
      </c>
      <c r="AU263" s="137" t="e">
        <f t="shared" si="96"/>
        <v>#DIV/0!</v>
      </c>
      <c r="AV263" s="137" t="e">
        <f t="shared" si="96"/>
        <v>#DIV/0!</v>
      </c>
      <c r="AW263" s="137" t="e">
        <f t="shared" si="96"/>
        <v>#DIV/0!</v>
      </c>
      <c r="AX263" s="137" t="e">
        <f t="shared" si="96"/>
        <v>#DIV/0!</v>
      </c>
      <c r="AY263" s="106" t="e">
        <f t="shared" si="96"/>
        <v>#DIV/0!</v>
      </c>
    </row>
    <row r="264" spans="1:51">
      <c r="A264" s="128" t="s">
        <v>277</v>
      </c>
      <c r="B264" s="106" t="e">
        <f t="shared" si="96"/>
        <v>#DIV/0!</v>
      </c>
      <c r="C264" s="106" t="e">
        <f t="shared" si="96"/>
        <v>#DIV/0!</v>
      </c>
      <c r="D264" s="106" t="e">
        <f t="shared" si="96"/>
        <v>#DIV/0!</v>
      </c>
      <c r="E264" s="106" t="e">
        <f t="shared" si="96"/>
        <v>#DIV/0!</v>
      </c>
      <c r="F264" s="9" t="e">
        <f t="shared" si="96"/>
        <v>#DIV/0!</v>
      </c>
      <c r="G264" s="106" t="e">
        <f t="shared" si="96"/>
        <v>#DIV/0!</v>
      </c>
      <c r="H264" s="106" t="e">
        <f t="shared" si="96"/>
        <v>#DIV/0!</v>
      </c>
      <c r="I264" s="106" t="e">
        <f t="shared" si="96"/>
        <v>#DIV/0!</v>
      </c>
      <c r="J264" s="106" t="e">
        <f t="shared" si="96"/>
        <v>#DIV/0!</v>
      </c>
      <c r="K264" s="9" t="e">
        <f t="shared" si="96"/>
        <v>#DIV/0!</v>
      </c>
      <c r="L264" s="106" t="e">
        <f t="shared" si="96"/>
        <v>#DIV/0!</v>
      </c>
      <c r="M264" s="106" t="e">
        <f t="shared" si="96"/>
        <v>#DIV/0!</v>
      </c>
      <c r="N264" s="106" t="e">
        <f t="shared" si="96"/>
        <v>#DIV/0!</v>
      </c>
      <c r="O264" s="106" t="e">
        <f t="shared" si="96"/>
        <v>#DIV/0!</v>
      </c>
      <c r="P264" s="9" t="e">
        <f t="shared" si="96"/>
        <v>#DIV/0!</v>
      </c>
      <c r="Q264" s="137" t="e">
        <f t="shared" si="96"/>
        <v>#DIV/0!</v>
      </c>
      <c r="R264" s="137" t="e">
        <f t="shared" si="96"/>
        <v>#DIV/0!</v>
      </c>
      <c r="S264" s="137" t="e">
        <f t="shared" si="96"/>
        <v>#DIV/0!</v>
      </c>
      <c r="T264" s="137" t="e">
        <f t="shared" si="96"/>
        <v>#DIV/0!</v>
      </c>
      <c r="U264" s="9" t="e">
        <f t="shared" si="96"/>
        <v>#DIV/0!</v>
      </c>
      <c r="V264" s="137" t="e">
        <f t="shared" si="96"/>
        <v>#DIV/0!</v>
      </c>
      <c r="W264" s="137" t="e">
        <f t="shared" si="96"/>
        <v>#DIV/0!</v>
      </c>
      <c r="X264" s="137" t="e">
        <f t="shared" si="96"/>
        <v>#DIV/0!</v>
      </c>
      <c r="Y264" s="137" t="e">
        <f t="shared" si="96"/>
        <v>#DIV/0!</v>
      </c>
      <c r="Z264" s="9" t="e">
        <f t="shared" si="96"/>
        <v>#DIV/0!</v>
      </c>
      <c r="AA264" s="137" t="e">
        <f t="shared" si="96"/>
        <v>#DIV/0!</v>
      </c>
      <c r="AB264" s="137" t="e">
        <f t="shared" si="96"/>
        <v>#DIV/0!</v>
      </c>
      <c r="AC264" s="137" t="e">
        <f t="shared" si="96"/>
        <v>#DIV/0!</v>
      </c>
      <c r="AD264" s="137" t="e">
        <f t="shared" si="96"/>
        <v>#DIV/0!</v>
      </c>
      <c r="AE264" s="9" t="e">
        <f t="shared" si="96"/>
        <v>#DIV/0!</v>
      </c>
      <c r="AF264" s="137" t="e">
        <f t="shared" si="96"/>
        <v>#DIV/0!</v>
      </c>
      <c r="AG264" s="137" t="e">
        <f t="shared" si="96"/>
        <v>#DIV/0!</v>
      </c>
      <c r="AH264" s="137" t="e">
        <f t="shared" si="96"/>
        <v>#DIV/0!</v>
      </c>
      <c r="AI264" s="137" t="e">
        <f t="shared" si="96"/>
        <v>#DIV/0!</v>
      </c>
      <c r="AJ264" s="9" t="e">
        <f t="shared" si="96"/>
        <v>#DIV/0!</v>
      </c>
      <c r="AK264" s="137" t="e">
        <f t="shared" si="96"/>
        <v>#DIV/0!</v>
      </c>
      <c r="AL264" s="137" t="e">
        <f t="shared" si="96"/>
        <v>#DIV/0!</v>
      </c>
      <c r="AM264" s="137" t="e">
        <f t="shared" si="96"/>
        <v>#DIV/0!</v>
      </c>
      <c r="AN264" s="137" t="e">
        <f t="shared" si="96"/>
        <v>#DIV/0!</v>
      </c>
      <c r="AO264" s="9" t="e">
        <f t="shared" si="96"/>
        <v>#DIV/0!</v>
      </c>
      <c r="AP264" s="137" t="e">
        <f t="shared" si="96"/>
        <v>#DIV/0!</v>
      </c>
      <c r="AQ264" s="137" t="e">
        <f t="shared" si="96"/>
        <v>#DIV/0!</v>
      </c>
      <c r="AR264" s="137" t="e">
        <f t="shared" si="96"/>
        <v>#DIV/0!</v>
      </c>
      <c r="AS264" s="137" t="e">
        <f t="shared" si="96"/>
        <v>#DIV/0!</v>
      </c>
      <c r="AT264" s="9" t="e">
        <f t="shared" si="96"/>
        <v>#DIV/0!</v>
      </c>
      <c r="AU264" s="137" t="e">
        <f t="shared" si="96"/>
        <v>#DIV/0!</v>
      </c>
      <c r="AV264" s="137" t="e">
        <f t="shared" si="96"/>
        <v>#DIV/0!</v>
      </c>
      <c r="AW264" s="137" t="e">
        <f t="shared" si="96"/>
        <v>#DIV/0!</v>
      </c>
      <c r="AX264" s="137" t="e">
        <f t="shared" si="96"/>
        <v>#DIV/0!</v>
      </c>
      <c r="AY264" s="106" t="e">
        <f t="shared" si="96"/>
        <v>#DIV/0!</v>
      </c>
    </row>
    <row r="265" spans="1:51">
      <c r="A265" s="128" t="s">
        <v>279</v>
      </c>
      <c r="B265" s="106" t="e">
        <f t="shared" ref="B265:AY268" si="97">B127/B$137</f>
        <v>#DIV/0!</v>
      </c>
      <c r="C265" s="106" t="e">
        <f t="shared" si="97"/>
        <v>#DIV/0!</v>
      </c>
      <c r="D265" s="106" t="e">
        <f t="shared" si="97"/>
        <v>#DIV/0!</v>
      </c>
      <c r="E265" s="106" t="e">
        <f t="shared" si="97"/>
        <v>#DIV/0!</v>
      </c>
      <c r="F265" s="9" t="e">
        <f t="shared" si="97"/>
        <v>#DIV/0!</v>
      </c>
      <c r="G265" s="106" t="e">
        <f t="shared" si="97"/>
        <v>#DIV/0!</v>
      </c>
      <c r="H265" s="106" t="e">
        <f t="shared" si="97"/>
        <v>#DIV/0!</v>
      </c>
      <c r="I265" s="106" t="e">
        <f t="shared" si="97"/>
        <v>#DIV/0!</v>
      </c>
      <c r="J265" s="106" t="e">
        <f t="shared" si="97"/>
        <v>#DIV/0!</v>
      </c>
      <c r="K265" s="9" t="e">
        <f t="shared" si="97"/>
        <v>#DIV/0!</v>
      </c>
      <c r="L265" s="106" t="e">
        <f t="shared" si="97"/>
        <v>#DIV/0!</v>
      </c>
      <c r="M265" s="106" t="e">
        <f t="shared" si="97"/>
        <v>#DIV/0!</v>
      </c>
      <c r="N265" s="106" t="e">
        <f t="shared" si="97"/>
        <v>#DIV/0!</v>
      </c>
      <c r="O265" s="106" t="e">
        <f t="shared" si="97"/>
        <v>#DIV/0!</v>
      </c>
      <c r="P265" s="9" t="e">
        <f t="shared" si="97"/>
        <v>#DIV/0!</v>
      </c>
      <c r="Q265" s="137" t="e">
        <f t="shared" si="97"/>
        <v>#DIV/0!</v>
      </c>
      <c r="R265" s="137" t="e">
        <f t="shared" si="97"/>
        <v>#DIV/0!</v>
      </c>
      <c r="S265" s="137" t="e">
        <f t="shared" si="97"/>
        <v>#DIV/0!</v>
      </c>
      <c r="T265" s="137" t="e">
        <f t="shared" si="97"/>
        <v>#DIV/0!</v>
      </c>
      <c r="U265" s="9" t="e">
        <f t="shared" si="97"/>
        <v>#DIV/0!</v>
      </c>
      <c r="V265" s="137" t="e">
        <f t="shared" si="97"/>
        <v>#DIV/0!</v>
      </c>
      <c r="W265" s="137" t="e">
        <f t="shared" si="97"/>
        <v>#DIV/0!</v>
      </c>
      <c r="X265" s="137" t="e">
        <f t="shared" si="97"/>
        <v>#DIV/0!</v>
      </c>
      <c r="Y265" s="137" t="e">
        <f t="shared" si="97"/>
        <v>#DIV/0!</v>
      </c>
      <c r="Z265" s="9" t="e">
        <f t="shared" si="97"/>
        <v>#DIV/0!</v>
      </c>
      <c r="AA265" s="137" t="e">
        <f t="shared" si="97"/>
        <v>#DIV/0!</v>
      </c>
      <c r="AB265" s="137" t="e">
        <f t="shared" si="97"/>
        <v>#DIV/0!</v>
      </c>
      <c r="AC265" s="137" t="e">
        <f t="shared" si="97"/>
        <v>#DIV/0!</v>
      </c>
      <c r="AD265" s="137" t="e">
        <f t="shared" si="97"/>
        <v>#DIV/0!</v>
      </c>
      <c r="AE265" s="9" t="e">
        <f t="shared" si="97"/>
        <v>#DIV/0!</v>
      </c>
      <c r="AF265" s="137" t="e">
        <f t="shared" si="97"/>
        <v>#DIV/0!</v>
      </c>
      <c r="AG265" s="137" t="e">
        <f t="shared" si="97"/>
        <v>#DIV/0!</v>
      </c>
      <c r="AH265" s="137" t="e">
        <f t="shared" si="97"/>
        <v>#DIV/0!</v>
      </c>
      <c r="AI265" s="137" t="e">
        <f t="shared" si="97"/>
        <v>#DIV/0!</v>
      </c>
      <c r="AJ265" s="9" t="e">
        <f t="shared" si="97"/>
        <v>#DIV/0!</v>
      </c>
      <c r="AK265" s="137" t="e">
        <f t="shared" si="97"/>
        <v>#DIV/0!</v>
      </c>
      <c r="AL265" s="137" t="e">
        <f t="shared" si="97"/>
        <v>#DIV/0!</v>
      </c>
      <c r="AM265" s="137" t="e">
        <f t="shared" si="97"/>
        <v>#DIV/0!</v>
      </c>
      <c r="AN265" s="137" t="e">
        <f t="shared" si="97"/>
        <v>#DIV/0!</v>
      </c>
      <c r="AO265" s="9" t="e">
        <f t="shared" si="97"/>
        <v>#DIV/0!</v>
      </c>
      <c r="AP265" s="137" t="e">
        <f t="shared" si="97"/>
        <v>#DIV/0!</v>
      </c>
      <c r="AQ265" s="137" t="e">
        <f t="shared" si="97"/>
        <v>#DIV/0!</v>
      </c>
      <c r="AR265" s="137" t="e">
        <f t="shared" si="97"/>
        <v>#DIV/0!</v>
      </c>
      <c r="AS265" s="137" t="e">
        <f t="shared" si="97"/>
        <v>#DIV/0!</v>
      </c>
      <c r="AT265" s="9" t="e">
        <f t="shared" si="97"/>
        <v>#DIV/0!</v>
      </c>
      <c r="AU265" s="137" t="e">
        <f t="shared" si="97"/>
        <v>#DIV/0!</v>
      </c>
      <c r="AV265" s="137" t="e">
        <f t="shared" si="97"/>
        <v>#DIV/0!</v>
      </c>
      <c r="AW265" s="137" t="e">
        <f t="shared" si="97"/>
        <v>#DIV/0!</v>
      </c>
      <c r="AX265" s="137" t="e">
        <f t="shared" si="97"/>
        <v>#DIV/0!</v>
      </c>
      <c r="AY265" s="106" t="e">
        <f t="shared" si="97"/>
        <v>#DIV/0!</v>
      </c>
    </row>
    <row r="266" spans="1:51">
      <c r="A266" s="128" t="s">
        <v>281</v>
      </c>
      <c r="B266" s="106" t="e">
        <f t="shared" si="97"/>
        <v>#DIV/0!</v>
      </c>
      <c r="C266" s="106" t="e">
        <f t="shared" si="97"/>
        <v>#DIV/0!</v>
      </c>
      <c r="D266" s="106" t="e">
        <f t="shared" si="97"/>
        <v>#DIV/0!</v>
      </c>
      <c r="E266" s="106" t="e">
        <f t="shared" si="97"/>
        <v>#DIV/0!</v>
      </c>
      <c r="F266" s="9" t="e">
        <f t="shared" si="97"/>
        <v>#DIV/0!</v>
      </c>
      <c r="G266" s="106" t="e">
        <f t="shared" si="97"/>
        <v>#DIV/0!</v>
      </c>
      <c r="H266" s="106" t="e">
        <f t="shared" si="97"/>
        <v>#DIV/0!</v>
      </c>
      <c r="I266" s="106" t="e">
        <f t="shared" si="97"/>
        <v>#DIV/0!</v>
      </c>
      <c r="J266" s="106" t="e">
        <f t="shared" si="97"/>
        <v>#DIV/0!</v>
      </c>
      <c r="K266" s="9" t="e">
        <f t="shared" si="97"/>
        <v>#DIV/0!</v>
      </c>
      <c r="L266" s="106" t="e">
        <f t="shared" si="97"/>
        <v>#DIV/0!</v>
      </c>
      <c r="M266" s="106" t="e">
        <f t="shared" si="97"/>
        <v>#DIV/0!</v>
      </c>
      <c r="N266" s="106" t="e">
        <f t="shared" si="97"/>
        <v>#DIV/0!</v>
      </c>
      <c r="O266" s="106" t="e">
        <f t="shared" si="97"/>
        <v>#DIV/0!</v>
      </c>
      <c r="P266" s="9" t="e">
        <f t="shared" si="97"/>
        <v>#DIV/0!</v>
      </c>
      <c r="Q266" s="137" t="e">
        <f t="shared" si="97"/>
        <v>#DIV/0!</v>
      </c>
      <c r="R266" s="137" t="e">
        <f t="shared" si="97"/>
        <v>#DIV/0!</v>
      </c>
      <c r="S266" s="137" t="e">
        <f t="shared" si="97"/>
        <v>#DIV/0!</v>
      </c>
      <c r="T266" s="137" t="e">
        <f t="shared" si="97"/>
        <v>#DIV/0!</v>
      </c>
      <c r="U266" s="9" t="e">
        <f t="shared" si="97"/>
        <v>#DIV/0!</v>
      </c>
      <c r="V266" s="137" t="e">
        <f t="shared" si="97"/>
        <v>#DIV/0!</v>
      </c>
      <c r="W266" s="137" t="e">
        <f t="shared" si="97"/>
        <v>#DIV/0!</v>
      </c>
      <c r="X266" s="137" t="e">
        <f t="shared" si="97"/>
        <v>#DIV/0!</v>
      </c>
      <c r="Y266" s="137" t="e">
        <f t="shared" si="97"/>
        <v>#DIV/0!</v>
      </c>
      <c r="Z266" s="9" t="e">
        <f t="shared" si="97"/>
        <v>#DIV/0!</v>
      </c>
      <c r="AA266" s="137" t="e">
        <f t="shared" si="97"/>
        <v>#DIV/0!</v>
      </c>
      <c r="AB266" s="137" t="e">
        <f t="shared" si="97"/>
        <v>#DIV/0!</v>
      </c>
      <c r="AC266" s="137" t="e">
        <f t="shared" si="97"/>
        <v>#DIV/0!</v>
      </c>
      <c r="AD266" s="137" t="e">
        <f t="shared" si="97"/>
        <v>#DIV/0!</v>
      </c>
      <c r="AE266" s="9" t="e">
        <f t="shared" si="97"/>
        <v>#DIV/0!</v>
      </c>
      <c r="AF266" s="137" t="e">
        <f t="shared" si="97"/>
        <v>#DIV/0!</v>
      </c>
      <c r="AG266" s="137" t="e">
        <f t="shared" si="97"/>
        <v>#DIV/0!</v>
      </c>
      <c r="AH266" s="137" t="e">
        <f t="shared" si="97"/>
        <v>#DIV/0!</v>
      </c>
      <c r="AI266" s="137" t="e">
        <f t="shared" si="97"/>
        <v>#DIV/0!</v>
      </c>
      <c r="AJ266" s="9" t="e">
        <f t="shared" si="97"/>
        <v>#DIV/0!</v>
      </c>
      <c r="AK266" s="137" t="e">
        <f t="shared" si="97"/>
        <v>#DIV/0!</v>
      </c>
      <c r="AL266" s="137" t="e">
        <f t="shared" si="97"/>
        <v>#DIV/0!</v>
      </c>
      <c r="AM266" s="137" t="e">
        <f t="shared" si="97"/>
        <v>#DIV/0!</v>
      </c>
      <c r="AN266" s="137" t="e">
        <f t="shared" si="97"/>
        <v>#DIV/0!</v>
      </c>
      <c r="AO266" s="9" t="e">
        <f t="shared" si="97"/>
        <v>#DIV/0!</v>
      </c>
      <c r="AP266" s="137" t="e">
        <f t="shared" si="97"/>
        <v>#DIV/0!</v>
      </c>
      <c r="AQ266" s="137" t="e">
        <f t="shared" si="97"/>
        <v>#DIV/0!</v>
      </c>
      <c r="AR266" s="137" t="e">
        <f t="shared" si="97"/>
        <v>#DIV/0!</v>
      </c>
      <c r="AS266" s="137" t="e">
        <f t="shared" si="97"/>
        <v>#DIV/0!</v>
      </c>
      <c r="AT266" s="9" t="e">
        <f t="shared" si="97"/>
        <v>#DIV/0!</v>
      </c>
      <c r="AU266" s="137" t="e">
        <f t="shared" si="97"/>
        <v>#DIV/0!</v>
      </c>
      <c r="AV266" s="137" t="e">
        <f t="shared" si="97"/>
        <v>#DIV/0!</v>
      </c>
      <c r="AW266" s="137" t="e">
        <f t="shared" si="97"/>
        <v>#DIV/0!</v>
      </c>
      <c r="AX266" s="137" t="e">
        <f t="shared" si="97"/>
        <v>#DIV/0!</v>
      </c>
      <c r="AY266" s="106" t="e">
        <f t="shared" si="97"/>
        <v>#DIV/0!</v>
      </c>
    </row>
    <row r="267" spans="1:51">
      <c r="A267" s="128" t="s">
        <v>283</v>
      </c>
      <c r="B267" s="106" t="e">
        <f t="shared" si="97"/>
        <v>#DIV/0!</v>
      </c>
      <c r="C267" s="106" t="e">
        <f t="shared" si="97"/>
        <v>#DIV/0!</v>
      </c>
      <c r="D267" s="106" t="e">
        <f t="shared" si="97"/>
        <v>#DIV/0!</v>
      </c>
      <c r="E267" s="106" t="e">
        <f t="shared" si="97"/>
        <v>#DIV/0!</v>
      </c>
      <c r="F267" s="9" t="e">
        <f t="shared" si="97"/>
        <v>#DIV/0!</v>
      </c>
      <c r="G267" s="106" t="e">
        <f t="shared" si="97"/>
        <v>#DIV/0!</v>
      </c>
      <c r="H267" s="106" t="e">
        <f t="shared" si="97"/>
        <v>#DIV/0!</v>
      </c>
      <c r="I267" s="106" t="e">
        <f t="shared" si="97"/>
        <v>#DIV/0!</v>
      </c>
      <c r="J267" s="106" t="e">
        <f t="shared" si="97"/>
        <v>#DIV/0!</v>
      </c>
      <c r="K267" s="9" t="e">
        <f t="shared" si="97"/>
        <v>#DIV/0!</v>
      </c>
      <c r="L267" s="106" t="e">
        <f t="shared" si="97"/>
        <v>#DIV/0!</v>
      </c>
      <c r="M267" s="106" t="e">
        <f t="shared" si="97"/>
        <v>#DIV/0!</v>
      </c>
      <c r="N267" s="106" t="e">
        <f t="shared" si="97"/>
        <v>#DIV/0!</v>
      </c>
      <c r="O267" s="106" t="e">
        <f t="shared" si="97"/>
        <v>#DIV/0!</v>
      </c>
      <c r="P267" s="9" t="e">
        <f t="shared" si="97"/>
        <v>#DIV/0!</v>
      </c>
      <c r="Q267" s="137" t="e">
        <f t="shared" si="97"/>
        <v>#DIV/0!</v>
      </c>
      <c r="R267" s="137" t="e">
        <f t="shared" si="97"/>
        <v>#DIV/0!</v>
      </c>
      <c r="S267" s="137" t="e">
        <f t="shared" si="97"/>
        <v>#DIV/0!</v>
      </c>
      <c r="T267" s="137" t="e">
        <f t="shared" si="97"/>
        <v>#DIV/0!</v>
      </c>
      <c r="U267" s="9" t="e">
        <f t="shared" si="97"/>
        <v>#DIV/0!</v>
      </c>
      <c r="V267" s="137" t="e">
        <f t="shared" si="97"/>
        <v>#DIV/0!</v>
      </c>
      <c r="W267" s="137" t="e">
        <f t="shared" si="97"/>
        <v>#DIV/0!</v>
      </c>
      <c r="X267" s="137" t="e">
        <f t="shared" si="97"/>
        <v>#DIV/0!</v>
      </c>
      <c r="Y267" s="137" t="e">
        <f t="shared" si="97"/>
        <v>#DIV/0!</v>
      </c>
      <c r="Z267" s="9" t="e">
        <f t="shared" si="97"/>
        <v>#DIV/0!</v>
      </c>
      <c r="AA267" s="137" t="e">
        <f t="shared" si="97"/>
        <v>#DIV/0!</v>
      </c>
      <c r="AB267" s="137" t="e">
        <f t="shared" si="97"/>
        <v>#DIV/0!</v>
      </c>
      <c r="AC267" s="137" t="e">
        <f t="shared" si="97"/>
        <v>#DIV/0!</v>
      </c>
      <c r="AD267" s="137" t="e">
        <f t="shared" si="97"/>
        <v>#DIV/0!</v>
      </c>
      <c r="AE267" s="9" t="e">
        <f t="shared" si="97"/>
        <v>#DIV/0!</v>
      </c>
      <c r="AF267" s="137" t="e">
        <f t="shared" si="97"/>
        <v>#DIV/0!</v>
      </c>
      <c r="AG267" s="137" t="e">
        <f t="shared" si="97"/>
        <v>#DIV/0!</v>
      </c>
      <c r="AH267" s="137" t="e">
        <f t="shared" si="97"/>
        <v>#DIV/0!</v>
      </c>
      <c r="AI267" s="137" t="e">
        <f t="shared" si="97"/>
        <v>#DIV/0!</v>
      </c>
      <c r="AJ267" s="9" t="e">
        <f t="shared" si="97"/>
        <v>#DIV/0!</v>
      </c>
      <c r="AK267" s="137" t="e">
        <f t="shared" si="97"/>
        <v>#DIV/0!</v>
      </c>
      <c r="AL267" s="137" t="e">
        <f t="shared" si="97"/>
        <v>#DIV/0!</v>
      </c>
      <c r="AM267" s="137" t="e">
        <f t="shared" si="97"/>
        <v>#DIV/0!</v>
      </c>
      <c r="AN267" s="137" t="e">
        <f t="shared" si="97"/>
        <v>#DIV/0!</v>
      </c>
      <c r="AO267" s="9" t="e">
        <f t="shared" si="97"/>
        <v>#DIV/0!</v>
      </c>
      <c r="AP267" s="137" t="e">
        <f t="shared" si="97"/>
        <v>#DIV/0!</v>
      </c>
      <c r="AQ267" s="137" t="e">
        <f t="shared" si="97"/>
        <v>#DIV/0!</v>
      </c>
      <c r="AR267" s="137" t="e">
        <f t="shared" si="97"/>
        <v>#DIV/0!</v>
      </c>
      <c r="AS267" s="137" t="e">
        <f t="shared" si="97"/>
        <v>#DIV/0!</v>
      </c>
      <c r="AT267" s="9" t="e">
        <f t="shared" si="97"/>
        <v>#DIV/0!</v>
      </c>
      <c r="AU267" s="137" t="e">
        <f t="shared" si="97"/>
        <v>#DIV/0!</v>
      </c>
      <c r="AV267" s="137" t="e">
        <f t="shared" si="97"/>
        <v>#DIV/0!</v>
      </c>
      <c r="AW267" s="137" t="e">
        <f t="shared" si="97"/>
        <v>#DIV/0!</v>
      </c>
      <c r="AX267" s="137" t="e">
        <f t="shared" si="97"/>
        <v>#DIV/0!</v>
      </c>
      <c r="AY267" s="106" t="e">
        <f t="shared" si="97"/>
        <v>#DIV/0!</v>
      </c>
    </row>
    <row r="268" spans="1:51">
      <c r="A268" s="128" t="s">
        <v>287</v>
      </c>
      <c r="B268" s="106" t="e">
        <f t="shared" si="97"/>
        <v>#DIV/0!</v>
      </c>
      <c r="C268" s="106" t="e">
        <f t="shared" si="97"/>
        <v>#DIV/0!</v>
      </c>
      <c r="D268" s="106" t="e">
        <f t="shared" si="97"/>
        <v>#DIV/0!</v>
      </c>
      <c r="E268" s="106" t="e">
        <f t="shared" si="97"/>
        <v>#DIV/0!</v>
      </c>
      <c r="F268" s="9" t="e">
        <f t="shared" si="97"/>
        <v>#DIV/0!</v>
      </c>
      <c r="G268" s="106" t="e">
        <f t="shared" si="97"/>
        <v>#DIV/0!</v>
      </c>
      <c r="H268" s="106" t="e">
        <f t="shared" si="97"/>
        <v>#DIV/0!</v>
      </c>
      <c r="I268" s="106" t="e">
        <f t="shared" si="97"/>
        <v>#DIV/0!</v>
      </c>
      <c r="J268" s="106" t="e">
        <f t="shared" si="97"/>
        <v>#DIV/0!</v>
      </c>
      <c r="K268" s="9" t="e">
        <f t="shared" si="97"/>
        <v>#DIV/0!</v>
      </c>
      <c r="L268" s="106" t="e">
        <f t="shared" si="97"/>
        <v>#DIV/0!</v>
      </c>
      <c r="M268" s="106" t="e">
        <f t="shared" si="97"/>
        <v>#DIV/0!</v>
      </c>
      <c r="N268" s="106" t="e">
        <f t="shared" si="97"/>
        <v>#DIV/0!</v>
      </c>
      <c r="O268" s="106" t="e">
        <f t="shared" si="97"/>
        <v>#DIV/0!</v>
      </c>
      <c r="P268" s="9" t="e">
        <f t="shared" si="97"/>
        <v>#DIV/0!</v>
      </c>
      <c r="Q268" s="137" t="e">
        <f t="shared" si="97"/>
        <v>#DIV/0!</v>
      </c>
      <c r="R268" s="137" t="e">
        <f t="shared" si="97"/>
        <v>#DIV/0!</v>
      </c>
      <c r="S268" s="137" t="e">
        <f t="shared" si="97"/>
        <v>#DIV/0!</v>
      </c>
      <c r="T268" s="137" t="e">
        <f t="shared" si="97"/>
        <v>#DIV/0!</v>
      </c>
      <c r="U268" s="9" t="e">
        <f t="shared" si="97"/>
        <v>#DIV/0!</v>
      </c>
      <c r="V268" s="137" t="e">
        <f t="shared" si="97"/>
        <v>#DIV/0!</v>
      </c>
      <c r="W268" s="137" t="e">
        <f t="shared" si="97"/>
        <v>#DIV/0!</v>
      </c>
      <c r="X268" s="137" t="e">
        <f t="shared" si="97"/>
        <v>#DIV/0!</v>
      </c>
      <c r="Y268" s="137" t="e">
        <f t="shared" si="97"/>
        <v>#DIV/0!</v>
      </c>
      <c r="Z268" s="9" t="e">
        <f t="shared" si="97"/>
        <v>#DIV/0!</v>
      </c>
      <c r="AA268" s="137" t="e">
        <f t="shared" si="97"/>
        <v>#DIV/0!</v>
      </c>
      <c r="AB268" s="137" t="e">
        <f t="shared" si="97"/>
        <v>#DIV/0!</v>
      </c>
      <c r="AC268" s="137" t="e">
        <f t="shared" si="97"/>
        <v>#DIV/0!</v>
      </c>
      <c r="AD268" s="137" t="e">
        <f t="shared" si="97"/>
        <v>#DIV/0!</v>
      </c>
      <c r="AE268" s="9" t="e">
        <f t="shared" si="97"/>
        <v>#DIV/0!</v>
      </c>
      <c r="AF268" s="137" t="e">
        <f t="shared" si="97"/>
        <v>#DIV/0!</v>
      </c>
      <c r="AG268" s="137" t="e">
        <f t="shared" si="97"/>
        <v>#DIV/0!</v>
      </c>
      <c r="AH268" s="137" t="e">
        <f t="shared" si="97"/>
        <v>#DIV/0!</v>
      </c>
      <c r="AI268" s="137" t="e">
        <f t="shared" si="97"/>
        <v>#DIV/0!</v>
      </c>
      <c r="AJ268" s="9" t="e">
        <f t="shared" si="97"/>
        <v>#DIV/0!</v>
      </c>
      <c r="AK268" s="137" t="e">
        <f t="shared" si="97"/>
        <v>#DIV/0!</v>
      </c>
      <c r="AL268" s="137" t="e">
        <f t="shared" si="97"/>
        <v>#DIV/0!</v>
      </c>
      <c r="AM268" s="137" t="e">
        <f t="shared" si="97"/>
        <v>#DIV/0!</v>
      </c>
      <c r="AN268" s="137" t="e">
        <f t="shared" si="97"/>
        <v>#DIV/0!</v>
      </c>
      <c r="AO268" s="9" t="e">
        <f t="shared" si="97"/>
        <v>#DIV/0!</v>
      </c>
      <c r="AP268" s="137" t="e">
        <f t="shared" si="97"/>
        <v>#DIV/0!</v>
      </c>
      <c r="AQ268" s="137" t="e">
        <f t="shared" si="97"/>
        <v>#DIV/0!</v>
      </c>
      <c r="AR268" s="137" t="e">
        <f t="shared" si="97"/>
        <v>#DIV/0!</v>
      </c>
      <c r="AS268" s="137" t="e">
        <f t="shared" si="97"/>
        <v>#DIV/0!</v>
      </c>
      <c r="AT268" s="9" t="e">
        <f t="shared" si="97"/>
        <v>#DIV/0!</v>
      </c>
      <c r="AU268" s="137" t="e">
        <f t="shared" si="97"/>
        <v>#DIV/0!</v>
      </c>
      <c r="AV268" s="137" t="e">
        <f t="shared" si="97"/>
        <v>#DIV/0!</v>
      </c>
      <c r="AW268" s="137" t="e">
        <f t="shared" si="97"/>
        <v>#DIV/0!</v>
      </c>
      <c r="AX268" s="137" t="e">
        <f t="shared" si="97"/>
        <v>#DIV/0!</v>
      </c>
      <c r="AY268" s="106" t="e">
        <f t="shared" si="97"/>
        <v>#DIV/0!</v>
      </c>
    </row>
    <row r="269" spans="1:51">
      <c r="A269" s="128" t="s">
        <v>285</v>
      </c>
      <c r="B269" s="106" t="e">
        <f t="shared" ref="B269:AY272" si="98">B131/B$137</f>
        <v>#DIV/0!</v>
      </c>
      <c r="C269" s="106" t="e">
        <f t="shared" si="98"/>
        <v>#DIV/0!</v>
      </c>
      <c r="D269" s="106" t="e">
        <f t="shared" si="98"/>
        <v>#DIV/0!</v>
      </c>
      <c r="E269" s="106" t="e">
        <f t="shared" si="98"/>
        <v>#DIV/0!</v>
      </c>
      <c r="F269" s="9" t="e">
        <f t="shared" si="98"/>
        <v>#DIV/0!</v>
      </c>
      <c r="G269" s="106" t="e">
        <f t="shared" si="98"/>
        <v>#DIV/0!</v>
      </c>
      <c r="H269" s="106" t="e">
        <f t="shared" si="98"/>
        <v>#DIV/0!</v>
      </c>
      <c r="I269" s="106" t="e">
        <f t="shared" si="98"/>
        <v>#DIV/0!</v>
      </c>
      <c r="J269" s="106" t="e">
        <f t="shared" si="98"/>
        <v>#DIV/0!</v>
      </c>
      <c r="K269" s="9" t="e">
        <f t="shared" si="98"/>
        <v>#DIV/0!</v>
      </c>
      <c r="L269" s="106" t="e">
        <f t="shared" si="98"/>
        <v>#DIV/0!</v>
      </c>
      <c r="M269" s="106" t="e">
        <f t="shared" si="98"/>
        <v>#DIV/0!</v>
      </c>
      <c r="N269" s="106" t="e">
        <f t="shared" si="98"/>
        <v>#DIV/0!</v>
      </c>
      <c r="O269" s="106" t="e">
        <f t="shared" si="98"/>
        <v>#DIV/0!</v>
      </c>
      <c r="P269" s="9" t="e">
        <f t="shared" si="98"/>
        <v>#DIV/0!</v>
      </c>
      <c r="Q269" s="137" t="e">
        <f t="shared" si="98"/>
        <v>#DIV/0!</v>
      </c>
      <c r="R269" s="137" t="e">
        <f t="shared" si="98"/>
        <v>#DIV/0!</v>
      </c>
      <c r="S269" s="137" t="e">
        <f t="shared" si="98"/>
        <v>#DIV/0!</v>
      </c>
      <c r="T269" s="137" t="e">
        <f t="shared" si="98"/>
        <v>#DIV/0!</v>
      </c>
      <c r="U269" s="9" t="e">
        <f t="shared" si="98"/>
        <v>#DIV/0!</v>
      </c>
      <c r="V269" s="137" t="e">
        <f t="shared" si="98"/>
        <v>#DIV/0!</v>
      </c>
      <c r="W269" s="137" t="e">
        <f t="shared" si="98"/>
        <v>#DIV/0!</v>
      </c>
      <c r="X269" s="137" t="e">
        <f t="shared" si="98"/>
        <v>#DIV/0!</v>
      </c>
      <c r="Y269" s="137" t="e">
        <f t="shared" si="98"/>
        <v>#DIV/0!</v>
      </c>
      <c r="Z269" s="9" t="e">
        <f t="shared" si="98"/>
        <v>#DIV/0!</v>
      </c>
      <c r="AA269" s="137" t="e">
        <f t="shared" si="98"/>
        <v>#DIV/0!</v>
      </c>
      <c r="AB269" s="137" t="e">
        <f t="shared" si="98"/>
        <v>#DIV/0!</v>
      </c>
      <c r="AC269" s="137" t="e">
        <f t="shared" si="98"/>
        <v>#DIV/0!</v>
      </c>
      <c r="AD269" s="137" t="e">
        <f t="shared" si="98"/>
        <v>#DIV/0!</v>
      </c>
      <c r="AE269" s="9" t="e">
        <f t="shared" si="98"/>
        <v>#DIV/0!</v>
      </c>
      <c r="AF269" s="137" t="e">
        <f t="shared" si="98"/>
        <v>#DIV/0!</v>
      </c>
      <c r="AG269" s="137" t="e">
        <f t="shared" si="98"/>
        <v>#DIV/0!</v>
      </c>
      <c r="AH269" s="137" t="e">
        <f t="shared" si="98"/>
        <v>#DIV/0!</v>
      </c>
      <c r="AI269" s="137" t="e">
        <f t="shared" si="98"/>
        <v>#DIV/0!</v>
      </c>
      <c r="AJ269" s="9" t="e">
        <f t="shared" si="98"/>
        <v>#DIV/0!</v>
      </c>
      <c r="AK269" s="137" t="e">
        <f t="shared" si="98"/>
        <v>#DIV/0!</v>
      </c>
      <c r="AL269" s="137" t="e">
        <f t="shared" si="98"/>
        <v>#DIV/0!</v>
      </c>
      <c r="AM269" s="137" t="e">
        <f t="shared" si="98"/>
        <v>#DIV/0!</v>
      </c>
      <c r="AN269" s="137" t="e">
        <f t="shared" si="98"/>
        <v>#DIV/0!</v>
      </c>
      <c r="AO269" s="9" t="e">
        <f t="shared" si="98"/>
        <v>#DIV/0!</v>
      </c>
      <c r="AP269" s="137" t="e">
        <f t="shared" si="98"/>
        <v>#DIV/0!</v>
      </c>
      <c r="AQ269" s="137" t="e">
        <f t="shared" si="98"/>
        <v>#DIV/0!</v>
      </c>
      <c r="AR269" s="137" t="e">
        <f t="shared" si="98"/>
        <v>#DIV/0!</v>
      </c>
      <c r="AS269" s="137" t="e">
        <f t="shared" si="98"/>
        <v>#DIV/0!</v>
      </c>
      <c r="AT269" s="9" t="e">
        <f t="shared" si="98"/>
        <v>#DIV/0!</v>
      </c>
      <c r="AU269" s="137" t="e">
        <f t="shared" si="98"/>
        <v>#DIV/0!</v>
      </c>
      <c r="AV269" s="137" t="e">
        <f t="shared" si="98"/>
        <v>#DIV/0!</v>
      </c>
      <c r="AW269" s="137" t="e">
        <f t="shared" si="98"/>
        <v>#DIV/0!</v>
      </c>
      <c r="AX269" s="137" t="e">
        <f t="shared" si="98"/>
        <v>#DIV/0!</v>
      </c>
      <c r="AY269" s="106" t="e">
        <f t="shared" si="98"/>
        <v>#DIV/0!</v>
      </c>
    </row>
    <row r="270" spans="1:51">
      <c r="A270" s="128" t="s">
        <v>289</v>
      </c>
      <c r="B270" s="106" t="e">
        <f t="shared" si="98"/>
        <v>#DIV/0!</v>
      </c>
      <c r="C270" s="106" t="e">
        <f t="shared" si="98"/>
        <v>#DIV/0!</v>
      </c>
      <c r="D270" s="106" t="e">
        <f t="shared" si="98"/>
        <v>#DIV/0!</v>
      </c>
      <c r="E270" s="106" t="e">
        <f t="shared" si="98"/>
        <v>#DIV/0!</v>
      </c>
      <c r="F270" s="9" t="e">
        <f t="shared" si="98"/>
        <v>#DIV/0!</v>
      </c>
      <c r="G270" s="106" t="e">
        <f t="shared" si="98"/>
        <v>#DIV/0!</v>
      </c>
      <c r="H270" s="106" t="e">
        <f t="shared" si="98"/>
        <v>#DIV/0!</v>
      </c>
      <c r="I270" s="106" t="e">
        <f t="shared" si="98"/>
        <v>#DIV/0!</v>
      </c>
      <c r="J270" s="106" t="e">
        <f t="shared" si="98"/>
        <v>#DIV/0!</v>
      </c>
      <c r="K270" s="9" t="e">
        <f t="shared" si="98"/>
        <v>#DIV/0!</v>
      </c>
      <c r="L270" s="106" t="e">
        <f t="shared" si="98"/>
        <v>#DIV/0!</v>
      </c>
      <c r="M270" s="106" t="e">
        <f t="shared" si="98"/>
        <v>#DIV/0!</v>
      </c>
      <c r="N270" s="106" t="e">
        <f t="shared" si="98"/>
        <v>#DIV/0!</v>
      </c>
      <c r="O270" s="106" t="e">
        <f t="shared" si="98"/>
        <v>#DIV/0!</v>
      </c>
      <c r="P270" s="9" t="e">
        <f t="shared" si="98"/>
        <v>#DIV/0!</v>
      </c>
      <c r="Q270" s="137" t="e">
        <f t="shared" si="98"/>
        <v>#DIV/0!</v>
      </c>
      <c r="R270" s="137" t="e">
        <f t="shared" si="98"/>
        <v>#DIV/0!</v>
      </c>
      <c r="S270" s="137" t="e">
        <f t="shared" si="98"/>
        <v>#DIV/0!</v>
      </c>
      <c r="T270" s="137" t="e">
        <f t="shared" si="98"/>
        <v>#DIV/0!</v>
      </c>
      <c r="U270" s="9" t="e">
        <f t="shared" si="98"/>
        <v>#DIV/0!</v>
      </c>
      <c r="V270" s="137" t="e">
        <f t="shared" si="98"/>
        <v>#DIV/0!</v>
      </c>
      <c r="W270" s="137" t="e">
        <f t="shared" si="98"/>
        <v>#DIV/0!</v>
      </c>
      <c r="X270" s="137" t="e">
        <f t="shared" si="98"/>
        <v>#DIV/0!</v>
      </c>
      <c r="Y270" s="137" t="e">
        <f t="shared" si="98"/>
        <v>#DIV/0!</v>
      </c>
      <c r="Z270" s="9" t="e">
        <f t="shared" si="98"/>
        <v>#DIV/0!</v>
      </c>
      <c r="AA270" s="137" t="e">
        <f t="shared" si="98"/>
        <v>#DIV/0!</v>
      </c>
      <c r="AB270" s="137" t="e">
        <f t="shared" si="98"/>
        <v>#DIV/0!</v>
      </c>
      <c r="AC270" s="137" t="e">
        <f t="shared" si="98"/>
        <v>#DIV/0!</v>
      </c>
      <c r="AD270" s="137" t="e">
        <f t="shared" si="98"/>
        <v>#DIV/0!</v>
      </c>
      <c r="AE270" s="9" t="e">
        <f t="shared" si="98"/>
        <v>#DIV/0!</v>
      </c>
      <c r="AF270" s="137" t="e">
        <f t="shared" si="98"/>
        <v>#DIV/0!</v>
      </c>
      <c r="AG270" s="137" t="e">
        <f t="shared" si="98"/>
        <v>#DIV/0!</v>
      </c>
      <c r="AH270" s="137" t="e">
        <f t="shared" si="98"/>
        <v>#DIV/0!</v>
      </c>
      <c r="AI270" s="137" t="e">
        <f t="shared" si="98"/>
        <v>#DIV/0!</v>
      </c>
      <c r="AJ270" s="9" t="e">
        <f t="shared" si="98"/>
        <v>#DIV/0!</v>
      </c>
      <c r="AK270" s="137" t="e">
        <f t="shared" si="98"/>
        <v>#DIV/0!</v>
      </c>
      <c r="AL270" s="137" t="e">
        <f t="shared" si="98"/>
        <v>#DIV/0!</v>
      </c>
      <c r="AM270" s="137" t="e">
        <f t="shared" si="98"/>
        <v>#DIV/0!</v>
      </c>
      <c r="AN270" s="137" t="e">
        <f t="shared" si="98"/>
        <v>#DIV/0!</v>
      </c>
      <c r="AO270" s="9" t="e">
        <f t="shared" si="98"/>
        <v>#DIV/0!</v>
      </c>
      <c r="AP270" s="137" t="e">
        <f t="shared" si="98"/>
        <v>#DIV/0!</v>
      </c>
      <c r="AQ270" s="137" t="e">
        <f t="shared" si="98"/>
        <v>#DIV/0!</v>
      </c>
      <c r="AR270" s="137" t="e">
        <f t="shared" si="98"/>
        <v>#DIV/0!</v>
      </c>
      <c r="AS270" s="137" t="e">
        <f t="shared" si="98"/>
        <v>#DIV/0!</v>
      </c>
      <c r="AT270" s="9" t="e">
        <f t="shared" si="98"/>
        <v>#DIV/0!</v>
      </c>
      <c r="AU270" s="137" t="e">
        <f t="shared" si="98"/>
        <v>#DIV/0!</v>
      </c>
      <c r="AV270" s="137" t="e">
        <f t="shared" si="98"/>
        <v>#DIV/0!</v>
      </c>
      <c r="AW270" s="137" t="e">
        <f t="shared" si="98"/>
        <v>#DIV/0!</v>
      </c>
      <c r="AX270" s="137" t="e">
        <f t="shared" si="98"/>
        <v>#DIV/0!</v>
      </c>
      <c r="AY270" s="106" t="e">
        <f t="shared" si="98"/>
        <v>#DIV/0!</v>
      </c>
    </row>
    <row r="271" spans="1:51">
      <c r="A271" s="128" t="s">
        <v>291</v>
      </c>
      <c r="B271" s="106" t="e">
        <f t="shared" si="98"/>
        <v>#DIV/0!</v>
      </c>
      <c r="C271" s="106" t="e">
        <f t="shared" si="98"/>
        <v>#DIV/0!</v>
      </c>
      <c r="D271" s="106" t="e">
        <f t="shared" si="98"/>
        <v>#DIV/0!</v>
      </c>
      <c r="E271" s="106" t="e">
        <f t="shared" si="98"/>
        <v>#DIV/0!</v>
      </c>
      <c r="F271" s="9" t="e">
        <f t="shared" si="98"/>
        <v>#DIV/0!</v>
      </c>
      <c r="G271" s="106" t="e">
        <f t="shared" si="98"/>
        <v>#DIV/0!</v>
      </c>
      <c r="H271" s="106" t="e">
        <f t="shared" si="98"/>
        <v>#DIV/0!</v>
      </c>
      <c r="I271" s="106" t="e">
        <f t="shared" si="98"/>
        <v>#DIV/0!</v>
      </c>
      <c r="J271" s="106" t="e">
        <f t="shared" si="98"/>
        <v>#DIV/0!</v>
      </c>
      <c r="K271" s="9" t="e">
        <f t="shared" si="98"/>
        <v>#DIV/0!</v>
      </c>
      <c r="L271" s="106" t="e">
        <f t="shared" si="98"/>
        <v>#DIV/0!</v>
      </c>
      <c r="M271" s="106" t="e">
        <f t="shared" si="98"/>
        <v>#DIV/0!</v>
      </c>
      <c r="N271" s="106" t="e">
        <f t="shared" si="98"/>
        <v>#DIV/0!</v>
      </c>
      <c r="O271" s="106" t="e">
        <f t="shared" si="98"/>
        <v>#DIV/0!</v>
      </c>
      <c r="P271" s="9" t="e">
        <f t="shared" si="98"/>
        <v>#DIV/0!</v>
      </c>
      <c r="Q271" s="137" t="e">
        <f t="shared" si="98"/>
        <v>#DIV/0!</v>
      </c>
      <c r="R271" s="137" t="e">
        <f t="shared" si="98"/>
        <v>#DIV/0!</v>
      </c>
      <c r="S271" s="137" t="e">
        <f t="shared" si="98"/>
        <v>#DIV/0!</v>
      </c>
      <c r="T271" s="137" t="e">
        <f t="shared" si="98"/>
        <v>#DIV/0!</v>
      </c>
      <c r="U271" s="9" t="e">
        <f t="shared" si="98"/>
        <v>#DIV/0!</v>
      </c>
      <c r="V271" s="137" t="e">
        <f t="shared" si="98"/>
        <v>#DIV/0!</v>
      </c>
      <c r="W271" s="137" t="e">
        <f t="shared" si="98"/>
        <v>#DIV/0!</v>
      </c>
      <c r="X271" s="137" t="e">
        <f t="shared" si="98"/>
        <v>#DIV/0!</v>
      </c>
      <c r="Y271" s="137" t="e">
        <f t="shared" si="98"/>
        <v>#DIV/0!</v>
      </c>
      <c r="Z271" s="9" t="e">
        <f t="shared" si="98"/>
        <v>#DIV/0!</v>
      </c>
      <c r="AA271" s="137" t="e">
        <f t="shared" si="98"/>
        <v>#DIV/0!</v>
      </c>
      <c r="AB271" s="137" t="e">
        <f t="shared" si="98"/>
        <v>#DIV/0!</v>
      </c>
      <c r="AC271" s="137" t="e">
        <f t="shared" si="98"/>
        <v>#DIV/0!</v>
      </c>
      <c r="AD271" s="137" t="e">
        <f t="shared" si="98"/>
        <v>#DIV/0!</v>
      </c>
      <c r="AE271" s="9" t="e">
        <f t="shared" si="98"/>
        <v>#DIV/0!</v>
      </c>
      <c r="AF271" s="137" t="e">
        <f t="shared" si="98"/>
        <v>#DIV/0!</v>
      </c>
      <c r="AG271" s="137" t="e">
        <f t="shared" si="98"/>
        <v>#DIV/0!</v>
      </c>
      <c r="AH271" s="137" t="e">
        <f t="shared" si="98"/>
        <v>#DIV/0!</v>
      </c>
      <c r="AI271" s="137" t="e">
        <f t="shared" si="98"/>
        <v>#DIV/0!</v>
      </c>
      <c r="AJ271" s="9" t="e">
        <f t="shared" si="98"/>
        <v>#DIV/0!</v>
      </c>
      <c r="AK271" s="137" t="e">
        <f t="shared" si="98"/>
        <v>#DIV/0!</v>
      </c>
      <c r="AL271" s="137" t="e">
        <f t="shared" si="98"/>
        <v>#DIV/0!</v>
      </c>
      <c r="AM271" s="137" t="e">
        <f t="shared" si="98"/>
        <v>#DIV/0!</v>
      </c>
      <c r="AN271" s="137" t="e">
        <f t="shared" si="98"/>
        <v>#DIV/0!</v>
      </c>
      <c r="AO271" s="9" t="e">
        <f t="shared" si="98"/>
        <v>#DIV/0!</v>
      </c>
      <c r="AP271" s="137" t="e">
        <f t="shared" si="98"/>
        <v>#DIV/0!</v>
      </c>
      <c r="AQ271" s="137" t="e">
        <f t="shared" si="98"/>
        <v>#DIV/0!</v>
      </c>
      <c r="AR271" s="137" t="e">
        <f t="shared" si="98"/>
        <v>#DIV/0!</v>
      </c>
      <c r="AS271" s="137" t="e">
        <f t="shared" si="98"/>
        <v>#DIV/0!</v>
      </c>
      <c r="AT271" s="9" t="e">
        <f t="shared" si="98"/>
        <v>#DIV/0!</v>
      </c>
      <c r="AU271" s="137" t="e">
        <f t="shared" si="98"/>
        <v>#DIV/0!</v>
      </c>
      <c r="AV271" s="137" t="e">
        <f t="shared" si="98"/>
        <v>#DIV/0!</v>
      </c>
      <c r="AW271" s="137" t="e">
        <f t="shared" si="98"/>
        <v>#DIV/0!</v>
      </c>
      <c r="AX271" s="137" t="e">
        <f t="shared" si="98"/>
        <v>#DIV/0!</v>
      </c>
      <c r="AY271" s="106" t="e">
        <f t="shared" si="98"/>
        <v>#DIV/0!</v>
      </c>
    </row>
    <row r="272" spans="1:51">
      <c r="A272" s="128" t="s">
        <v>293</v>
      </c>
      <c r="B272" s="106" t="e">
        <f t="shared" si="98"/>
        <v>#DIV/0!</v>
      </c>
      <c r="C272" s="106" t="e">
        <f t="shared" si="98"/>
        <v>#DIV/0!</v>
      </c>
      <c r="D272" s="106" t="e">
        <f t="shared" si="98"/>
        <v>#DIV/0!</v>
      </c>
      <c r="E272" s="106" t="e">
        <f t="shared" si="98"/>
        <v>#DIV/0!</v>
      </c>
      <c r="F272" s="9" t="e">
        <f t="shared" si="98"/>
        <v>#DIV/0!</v>
      </c>
      <c r="G272" s="106" t="e">
        <f t="shared" si="98"/>
        <v>#DIV/0!</v>
      </c>
      <c r="H272" s="106" t="e">
        <f t="shared" si="98"/>
        <v>#DIV/0!</v>
      </c>
      <c r="I272" s="106" t="e">
        <f t="shared" si="98"/>
        <v>#DIV/0!</v>
      </c>
      <c r="J272" s="106" t="e">
        <f t="shared" si="98"/>
        <v>#DIV/0!</v>
      </c>
      <c r="K272" s="9" t="e">
        <f t="shared" si="98"/>
        <v>#DIV/0!</v>
      </c>
      <c r="L272" s="106" t="e">
        <f t="shared" si="98"/>
        <v>#DIV/0!</v>
      </c>
      <c r="M272" s="106" t="e">
        <f t="shared" si="98"/>
        <v>#DIV/0!</v>
      </c>
      <c r="N272" s="106" t="e">
        <f t="shared" si="98"/>
        <v>#DIV/0!</v>
      </c>
      <c r="O272" s="106" t="e">
        <f t="shared" si="98"/>
        <v>#DIV/0!</v>
      </c>
      <c r="P272" s="9" t="e">
        <f t="shared" si="98"/>
        <v>#DIV/0!</v>
      </c>
      <c r="Q272" s="137" t="e">
        <f t="shared" si="98"/>
        <v>#DIV/0!</v>
      </c>
      <c r="R272" s="137" t="e">
        <f t="shared" si="98"/>
        <v>#DIV/0!</v>
      </c>
      <c r="S272" s="137" t="e">
        <f t="shared" si="98"/>
        <v>#DIV/0!</v>
      </c>
      <c r="T272" s="137" t="e">
        <f t="shared" si="98"/>
        <v>#DIV/0!</v>
      </c>
      <c r="U272" s="9" t="e">
        <f t="shared" si="98"/>
        <v>#DIV/0!</v>
      </c>
      <c r="V272" s="137" t="e">
        <f t="shared" si="98"/>
        <v>#DIV/0!</v>
      </c>
      <c r="W272" s="137" t="e">
        <f t="shared" si="98"/>
        <v>#DIV/0!</v>
      </c>
      <c r="X272" s="137" t="e">
        <f t="shared" si="98"/>
        <v>#DIV/0!</v>
      </c>
      <c r="Y272" s="137" t="e">
        <f t="shared" si="98"/>
        <v>#DIV/0!</v>
      </c>
      <c r="Z272" s="9" t="e">
        <f t="shared" si="98"/>
        <v>#DIV/0!</v>
      </c>
      <c r="AA272" s="137" t="e">
        <f t="shared" si="98"/>
        <v>#DIV/0!</v>
      </c>
      <c r="AB272" s="137" t="e">
        <f t="shared" si="98"/>
        <v>#DIV/0!</v>
      </c>
      <c r="AC272" s="137" t="e">
        <f t="shared" si="98"/>
        <v>#DIV/0!</v>
      </c>
      <c r="AD272" s="137" t="e">
        <f t="shared" si="98"/>
        <v>#DIV/0!</v>
      </c>
      <c r="AE272" s="9" t="e">
        <f t="shared" si="98"/>
        <v>#DIV/0!</v>
      </c>
      <c r="AF272" s="137" t="e">
        <f t="shared" si="98"/>
        <v>#DIV/0!</v>
      </c>
      <c r="AG272" s="137" t="e">
        <f t="shared" si="98"/>
        <v>#DIV/0!</v>
      </c>
      <c r="AH272" s="137" t="e">
        <f t="shared" si="98"/>
        <v>#DIV/0!</v>
      </c>
      <c r="AI272" s="137" t="e">
        <f t="shared" si="98"/>
        <v>#DIV/0!</v>
      </c>
      <c r="AJ272" s="9" t="e">
        <f t="shared" si="98"/>
        <v>#DIV/0!</v>
      </c>
      <c r="AK272" s="137" t="e">
        <f t="shared" si="98"/>
        <v>#DIV/0!</v>
      </c>
      <c r="AL272" s="137" t="e">
        <f t="shared" si="98"/>
        <v>#DIV/0!</v>
      </c>
      <c r="AM272" s="137" t="e">
        <f t="shared" si="98"/>
        <v>#DIV/0!</v>
      </c>
      <c r="AN272" s="137" t="e">
        <f t="shared" si="98"/>
        <v>#DIV/0!</v>
      </c>
      <c r="AO272" s="9" t="e">
        <f t="shared" si="98"/>
        <v>#DIV/0!</v>
      </c>
      <c r="AP272" s="137" t="e">
        <f t="shared" si="98"/>
        <v>#DIV/0!</v>
      </c>
      <c r="AQ272" s="137" t="e">
        <f t="shared" si="98"/>
        <v>#DIV/0!</v>
      </c>
      <c r="AR272" s="137" t="e">
        <f t="shared" si="98"/>
        <v>#DIV/0!</v>
      </c>
      <c r="AS272" s="137" t="e">
        <f t="shared" si="98"/>
        <v>#DIV/0!</v>
      </c>
      <c r="AT272" s="9" t="e">
        <f t="shared" si="98"/>
        <v>#DIV/0!</v>
      </c>
      <c r="AU272" s="137" t="e">
        <f t="shared" si="98"/>
        <v>#DIV/0!</v>
      </c>
      <c r="AV272" s="137" t="e">
        <f t="shared" si="98"/>
        <v>#DIV/0!</v>
      </c>
      <c r="AW272" s="137" t="e">
        <f t="shared" si="98"/>
        <v>#DIV/0!</v>
      </c>
      <c r="AX272" s="137" t="e">
        <f t="shared" si="98"/>
        <v>#DIV/0!</v>
      </c>
      <c r="AY272" s="106" t="e">
        <f t="shared" si="98"/>
        <v>#DIV/0!</v>
      </c>
    </row>
    <row r="273" spans="1:51">
      <c r="A273" s="128" t="s">
        <v>295</v>
      </c>
      <c r="B273" s="106" t="e">
        <f t="shared" ref="B273:AY275" si="99">B135/B$137</f>
        <v>#DIV/0!</v>
      </c>
      <c r="C273" s="106" t="e">
        <f t="shared" si="99"/>
        <v>#DIV/0!</v>
      </c>
      <c r="D273" s="106" t="e">
        <f t="shared" si="99"/>
        <v>#DIV/0!</v>
      </c>
      <c r="E273" s="106" t="e">
        <f t="shared" si="99"/>
        <v>#DIV/0!</v>
      </c>
      <c r="F273" s="9" t="e">
        <f t="shared" si="99"/>
        <v>#DIV/0!</v>
      </c>
      <c r="G273" s="106" t="e">
        <f t="shared" si="99"/>
        <v>#DIV/0!</v>
      </c>
      <c r="H273" s="106" t="e">
        <f t="shared" si="99"/>
        <v>#DIV/0!</v>
      </c>
      <c r="I273" s="106" t="e">
        <f t="shared" si="99"/>
        <v>#DIV/0!</v>
      </c>
      <c r="J273" s="106" t="e">
        <f t="shared" si="99"/>
        <v>#DIV/0!</v>
      </c>
      <c r="K273" s="9" t="e">
        <f t="shared" si="99"/>
        <v>#DIV/0!</v>
      </c>
      <c r="L273" s="106" t="e">
        <f t="shared" si="99"/>
        <v>#DIV/0!</v>
      </c>
      <c r="M273" s="106" t="e">
        <f t="shared" si="99"/>
        <v>#DIV/0!</v>
      </c>
      <c r="N273" s="106" t="e">
        <f t="shared" si="99"/>
        <v>#DIV/0!</v>
      </c>
      <c r="O273" s="106" t="e">
        <f t="shared" si="99"/>
        <v>#DIV/0!</v>
      </c>
      <c r="P273" s="9" t="e">
        <f t="shared" si="99"/>
        <v>#DIV/0!</v>
      </c>
      <c r="Q273" s="137" t="e">
        <f t="shared" si="99"/>
        <v>#DIV/0!</v>
      </c>
      <c r="R273" s="137" t="e">
        <f t="shared" si="99"/>
        <v>#DIV/0!</v>
      </c>
      <c r="S273" s="137" t="e">
        <f t="shared" si="99"/>
        <v>#DIV/0!</v>
      </c>
      <c r="T273" s="137" t="e">
        <f t="shared" si="99"/>
        <v>#DIV/0!</v>
      </c>
      <c r="U273" s="9" t="e">
        <f t="shared" si="99"/>
        <v>#DIV/0!</v>
      </c>
      <c r="V273" s="137" t="e">
        <f t="shared" si="99"/>
        <v>#DIV/0!</v>
      </c>
      <c r="W273" s="137" t="e">
        <f t="shared" si="99"/>
        <v>#DIV/0!</v>
      </c>
      <c r="X273" s="137" t="e">
        <f t="shared" si="99"/>
        <v>#DIV/0!</v>
      </c>
      <c r="Y273" s="137" t="e">
        <f t="shared" si="99"/>
        <v>#DIV/0!</v>
      </c>
      <c r="Z273" s="9" t="e">
        <f t="shared" si="99"/>
        <v>#DIV/0!</v>
      </c>
      <c r="AA273" s="137" t="e">
        <f t="shared" si="99"/>
        <v>#DIV/0!</v>
      </c>
      <c r="AB273" s="137" t="e">
        <f t="shared" si="99"/>
        <v>#DIV/0!</v>
      </c>
      <c r="AC273" s="137" t="e">
        <f t="shared" si="99"/>
        <v>#DIV/0!</v>
      </c>
      <c r="AD273" s="137" t="e">
        <f t="shared" si="99"/>
        <v>#DIV/0!</v>
      </c>
      <c r="AE273" s="9" t="e">
        <f t="shared" si="99"/>
        <v>#DIV/0!</v>
      </c>
      <c r="AF273" s="137" t="e">
        <f t="shared" si="99"/>
        <v>#DIV/0!</v>
      </c>
      <c r="AG273" s="137" t="e">
        <f t="shared" si="99"/>
        <v>#DIV/0!</v>
      </c>
      <c r="AH273" s="137" t="e">
        <f t="shared" si="99"/>
        <v>#DIV/0!</v>
      </c>
      <c r="AI273" s="137" t="e">
        <f t="shared" si="99"/>
        <v>#DIV/0!</v>
      </c>
      <c r="AJ273" s="9" t="e">
        <f t="shared" si="99"/>
        <v>#DIV/0!</v>
      </c>
      <c r="AK273" s="137" t="e">
        <f t="shared" si="99"/>
        <v>#DIV/0!</v>
      </c>
      <c r="AL273" s="137" t="e">
        <f t="shared" si="99"/>
        <v>#DIV/0!</v>
      </c>
      <c r="AM273" s="137" t="e">
        <f t="shared" si="99"/>
        <v>#DIV/0!</v>
      </c>
      <c r="AN273" s="137" t="e">
        <f t="shared" si="99"/>
        <v>#DIV/0!</v>
      </c>
      <c r="AO273" s="9" t="e">
        <f t="shared" si="99"/>
        <v>#DIV/0!</v>
      </c>
      <c r="AP273" s="137" t="e">
        <f t="shared" si="99"/>
        <v>#DIV/0!</v>
      </c>
      <c r="AQ273" s="137" t="e">
        <f t="shared" si="99"/>
        <v>#DIV/0!</v>
      </c>
      <c r="AR273" s="137" t="e">
        <f t="shared" si="99"/>
        <v>#DIV/0!</v>
      </c>
      <c r="AS273" s="137" t="e">
        <f t="shared" si="99"/>
        <v>#DIV/0!</v>
      </c>
      <c r="AT273" s="9" t="e">
        <f t="shared" si="99"/>
        <v>#DIV/0!</v>
      </c>
      <c r="AU273" s="137" t="e">
        <f t="shared" si="99"/>
        <v>#DIV/0!</v>
      </c>
      <c r="AV273" s="137" t="e">
        <f t="shared" si="99"/>
        <v>#DIV/0!</v>
      </c>
      <c r="AW273" s="137" t="e">
        <f t="shared" si="99"/>
        <v>#DIV/0!</v>
      </c>
      <c r="AX273" s="137" t="e">
        <f t="shared" si="99"/>
        <v>#DIV/0!</v>
      </c>
      <c r="AY273" s="106" t="e">
        <f t="shared" si="99"/>
        <v>#DIV/0!</v>
      </c>
    </row>
    <row r="274" spans="1:51">
      <c r="A274" s="128" t="s">
        <v>297</v>
      </c>
      <c r="B274" s="106" t="e">
        <f t="shared" si="99"/>
        <v>#DIV/0!</v>
      </c>
      <c r="C274" s="106" t="e">
        <f t="shared" si="99"/>
        <v>#DIV/0!</v>
      </c>
      <c r="D274" s="106" t="e">
        <f t="shared" si="99"/>
        <v>#DIV/0!</v>
      </c>
      <c r="E274" s="106" t="e">
        <f t="shared" si="99"/>
        <v>#DIV/0!</v>
      </c>
      <c r="F274" s="9" t="e">
        <f t="shared" si="99"/>
        <v>#DIV/0!</v>
      </c>
      <c r="G274" s="106" t="e">
        <f t="shared" si="99"/>
        <v>#DIV/0!</v>
      </c>
      <c r="H274" s="106" t="e">
        <f t="shared" si="99"/>
        <v>#DIV/0!</v>
      </c>
      <c r="I274" s="106" t="e">
        <f t="shared" si="99"/>
        <v>#DIV/0!</v>
      </c>
      <c r="J274" s="106" t="e">
        <f t="shared" si="99"/>
        <v>#DIV/0!</v>
      </c>
      <c r="K274" s="9" t="e">
        <f t="shared" si="99"/>
        <v>#DIV/0!</v>
      </c>
      <c r="L274" s="106" t="e">
        <f t="shared" si="99"/>
        <v>#DIV/0!</v>
      </c>
      <c r="M274" s="106" t="e">
        <f t="shared" si="99"/>
        <v>#DIV/0!</v>
      </c>
      <c r="N274" s="106" t="e">
        <f t="shared" si="99"/>
        <v>#DIV/0!</v>
      </c>
      <c r="O274" s="106" t="e">
        <f t="shared" si="99"/>
        <v>#DIV/0!</v>
      </c>
      <c r="P274" s="9" t="e">
        <f t="shared" si="99"/>
        <v>#DIV/0!</v>
      </c>
      <c r="Q274" s="137" t="e">
        <f t="shared" si="99"/>
        <v>#DIV/0!</v>
      </c>
      <c r="R274" s="137" t="e">
        <f t="shared" si="99"/>
        <v>#DIV/0!</v>
      </c>
      <c r="S274" s="137" t="e">
        <f t="shared" si="99"/>
        <v>#DIV/0!</v>
      </c>
      <c r="T274" s="137" t="e">
        <f t="shared" si="99"/>
        <v>#DIV/0!</v>
      </c>
      <c r="U274" s="9" t="e">
        <f t="shared" si="99"/>
        <v>#DIV/0!</v>
      </c>
      <c r="V274" s="137" t="e">
        <f t="shared" si="99"/>
        <v>#DIV/0!</v>
      </c>
      <c r="W274" s="137" t="e">
        <f t="shared" si="99"/>
        <v>#DIV/0!</v>
      </c>
      <c r="X274" s="137" t="e">
        <f t="shared" si="99"/>
        <v>#DIV/0!</v>
      </c>
      <c r="Y274" s="137" t="e">
        <f t="shared" si="99"/>
        <v>#DIV/0!</v>
      </c>
      <c r="Z274" s="9" t="e">
        <f t="shared" si="99"/>
        <v>#DIV/0!</v>
      </c>
      <c r="AA274" s="137" t="e">
        <f t="shared" si="99"/>
        <v>#DIV/0!</v>
      </c>
      <c r="AB274" s="137" t="e">
        <f t="shared" si="99"/>
        <v>#DIV/0!</v>
      </c>
      <c r="AC274" s="137" t="e">
        <f t="shared" si="99"/>
        <v>#DIV/0!</v>
      </c>
      <c r="AD274" s="137" t="e">
        <f t="shared" si="99"/>
        <v>#DIV/0!</v>
      </c>
      <c r="AE274" s="9" t="e">
        <f t="shared" si="99"/>
        <v>#DIV/0!</v>
      </c>
      <c r="AF274" s="137" t="e">
        <f t="shared" si="99"/>
        <v>#DIV/0!</v>
      </c>
      <c r="AG274" s="137" t="e">
        <f t="shared" si="99"/>
        <v>#DIV/0!</v>
      </c>
      <c r="AH274" s="137" t="e">
        <f t="shared" si="99"/>
        <v>#DIV/0!</v>
      </c>
      <c r="AI274" s="137" t="e">
        <f t="shared" si="99"/>
        <v>#DIV/0!</v>
      </c>
      <c r="AJ274" s="9" t="e">
        <f t="shared" si="99"/>
        <v>#DIV/0!</v>
      </c>
      <c r="AK274" s="137" t="e">
        <f t="shared" si="99"/>
        <v>#DIV/0!</v>
      </c>
      <c r="AL274" s="137" t="e">
        <f t="shared" si="99"/>
        <v>#DIV/0!</v>
      </c>
      <c r="AM274" s="137" t="e">
        <f t="shared" si="99"/>
        <v>#DIV/0!</v>
      </c>
      <c r="AN274" s="137" t="e">
        <f t="shared" si="99"/>
        <v>#DIV/0!</v>
      </c>
      <c r="AO274" s="9" t="e">
        <f t="shared" si="99"/>
        <v>#DIV/0!</v>
      </c>
      <c r="AP274" s="137" t="e">
        <f t="shared" si="99"/>
        <v>#DIV/0!</v>
      </c>
      <c r="AQ274" s="137" t="e">
        <f t="shared" si="99"/>
        <v>#DIV/0!</v>
      </c>
      <c r="AR274" s="137" t="e">
        <f t="shared" si="99"/>
        <v>#DIV/0!</v>
      </c>
      <c r="AS274" s="137" t="e">
        <f t="shared" si="99"/>
        <v>#DIV/0!</v>
      </c>
      <c r="AT274" s="9" t="e">
        <f t="shared" si="99"/>
        <v>#DIV/0!</v>
      </c>
      <c r="AU274" s="137" t="e">
        <f t="shared" si="99"/>
        <v>#DIV/0!</v>
      </c>
      <c r="AV274" s="137" t="e">
        <f t="shared" si="99"/>
        <v>#DIV/0!</v>
      </c>
      <c r="AW274" s="137" t="e">
        <f t="shared" si="99"/>
        <v>#DIV/0!</v>
      </c>
      <c r="AX274" s="137" t="e">
        <f t="shared" si="99"/>
        <v>#DIV/0!</v>
      </c>
      <c r="AY274" s="106" t="e">
        <f t="shared" si="99"/>
        <v>#DIV/0!</v>
      </c>
    </row>
    <row r="275" ht="16.5" spans="1:51">
      <c r="A275" s="131"/>
      <c r="B275" s="114" t="e">
        <f t="shared" si="99"/>
        <v>#DIV/0!</v>
      </c>
      <c r="C275" s="114" t="e">
        <f t="shared" si="99"/>
        <v>#DIV/0!</v>
      </c>
      <c r="D275" s="114" t="e">
        <f t="shared" si="99"/>
        <v>#DIV/0!</v>
      </c>
      <c r="E275" s="114" t="e">
        <f t="shared" si="99"/>
        <v>#DIV/0!</v>
      </c>
      <c r="F275" s="33" t="e">
        <f t="shared" si="99"/>
        <v>#DIV/0!</v>
      </c>
      <c r="G275" s="114" t="e">
        <f t="shared" si="99"/>
        <v>#DIV/0!</v>
      </c>
      <c r="H275" s="114" t="e">
        <f t="shared" si="99"/>
        <v>#DIV/0!</v>
      </c>
      <c r="I275" s="114" t="e">
        <f t="shared" si="99"/>
        <v>#DIV/0!</v>
      </c>
      <c r="J275" s="114" t="e">
        <f t="shared" si="99"/>
        <v>#DIV/0!</v>
      </c>
      <c r="K275" s="33" t="e">
        <f t="shared" si="99"/>
        <v>#DIV/0!</v>
      </c>
      <c r="L275" s="114" t="e">
        <f t="shared" si="99"/>
        <v>#DIV/0!</v>
      </c>
      <c r="M275" s="114" t="e">
        <f t="shared" si="99"/>
        <v>#DIV/0!</v>
      </c>
      <c r="N275" s="114" t="e">
        <f t="shared" si="99"/>
        <v>#DIV/0!</v>
      </c>
      <c r="O275" s="114" t="e">
        <f t="shared" si="99"/>
        <v>#DIV/0!</v>
      </c>
      <c r="P275" s="33" t="e">
        <f t="shared" si="99"/>
        <v>#DIV/0!</v>
      </c>
      <c r="Q275" s="114" t="e">
        <f t="shared" si="99"/>
        <v>#DIV/0!</v>
      </c>
      <c r="R275" s="114" t="e">
        <f t="shared" si="99"/>
        <v>#DIV/0!</v>
      </c>
      <c r="S275" s="114" t="e">
        <f t="shared" si="99"/>
        <v>#DIV/0!</v>
      </c>
      <c r="T275" s="114" t="e">
        <f t="shared" si="99"/>
        <v>#DIV/0!</v>
      </c>
      <c r="U275" s="33" t="e">
        <f t="shared" si="99"/>
        <v>#DIV/0!</v>
      </c>
      <c r="V275" s="114" t="e">
        <f t="shared" si="99"/>
        <v>#DIV/0!</v>
      </c>
      <c r="W275" s="114" t="e">
        <f t="shared" si="99"/>
        <v>#DIV/0!</v>
      </c>
      <c r="X275" s="114" t="e">
        <f t="shared" si="99"/>
        <v>#DIV/0!</v>
      </c>
      <c r="Y275" s="114" t="e">
        <f t="shared" si="99"/>
        <v>#DIV/0!</v>
      </c>
      <c r="Z275" s="33" t="e">
        <f t="shared" si="99"/>
        <v>#DIV/0!</v>
      </c>
      <c r="AA275" s="114" t="e">
        <f t="shared" si="99"/>
        <v>#DIV/0!</v>
      </c>
      <c r="AB275" s="114" t="e">
        <f t="shared" si="99"/>
        <v>#DIV/0!</v>
      </c>
      <c r="AC275" s="114" t="e">
        <f t="shared" si="99"/>
        <v>#DIV/0!</v>
      </c>
      <c r="AD275" s="114" t="e">
        <f t="shared" si="99"/>
        <v>#DIV/0!</v>
      </c>
      <c r="AE275" s="33" t="e">
        <f t="shared" si="99"/>
        <v>#DIV/0!</v>
      </c>
      <c r="AF275" s="114" t="e">
        <f t="shared" si="99"/>
        <v>#DIV/0!</v>
      </c>
      <c r="AG275" s="114" t="e">
        <f t="shared" si="99"/>
        <v>#DIV/0!</v>
      </c>
      <c r="AH275" s="114" t="e">
        <f t="shared" si="99"/>
        <v>#DIV/0!</v>
      </c>
      <c r="AI275" s="114" t="e">
        <f t="shared" si="99"/>
        <v>#DIV/0!</v>
      </c>
      <c r="AJ275" s="33" t="e">
        <f t="shared" si="99"/>
        <v>#DIV/0!</v>
      </c>
      <c r="AK275" s="114" t="e">
        <f t="shared" si="99"/>
        <v>#DIV/0!</v>
      </c>
      <c r="AL275" s="114" t="e">
        <f t="shared" si="99"/>
        <v>#DIV/0!</v>
      </c>
      <c r="AM275" s="114" t="e">
        <f t="shared" si="99"/>
        <v>#DIV/0!</v>
      </c>
      <c r="AN275" s="114" t="e">
        <f t="shared" si="99"/>
        <v>#DIV/0!</v>
      </c>
      <c r="AO275" s="33" t="e">
        <f t="shared" si="99"/>
        <v>#DIV/0!</v>
      </c>
      <c r="AP275" s="114" t="e">
        <f t="shared" si="99"/>
        <v>#DIV/0!</v>
      </c>
      <c r="AQ275" s="114" t="e">
        <f t="shared" si="99"/>
        <v>#DIV/0!</v>
      </c>
      <c r="AR275" s="114" t="e">
        <f t="shared" si="99"/>
        <v>#DIV/0!</v>
      </c>
      <c r="AS275" s="114" t="e">
        <f t="shared" si="99"/>
        <v>#DIV/0!</v>
      </c>
      <c r="AT275" s="33" t="e">
        <f t="shared" si="99"/>
        <v>#DIV/0!</v>
      </c>
      <c r="AU275" s="114" t="e">
        <f t="shared" si="99"/>
        <v>#DIV/0!</v>
      </c>
      <c r="AV275" s="114" t="e">
        <f t="shared" si="99"/>
        <v>#DIV/0!</v>
      </c>
      <c r="AW275" s="114" t="e">
        <f t="shared" si="99"/>
        <v>#DIV/0!</v>
      </c>
      <c r="AX275" s="114" t="e">
        <f t="shared" si="99"/>
        <v>#DIV/0!</v>
      </c>
      <c r="AY275" s="114" t="e">
        <f t="shared" si="99"/>
        <v>#DIV/0!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17"/>
  <sheetViews>
    <sheetView zoomScale="85" zoomScaleNormal="85" workbookViewId="0">
      <pane xSplit="1" ySplit="2" topLeftCell="B3" activePane="bottomRight" state="frozen"/>
      <selection/>
      <selection pane="topRight"/>
      <selection pane="bottomLeft"/>
      <selection pane="bottomRight" activeCell="I128" sqref="I128"/>
    </sheetView>
  </sheetViews>
  <sheetFormatPr defaultColWidth="9" defaultRowHeight="15.75"/>
  <cols>
    <col min="1" max="1" width="17.2035398230088" style="56" customWidth="1"/>
    <col min="2" max="5" width="14.1327433628319" style="1" customWidth="1" outlineLevel="1"/>
    <col min="6" max="6" width="16.2654867256637" style="1" customWidth="1"/>
    <col min="7" max="10" width="15.2035398230088" style="1" customWidth="1" outlineLevel="3"/>
    <col min="11" max="11" width="15.2654867256637" style="1" customWidth="1" outlineLevel="2"/>
    <col min="12" max="15" width="15.2035398230088" style="1" customWidth="1" outlineLevel="3"/>
    <col min="16" max="16" width="15.2654867256637" style="1" customWidth="1" outlineLevel="2"/>
    <col min="17" max="20" width="15.2035398230088" style="1" customWidth="1" outlineLevel="2"/>
    <col min="21" max="21" width="14.070796460177" style="1" customWidth="1" outlineLevel="1"/>
    <col min="22" max="25" width="15.2035398230088" style="1" customWidth="1" outlineLevel="2"/>
    <col min="26" max="26" width="15.2035398230088" style="1" customWidth="1" outlineLevel="1"/>
    <col min="27" max="30" width="15.2035398230088" style="1" customWidth="1" outlineLevel="2"/>
    <col min="31" max="31" width="15.2035398230088" style="1" customWidth="1" outlineLevel="1"/>
    <col min="32" max="35" width="15.2035398230088" style="1" customWidth="1" outlineLevel="2"/>
    <col min="36" max="36" width="15.2035398230088" style="1" customWidth="1" outlineLevel="1"/>
    <col min="37" max="40" width="15.2035398230088" style="1" customWidth="1" outlineLevel="2"/>
    <col min="41" max="41" width="15.2035398230088" style="1" customWidth="1" outlineLevel="1"/>
    <col min="42" max="42" width="11.3362831858407" style="1" customWidth="1" outlineLevel="2"/>
    <col min="43" max="45" width="11.7345132743363" style="1" customWidth="1" outlineLevel="2"/>
    <col min="46" max="46" width="14" style="1" customWidth="1" outlineLevel="1"/>
    <col min="47" max="47" width="12.7964601769912" style="1" customWidth="1" outlineLevel="2"/>
    <col min="48" max="50" width="12.929203539823" style="1" customWidth="1" outlineLevel="2"/>
    <col min="51" max="51" width="16.7345132743363" style="1" customWidth="1" outlineLevel="1"/>
    <col min="52" max="16384" width="9" style="1"/>
  </cols>
  <sheetData>
    <row r="1" s="55" customFormat="1" ht="16.5" spans="1:51">
      <c r="A1" s="59" t="s">
        <v>0</v>
      </c>
      <c r="B1" s="60" t="s">
        <v>2</v>
      </c>
      <c r="C1" s="60"/>
      <c r="D1" s="60"/>
      <c r="E1" s="60"/>
      <c r="F1" s="119"/>
      <c r="G1" s="61" t="s">
        <v>3</v>
      </c>
      <c r="H1" s="61"/>
      <c r="I1" s="61"/>
      <c r="J1" s="61"/>
      <c r="K1" s="120"/>
      <c r="L1" s="61" t="s">
        <v>4</v>
      </c>
      <c r="M1" s="61"/>
      <c r="N1" s="61"/>
      <c r="O1" s="61"/>
      <c r="P1" s="120"/>
      <c r="Q1" s="61" t="s">
        <v>5</v>
      </c>
      <c r="R1" s="61"/>
      <c r="S1" s="61"/>
      <c r="T1" s="61"/>
      <c r="U1" s="120"/>
      <c r="V1" s="61" t="s">
        <v>6</v>
      </c>
      <c r="W1" s="61"/>
      <c r="X1" s="61"/>
      <c r="Y1" s="61"/>
      <c r="Z1" s="120"/>
      <c r="AA1" s="61" t="s">
        <v>7</v>
      </c>
      <c r="AB1" s="61"/>
      <c r="AC1" s="61"/>
      <c r="AD1" s="61"/>
      <c r="AE1" s="120"/>
      <c r="AF1" s="61" t="s">
        <v>8</v>
      </c>
      <c r="AG1" s="61"/>
      <c r="AH1" s="61"/>
      <c r="AI1" s="61"/>
      <c r="AJ1" s="120"/>
      <c r="AK1" s="61" t="s">
        <v>9</v>
      </c>
      <c r="AL1" s="61"/>
      <c r="AM1" s="61"/>
      <c r="AN1" s="61"/>
      <c r="AO1" s="120"/>
      <c r="AP1" s="61" t="s">
        <v>10</v>
      </c>
      <c r="AQ1" s="61"/>
      <c r="AR1" s="61"/>
      <c r="AS1" s="61"/>
      <c r="AT1" s="120"/>
      <c r="AU1" s="61" t="s">
        <v>11</v>
      </c>
      <c r="AV1" s="61"/>
      <c r="AW1" s="61"/>
      <c r="AX1" s="61"/>
      <c r="AY1" s="61"/>
    </row>
    <row r="2" s="55" customFormat="1" ht="16.5" spans="1:51">
      <c r="A2" s="139" t="s">
        <v>18</v>
      </c>
      <c r="B2" s="124" t="s">
        <v>20</v>
      </c>
      <c r="C2" s="124" t="s">
        <v>21</v>
      </c>
      <c r="D2" s="124">
        <v>45717</v>
      </c>
      <c r="E2" s="124">
        <v>45748</v>
      </c>
      <c r="F2" s="125" t="s">
        <v>379</v>
      </c>
      <c r="G2" s="67" t="s">
        <v>20</v>
      </c>
      <c r="H2" s="67" t="s">
        <v>21</v>
      </c>
      <c r="I2" s="67">
        <v>45717</v>
      </c>
      <c r="J2" s="67">
        <v>45748</v>
      </c>
      <c r="K2" s="126" t="s">
        <v>379</v>
      </c>
      <c r="L2" s="67" t="s">
        <v>20</v>
      </c>
      <c r="M2" s="67" t="s">
        <v>21</v>
      </c>
      <c r="N2" s="67">
        <v>45717</v>
      </c>
      <c r="O2" s="67">
        <v>45748</v>
      </c>
      <c r="P2" s="126" t="s">
        <v>379</v>
      </c>
      <c r="Q2" s="67" t="s">
        <v>20</v>
      </c>
      <c r="R2" s="67" t="s">
        <v>21</v>
      </c>
      <c r="S2" s="67">
        <v>45717</v>
      </c>
      <c r="T2" s="67">
        <v>45748</v>
      </c>
      <c r="U2" s="126" t="s">
        <v>379</v>
      </c>
      <c r="V2" s="67" t="s">
        <v>20</v>
      </c>
      <c r="W2" s="67" t="s">
        <v>21</v>
      </c>
      <c r="X2" s="67">
        <v>45717</v>
      </c>
      <c r="Y2" s="67">
        <v>45748</v>
      </c>
      <c r="Z2" s="126" t="s">
        <v>379</v>
      </c>
      <c r="AA2" s="67" t="s">
        <v>20</v>
      </c>
      <c r="AB2" s="67" t="s">
        <v>21</v>
      </c>
      <c r="AC2" s="67">
        <v>45717</v>
      </c>
      <c r="AD2" s="67">
        <v>45748</v>
      </c>
      <c r="AE2" s="126" t="s">
        <v>379</v>
      </c>
      <c r="AF2" s="67" t="s">
        <v>20</v>
      </c>
      <c r="AG2" s="67" t="s">
        <v>21</v>
      </c>
      <c r="AH2" s="67">
        <v>45717</v>
      </c>
      <c r="AI2" s="67">
        <v>45748</v>
      </c>
      <c r="AJ2" s="126" t="s">
        <v>379</v>
      </c>
      <c r="AK2" s="67" t="s">
        <v>20</v>
      </c>
      <c r="AL2" s="67" t="s">
        <v>21</v>
      </c>
      <c r="AM2" s="67">
        <v>45717</v>
      </c>
      <c r="AN2" s="67">
        <v>45748</v>
      </c>
      <c r="AO2" s="126" t="s">
        <v>379</v>
      </c>
      <c r="AP2" s="67" t="s">
        <v>20</v>
      </c>
      <c r="AQ2" s="67" t="s">
        <v>21</v>
      </c>
      <c r="AR2" s="67">
        <v>45717</v>
      </c>
      <c r="AS2" s="67">
        <v>45748</v>
      </c>
      <c r="AT2" s="126" t="s">
        <v>379</v>
      </c>
      <c r="AU2" s="67" t="s">
        <v>20</v>
      </c>
      <c r="AV2" s="67" t="s">
        <v>21</v>
      </c>
      <c r="AW2" s="67">
        <v>45717</v>
      </c>
      <c r="AX2" s="67">
        <v>45748</v>
      </c>
      <c r="AY2" s="127" t="s">
        <v>379</v>
      </c>
    </row>
    <row r="3" spans="1:51">
      <c r="A3" s="128" t="s">
        <v>388</v>
      </c>
      <c r="B3" s="129">
        <f>G3+L3+Q3+V3+AA3+AF3+AK3+AP3+AU3</f>
        <v>0</v>
      </c>
      <c r="C3" s="129">
        <f>H3+M3+R3+W3+AB3+AG3+AL3+AQ3+AV3</f>
        <v>0</v>
      </c>
      <c r="D3" s="129">
        <f>I3+N3+S3+X3+AC3+AH3+AM3+AR3+AW3</f>
        <v>0</v>
      </c>
      <c r="E3" s="129">
        <f>J3+O3+T3+Y3+AD3+AI3+AN3+AS3+AX3</f>
        <v>0</v>
      </c>
      <c r="F3" s="130">
        <f t="shared" ref="F3:F8" si="0">SUM(B3:E3)</f>
        <v>0</v>
      </c>
      <c r="G3" s="129"/>
      <c r="H3" s="129"/>
      <c r="I3" s="129"/>
      <c r="J3" s="129"/>
      <c r="K3" s="130"/>
      <c r="L3" s="129"/>
      <c r="M3" s="129"/>
      <c r="N3" s="129"/>
      <c r="O3" s="129"/>
      <c r="P3" s="130"/>
      <c r="Q3" s="129"/>
      <c r="R3" s="129"/>
      <c r="S3" s="129"/>
      <c r="T3" s="129"/>
      <c r="U3" s="130"/>
      <c r="V3" s="129"/>
      <c r="W3" s="129"/>
      <c r="X3" s="129"/>
      <c r="Y3" s="129"/>
      <c r="Z3" s="130"/>
      <c r="AA3" s="129"/>
      <c r="AB3" s="129"/>
      <c r="AC3" s="129"/>
      <c r="AD3" s="129"/>
      <c r="AE3" s="130"/>
      <c r="AF3" s="129"/>
      <c r="AG3" s="129"/>
      <c r="AH3" s="129"/>
      <c r="AI3" s="129"/>
      <c r="AJ3" s="130"/>
      <c r="AK3" s="129"/>
      <c r="AL3" s="129"/>
      <c r="AM3" s="129"/>
      <c r="AN3" s="129"/>
      <c r="AO3" s="130"/>
      <c r="AP3" s="129"/>
      <c r="AQ3" s="129"/>
      <c r="AR3" s="129"/>
      <c r="AS3" s="129"/>
      <c r="AT3" s="130"/>
      <c r="AU3" s="129"/>
      <c r="AV3" s="129"/>
      <c r="AW3" s="129"/>
      <c r="AX3" s="129"/>
      <c r="AY3" s="78"/>
    </row>
    <row r="4" spans="1:51">
      <c r="A4" s="128" t="s">
        <v>389</v>
      </c>
      <c r="B4" s="129">
        <f t="shared" ref="B4:E7" si="1">G4+L4+Q4+V4+AA4+AF4+AK4+AP4+AU4</f>
        <v>0</v>
      </c>
      <c r="C4" s="129">
        <f t="shared" si="1"/>
        <v>0</v>
      </c>
      <c r="D4" s="129">
        <f t="shared" si="1"/>
        <v>0</v>
      </c>
      <c r="E4" s="129">
        <f t="shared" si="1"/>
        <v>0</v>
      </c>
      <c r="F4" s="130">
        <f t="shared" si="0"/>
        <v>0</v>
      </c>
      <c r="G4" s="129"/>
      <c r="H4" s="129"/>
      <c r="I4" s="129"/>
      <c r="J4" s="129"/>
      <c r="K4" s="130"/>
      <c r="L4" s="129"/>
      <c r="M4" s="129"/>
      <c r="N4" s="129"/>
      <c r="O4" s="129"/>
      <c r="P4" s="130"/>
      <c r="Q4" s="129"/>
      <c r="R4" s="129"/>
      <c r="S4" s="129"/>
      <c r="T4" s="129"/>
      <c r="U4" s="130"/>
      <c r="V4" s="129"/>
      <c r="W4" s="129"/>
      <c r="X4" s="129"/>
      <c r="Y4" s="129"/>
      <c r="Z4" s="130"/>
      <c r="AA4" s="129"/>
      <c r="AB4" s="129"/>
      <c r="AC4" s="129"/>
      <c r="AD4" s="129"/>
      <c r="AE4" s="130"/>
      <c r="AF4" s="129"/>
      <c r="AG4" s="129"/>
      <c r="AH4" s="129"/>
      <c r="AI4" s="129"/>
      <c r="AJ4" s="130"/>
      <c r="AK4" s="129"/>
      <c r="AL4" s="129"/>
      <c r="AM4" s="129"/>
      <c r="AN4" s="129"/>
      <c r="AO4" s="130"/>
      <c r="AP4" s="129"/>
      <c r="AQ4" s="129"/>
      <c r="AR4" s="129"/>
      <c r="AS4" s="129"/>
      <c r="AT4" s="130"/>
      <c r="AU4" s="129"/>
      <c r="AV4" s="129"/>
      <c r="AW4" s="129"/>
      <c r="AX4" s="129"/>
      <c r="AY4" s="78"/>
    </row>
    <row r="5" spans="1:51">
      <c r="A5" s="128" t="s">
        <v>390</v>
      </c>
      <c r="B5" s="129">
        <f t="shared" si="1"/>
        <v>0</v>
      </c>
      <c r="C5" s="129">
        <f t="shared" si="1"/>
        <v>0</v>
      </c>
      <c r="D5" s="129">
        <f t="shared" si="1"/>
        <v>0</v>
      </c>
      <c r="E5" s="129">
        <f t="shared" si="1"/>
        <v>0</v>
      </c>
      <c r="F5" s="130">
        <f t="shared" si="0"/>
        <v>0</v>
      </c>
      <c r="G5" s="129"/>
      <c r="H5" s="129"/>
      <c r="I5" s="129"/>
      <c r="J5" s="129"/>
      <c r="K5" s="130"/>
      <c r="L5" s="129"/>
      <c r="M5" s="129"/>
      <c r="N5" s="129"/>
      <c r="O5" s="129"/>
      <c r="P5" s="130"/>
      <c r="Q5" s="129"/>
      <c r="R5" s="129"/>
      <c r="S5" s="129"/>
      <c r="T5" s="129"/>
      <c r="U5" s="130"/>
      <c r="V5" s="129"/>
      <c r="W5" s="129"/>
      <c r="X5" s="129"/>
      <c r="Y5" s="129"/>
      <c r="Z5" s="130"/>
      <c r="AA5" s="129"/>
      <c r="AB5" s="129"/>
      <c r="AC5" s="129"/>
      <c r="AD5" s="129"/>
      <c r="AE5" s="130"/>
      <c r="AF5" s="129"/>
      <c r="AG5" s="129"/>
      <c r="AH5" s="129"/>
      <c r="AI5" s="129"/>
      <c r="AJ5" s="130"/>
      <c r="AK5" s="129"/>
      <c r="AL5" s="129"/>
      <c r="AM5" s="129"/>
      <c r="AN5" s="129"/>
      <c r="AO5" s="130"/>
      <c r="AP5" s="129"/>
      <c r="AQ5" s="129"/>
      <c r="AR5" s="129"/>
      <c r="AS5" s="129"/>
      <c r="AT5" s="130"/>
      <c r="AU5" s="129"/>
      <c r="AV5" s="129"/>
      <c r="AW5" s="129"/>
      <c r="AX5" s="129"/>
      <c r="AY5" s="78"/>
    </row>
    <row r="6" spans="1:51">
      <c r="A6" s="128" t="s">
        <v>391</v>
      </c>
      <c r="B6" s="129">
        <f t="shared" si="1"/>
        <v>0</v>
      </c>
      <c r="C6" s="129">
        <f t="shared" si="1"/>
        <v>0</v>
      </c>
      <c r="D6" s="129">
        <f t="shared" si="1"/>
        <v>0</v>
      </c>
      <c r="E6" s="129">
        <f t="shared" si="1"/>
        <v>0</v>
      </c>
      <c r="F6" s="130">
        <f t="shared" si="0"/>
        <v>0</v>
      </c>
      <c r="G6" s="129"/>
      <c r="H6" s="129"/>
      <c r="I6" s="129"/>
      <c r="J6" s="129"/>
      <c r="K6" s="130"/>
      <c r="L6" s="129"/>
      <c r="M6" s="129"/>
      <c r="N6" s="129"/>
      <c r="O6" s="129"/>
      <c r="P6" s="130"/>
      <c r="Q6" s="129"/>
      <c r="R6" s="129"/>
      <c r="S6" s="129"/>
      <c r="T6" s="129"/>
      <c r="U6" s="130"/>
      <c r="V6" s="129"/>
      <c r="W6" s="129"/>
      <c r="X6" s="129"/>
      <c r="Y6" s="129"/>
      <c r="Z6" s="130"/>
      <c r="AA6" s="129"/>
      <c r="AB6" s="129"/>
      <c r="AC6" s="129"/>
      <c r="AD6" s="129"/>
      <c r="AE6" s="130"/>
      <c r="AF6" s="129"/>
      <c r="AG6" s="129"/>
      <c r="AH6" s="129"/>
      <c r="AI6" s="129"/>
      <c r="AJ6" s="130"/>
      <c r="AK6" s="129"/>
      <c r="AL6" s="129"/>
      <c r="AM6" s="129"/>
      <c r="AN6" s="129"/>
      <c r="AO6" s="130"/>
      <c r="AP6" s="129"/>
      <c r="AQ6" s="129"/>
      <c r="AR6" s="129"/>
      <c r="AS6" s="129"/>
      <c r="AT6" s="130"/>
      <c r="AU6" s="129"/>
      <c r="AV6" s="129"/>
      <c r="AW6" s="129"/>
      <c r="AX6" s="129"/>
      <c r="AY6" s="78"/>
    </row>
    <row r="7" spans="1:51">
      <c r="A7" s="128" t="s">
        <v>392</v>
      </c>
      <c r="B7" s="129">
        <f t="shared" si="1"/>
        <v>0</v>
      </c>
      <c r="C7" s="129">
        <f t="shared" si="1"/>
        <v>0</v>
      </c>
      <c r="D7" s="129">
        <f t="shared" si="1"/>
        <v>0</v>
      </c>
      <c r="E7" s="129">
        <f t="shared" si="1"/>
        <v>0</v>
      </c>
      <c r="F7" s="130">
        <f t="shared" si="0"/>
        <v>0</v>
      </c>
      <c r="G7" s="129"/>
      <c r="H7" s="129"/>
      <c r="I7" s="129"/>
      <c r="J7" s="129"/>
      <c r="K7" s="130"/>
      <c r="L7" s="129"/>
      <c r="M7" s="129"/>
      <c r="N7" s="129"/>
      <c r="O7" s="129"/>
      <c r="P7" s="130"/>
      <c r="Q7" s="129"/>
      <c r="R7" s="129"/>
      <c r="S7" s="129"/>
      <c r="T7" s="129"/>
      <c r="U7" s="130"/>
      <c r="V7" s="129"/>
      <c r="W7" s="129"/>
      <c r="X7" s="129"/>
      <c r="Y7" s="129"/>
      <c r="Z7" s="130"/>
      <c r="AA7" s="129"/>
      <c r="AB7" s="129"/>
      <c r="AC7" s="129"/>
      <c r="AD7" s="129"/>
      <c r="AE7" s="130"/>
      <c r="AF7" s="129"/>
      <c r="AG7" s="129"/>
      <c r="AH7" s="129"/>
      <c r="AI7" s="129"/>
      <c r="AJ7" s="130"/>
      <c r="AK7" s="129"/>
      <c r="AL7" s="129"/>
      <c r="AM7" s="129"/>
      <c r="AN7" s="129"/>
      <c r="AO7" s="130"/>
      <c r="AP7" s="129"/>
      <c r="AQ7" s="129"/>
      <c r="AR7" s="129"/>
      <c r="AS7" s="129"/>
      <c r="AT7" s="130"/>
      <c r="AU7" s="129"/>
      <c r="AV7" s="129"/>
      <c r="AW7" s="129"/>
      <c r="AX7" s="129"/>
      <c r="AY7" s="78"/>
    </row>
    <row r="8" ht="16.5" spans="1:51">
      <c r="A8" s="131" t="s">
        <v>379</v>
      </c>
      <c r="B8" s="132">
        <f>G8+L8+Q8+V8+AA8+AF8+AK8+AP8+AU8</f>
        <v>0</v>
      </c>
      <c r="C8" s="132">
        <f>H8+M8+R8+W8+AB8+AG8+AL8+AQ8+AV8</f>
        <v>0</v>
      </c>
      <c r="D8" s="132">
        <f>I8+N8+S8+X8+AC8+AH8+AM8+AR8+AW8</f>
        <v>0</v>
      </c>
      <c r="E8" s="132">
        <f>J8+O8+T8+Y8+AD8+AI8+AN8+AS8+AX8</f>
        <v>0</v>
      </c>
      <c r="F8" s="133">
        <f t="shared" si="0"/>
        <v>0</v>
      </c>
      <c r="G8" s="132">
        <f t="shared" ref="G8:AY8" si="2">SUM(G3:G7)</f>
        <v>0</v>
      </c>
      <c r="H8" s="132">
        <f t="shared" si="2"/>
        <v>0</v>
      </c>
      <c r="I8" s="132">
        <f t="shared" si="2"/>
        <v>0</v>
      </c>
      <c r="J8" s="132">
        <f t="shared" si="2"/>
        <v>0</v>
      </c>
      <c r="K8" s="133">
        <f t="shared" si="2"/>
        <v>0</v>
      </c>
      <c r="L8" s="132">
        <f t="shared" si="2"/>
        <v>0</v>
      </c>
      <c r="M8" s="132">
        <f t="shared" si="2"/>
        <v>0</v>
      </c>
      <c r="N8" s="132">
        <f t="shared" si="2"/>
        <v>0</v>
      </c>
      <c r="O8" s="132">
        <f t="shared" si="2"/>
        <v>0</v>
      </c>
      <c r="P8" s="133">
        <f t="shared" si="2"/>
        <v>0</v>
      </c>
      <c r="Q8" s="132">
        <f t="shared" si="2"/>
        <v>0</v>
      </c>
      <c r="R8" s="132">
        <f t="shared" si="2"/>
        <v>0</v>
      </c>
      <c r="S8" s="132">
        <f t="shared" si="2"/>
        <v>0</v>
      </c>
      <c r="T8" s="132">
        <f t="shared" si="2"/>
        <v>0</v>
      </c>
      <c r="U8" s="133">
        <f t="shared" si="2"/>
        <v>0</v>
      </c>
      <c r="V8" s="132">
        <f t="shared" si="2"/>
        <v>0</v>
      </c>
      <c r="W8" s="132">
        <f t="shared" si="2"/>
        <v>0</v>
      </c>
      <c r="X8" s="132">
        <f t="shared" si="2"/>
        <v>0</v>
      </c>
      <c r="Y8" s="132">
        <f t="shared" si="2"/>
        <v>0</v>
      </c>
      <c r="Z8" s="133">
        <f t="shared" si="2"/>
        <v>0</v>
      </c>
      <c r="AA8" s="132">
        <f t="shared" si="2"/>
        <v>0</v>
      </c>
      <c r="AB8" s="132">
        <f t="shared" si="2"/>
        <v>0</v>
      </c>
      <c r="AC8" s="132">
        <f t="shared" si="2"/>
        <v>0</v>
      </c>
      <c r="AD8" s="132">
        <f t="shared" si="2"/>
        <v>0</v>
      </c>
      <c r="AE8" s="133">
        <f t="shared" si="2"/>
        <v>0</v>
      </c>
      <c r="AF8" s="132">
        <f t="shared" si="2"/>
        <v>0</v>
      </c>
      <c r="AG8" s="132">
        <f t="shared" si="2"/>
        <v>0</v>
      </c>
      <c r="AH8" s="132">
        <f t="shared" si="2"/>
        <v>0</v>
      </c>
      <c r="AI8" s="132">
        <f t="shared" si="2"/>
        <v>0</v>
      </c>
      <c r="AJ8" s="133">
        <f t="shared" si="2"/>
        <v>0</v>
      </c>
      <c r="AK8" s="132">
        <f t="shared" si="2"/>
        <v>0</v>
      </c>
      <c r="AL8" s="132">
        <f t="shared" si="2"/>
        <v>0</v>
      </c>
      <c r="AM8" s="132">
        <f t="shared" si="2"/>
        <v>0</v>
      </c>
      <c r="AN8" s="132">
        <f t="shared" si="2"/>
        <v>0</v>
      </c>
      <c r="AO8" s="133">
        <f t="shared" si="2"/>
        <v>0</v>
      </c>
      <c r="AP8" s="132">
        <f t="shared" si="2"/>
        <v>0</v>
      </c>
      <c r="AQ8" s="132">
        <f t="shared" si="2"/>
        <v>0</v>
      </c>
      <c r="AR8" s="132">
        <f t="shared" si="2"/>
        <v>0</v>
      </c>
      <c r="AS8" s="132">
        <f t="shared" si="2"/>
        <v>0</v>
      </c>
      <c r="AT8" s="133">
        <f t="shared" si="2"/>
        <v>0</v>
      </c>
      <c r="AU8" s="132">
        <f t="shared" si="2"/>
        <v>0</v>
      </c>
      <c r="AV8" s="132">
        <f t="shared" si="2"/>
        <v>0</v>
      </c>
      <c r="AW8" s="132">
        <f t="shared" si="2"/>
        <v>0</v>
      </c>
      <c r="AX8" s="132">
        <f t="shared" si="2"/>
        <v>0</v>
      </c>
      <c r="AY8" s="132">
        <f t="shared" si="2"/>
        <v>0</v>
      </c>
    </row>
    <row r="10" ht="16.5" spans="1:51">
      <c r="A10" s="93" t="s">
        <v>380</v>
      </c>
      <c r="B10" s="60" t="s">
        <v>2</v>
      </c>
      <c r="C10" s="60"/>
      <c r="D10" s="60"/>
      <c r="E10" s="60"/>
      <c r="F10" s="119"/>
      <c r="G10" s="61" t="s">
        <v>3</v>
      </c>
      <c r="H10" s="61"/>
      <c r="I10" s="61"/>
      <c r="J10" s="61"/>
      <c r="K10" s="120"/>
      <c r="L10" s="61" t="s">
        <v>4</v>
      </c>
      <c r="M10" s="61"/>
      <c r="N10" s="61"/>
      <c r="O10" s="61"/>
      <c r="P10" s="120"/>
      <c r="Q10" s="61" t="s">
        <v>5</v>
      </c>
      <c r="R10" s="61"/>
      <c r="S10" s="61"/>
      <c r="T10" s="61"/>
      <c r="U10" s="120"/>
      <c r="V10" s="61" t="s">
        <v>6</v>
      </c>
      <c r="W10" s="61"/>
      <c r="X10" s="61"/>
      <c r="Y10" s="61"/>
      <c r="Z10" s="120"/>
      <c r="AA10" s="61" t="s">
        <v>7</v>
      </c>
      <c r="AB10" s="61"/>
      <c r="AC10" s="61"/>
      <c r="AD10" s="61"/>
      <c r="AE10" s="120"/>
      <c r="AF10" s="61" t="s">
        <v>8</v>
      </c>
      <c r="AG10" s="61"/>
      <c r="AH10" s="61"/>
      <c r="AI10" s="61"/>
      <c r="AJ10" s="120"/>
      <c r="AK10" s="61" t="s">
        <v>9</v>
      </c>
      <c r="AL10" s="61"/>
      <c r="AM10" s="61"/>
      <c r="AN10" s="61"/>
      <c r="AO10" s="120"/>
      <c r="AP10" s="61" t="s">
        <v>10</v>
      </c>
      <c r="AQ10" s="61"/>
      <c r="AR10" s="61"/>
      <c r="AS10" s="61"/>
      <c r="AT10" s="120"/>
      <c r="AU10" s="61" t="s">
        <v>11</v>
      </c>
      <c r="AV10" s="61"/>
      <c r="AW10" s="61"/>
      <c r="AX10" s="61"/>
      <c r="AY10" s="61"/>
    </row>
    <row r="11" s="55" customFormat="1" ht="16.5" spans="1:51">
      <c r="A11" s="140" t="s">
        <v>18</v>
      </c>
      <c r="B11" s="66" t="s">
        <v>20</v>
      </c>
      <c r="C11" s="66" t="s">
        <v>21</v>
      </c>
      <c r="D11" s="66">
        <v>45717</v>
      </c>
      <c r="E11" s="66">
        <v>45748</v>
      </c>
      <c r="F11" s="136" t="s">
        <v>379</v>
      </c>
      <c r="G11" s="67" t="s">
        <v>20</v>
      </c>
      <c r="H11" s="67" t="s">
        <v>21</v>
      </c>
      <c r="I11" s="67">
        <v>45717</v>
      </c>
      <c r="J11" s="67">
        <v>45748</v>
      </c>
      <c r="K11" s="126" t="s">
        <v>379</v>
      </c>
      <c r="L11" s="67" t="s">
        <v>20</v>
      </c>
      <c r="M11" s="67" t="s">
        <v>21</v>
      </c>
      <c r="N11" s="67">
        <v>45717</v>
      </c>
      <c r="O11" s="67">
        <v>45748</v>
      </c>
      <c r="P11" s="126" t="s">
        <v>379</v>
      </c>
      <c r="Q11" s="67" t="s">
        <v>20</v>
      </c>
      <c r="R11" s="67" t="s">
        <v>21</v>
      </c>
      <c r="S11" s="67">
        <v>45717</v>
      </c>
      <c r="T11" s="67">
        <v>45748</v>
      </c>
      <c r="U11" s="126" t="s">
        <v>379</v>
      </c>
      <c r="V11" s="67" t="s">
        <v>20</v>
      </c>
      <c r="W11" s="67" t="s">
        <v>21</v>
      </c>
      <c r="X11" s="67">
        <v>45717</v>
      </c>
      <c r="Y11" s="67">
        <v>45748</v>
      </c>
      <c r="Z11" s="126" t="s">
        <v>379</v>
      </c>
      <c r="AA11" s="67" t="s">
        <v>20</v>
      </c>
      <c r="AB11" s="67" t="s">
        <v>21</v>
      </c>
      <c r="AC11" s="67">
        <v>45717</v>
      </c>
      <c r="AD11" s="67">
        <v>45748</v>
      </c>
      <c r="AE11" s="126" t="s">
        <v>379</v>
      </c>
      <c r="AF11" s="67" t="s">
        <v>20</v>
      </c>
      <c r="AG11" s="67" t="s">
        <v>21</v>
      </c>
      <c r="AH11" s="67">
        <v>45717</v>
      </c>
      <c r="AI11" s="67">
        <v>45748</v>
      </c>
      <c r="AJ11" s="126" t="s">
        <v>379</v>
      </c>
      <c r="AK11" s="67" t="s">
        <v>20</v>
      </c>
      <c r="AL11" s="67" t="s">
        <v>21</v>
      </c>
      <c r="AM11" s="67">
        <v>45717</v>
      </c>
      <c r="AN11" s="67">
        <v>45748</v>
      </c>
      <c r="AO11" s="126" t="s">
        <v>379</v>
      </c>
      <c r="AP11" s="67" t="s">
        <v>20</v>
      </c>
      <c r="AQ11" s="67" t="s">
        <v>21</v>
      </c>
      <c r="AR11" s="67">
        <v>45717</v>
      </c>
      <c r="AS11" s="67">
        <v>45748</v>
      </c>
      <c r="AT11" s="126" t="s">
        <v>379</v>
      </c>
      <c r="AU11" s="67" t="s">
        <v>20</v>
      </c>
      <c r="AV11" s="67" t="s">
        <v>21</v>
      </c>
      <c r="AW11" s="67">
        <v>45717</v>
      </c>
      <c r="AX11" s="67">
        <v>45748</v>
      </c>
      <c r="AY11" s="127" t="s">
        <v>379</v>
      </c>
    </row>
    <row r="12" spans="1:51">
      <c r="A12" s="141" t="s">
        <v>388</v>
      </c>
      <c r="B12" s="101" t="e">
        <f t="shared" ref="B12:AB12" si="3">B3/B$8</f>
        <v>#DIV/0!</v>
      </c>
      <c r="C12" s="101" t="e">
        <f t="shared" si="3"/>
        <v>#DIV/0!</v>
      </c>
      <c r="D12" s="101" t="e">
        <f t="shared" si="3"/>
        <v>#DIV/0!</v>
      </c>
      <c r="E12" s="101" t="e">
        <f t="shared" si="3"/>
        <v>#DIV/0!</v>
      </c>
      <c r="F12" s="138" t="e">
        <f t="shared" si="3"/>
        <v>#DIV/0!</v>
      </c>
      <c r="G12" s="106" t="e">
        <f t="shared" si="3"/>
        <v>#DIV/0!</v>
      </c>
      <c r="H12" s="106" t="e">
        <f t="shared" si="3"/>
        <v>#DIV/0!</v>
      </c>
      <c r="I12" s="106" t="e">
        <f t="shared" si="3"/>
        <v>#DIV/0!</v>
      </c>
      <c r="J12" s="106" t="e">
        <f t="shared" si="3"/>
        <v>#DIV/0!</v>
      </c>
      <c r="K12" s="9" t="e">
        <f t="shared" si="3"/>
        <v>#DIV/0!</v>
      </c>
      <c r="L12" s="106" t="e">
        <f t="shared" si="3"/>
        <v>#DIV/0!</v>
      </c>
      <c r="M12" s="106" t="e">
        <f t="shared" si="3"/>
        <v>#DIV/0!</v>
      </c>
      <c r="N12" s="106" t="e">
        <f t="shared" si="3"/>
        <v>#DIV/0!</v>
      </c>
      <c r="O12" s="106" t="e">
        <f t="shared" si="3"/>
        <v>#DIV/0!</v>
      </c>
      <c r="P12" s="9" t="e">
        <f t="shared" si="3"/>
        <v>#DIV/0!</v>
      </c>
      <c r="Q12" s="137" t="e">
        <f t="shared" si="3"/>
        <v>#DIV/0!</v>
      </c>
      <c r="R12" s="137" t="e">
        <f t="shared" si="3"/>
        <v>#DIV/0!</v>
      </c>
      <c r="S12" s="137" t="e">
        <f t="shared" si="3"/>
        <v>#DIV/0!</v>
      </c>
      <c r="T12" s="137" t="e">
        <f t="shared" si="3"/>
        <v>#DIV/0!</v>
      </c>
      <c r="U12" s="9" t="e">
        <f t="shared" si="3"/>
        <v>#DIV/0!</v>
      </c>
      <c r="V12" s="137" t="e">
        <f t="shared" si="3"/>
        <v>#DIV/0!</v>
      </c>
      <c r="W12" s="137" t="e">
        <f t="shared" si="3"/>
        <v>#DIV/0!</v>
      </c>
      <c r="X12" s="137" t="e">
        <f t="shared" si="3"/>
        <v>#DIV/0!</v>
      </c>
      <c r="Y12" s="137" t="e">
        <f t="shared" si="3"/>
        <v>#DIV/0!</v>
      </c>
      <c r="Z12" s="9" t="e">
        <f t="shared" si="3"/>
        <v>#DIV/0!</v>
      </c>
      <c r="AA12" s="137" t="e">
        <f t="shared" si="3"/>
        <v>#DIV/0!</v>
      </c>
      <c r="AB12" s="137" t="e">
        <f t="shared" si="3"/>
        <v>#DIV/0!</v>
      </c>
      <c r="AC12" s="137" t="e">
        <f t="shared" ref="AC12:AY12" si="4">AC3/AC$8</f>
        <v>#DIV/0!</v>
      </c>
      <c r="AD12" s="137" t="e">
        <f t="shared" si="4"/>
        <v>#DIV/0!</v>
      </c>
      <c r="AE12" s="9" t="e">
        <f t="shared" si="4"/>
        <v>#DIV/0!</v>
      </c>
      <c r="AF12" s="137" t="e">
        <f t="shared" si="4"/>
        <v>#DIV/0!</v>
      </c>
      <c r="AG12" s="137" t="e">
        <f t="shared" si="4"/>
        <v>#DIV/0!</v>
      </c>
      <c r="AH12" s="137" t="e">
        <f t="shared" si="4"/>
        <v>#DIV/0!</v>
      </c>
      <c r="AI12" s="137" t="e">
        <f t="shared" si="4"/>
        <v>#DIV/0!</v>
      </c>
      <c r="AJ12" s="9" t="e">
        <f t="shared" si="4"/>
        <v>#DIV/0!</v>
      </c>
      <c r="AK12" s="137" t="e">
        <f t="shared" si="4"/>
        <v>#DIV/0!</v>
      </c>
      <c r="AL12" s="137" t="e">
        <f t="shared" si="4"/>
        <v>#DIV/0!</v>
      </c>
      <c r="AM12" s="137" t="e">
        <f t="shared" si="4"/>
        <v>#DIV/0!</v>
      </c>
      <c r="AN12" s="137" t="e">
        <f t="shared" si="4"/>
        <v>#DIV/0!</v>
      </c>
      <c r="AO12" s="9" t="e">
        <f t="shared" si="4"/>
        <v>#DIV/0!</v>
      </c>
      <c r="AP12" s="137" t="e">
        <f t="shared" si="4"/>
        <v>#DIV/0!</v>
      </c>
      <c r="AQ12" s="137" t="e">
        <f t="shared" si="4"/>
        <v>#DIV/0!</v>
      </c>
      <c r="AR12" s="137" t="e">
        <f t="shared" si="4"/>
        <v>#DIV/0!</v>
      </c>
      <c r="AS12" s="137" t="e">
        <f t="shared" si="4"/>
        <v>#DIV/0!</v>
      </c>
      <c r="AT12" s="9" t="e">
        <f t="shared" si="4"/>
        <v>#DIV/0!</v>
      </c>
      <c r="AU12" s="137" t="e">
        <f t="shared" si="4"/>
        <v>#DIV/0!</v>
      </c>
      <c r="AV12" s="137" t="e">
        <f t="shared" si="4"/>
        <v>#DIV/0!</v>
      </c>
      <c r="AW12" s="137" t="e">
        <f t="shared" si="4"/>
        <v>#DIV/0!</v>
      </c>
      <c r="AX12" s="137" t="e">
        <f t="shared" si="4"/>
        <v>#DIV/0!</v>
      </c>
      <c r="AY12" s="106" t="e">
        <f t="shared" si="4"/>
        <v>#DIV/0!</v>
      </c>
    </row>
    <row r="13" spans="1:51">
      <c r="A13" s="141" t="s">
        <v>389</v>
      </c>
      <c r="B13" s="106" t="e">
        <f t="shared" ref="B13:AB13" si="5">B4/B$8</f>
        <v>#DIV/0!</v>
      </c>
      <c r="C13" s="106" t="e">
        <f t="shared" si="5"/>
        <v>#DIV/0!</v>
      </c>
      <c r="D13" s="106" t="e">
        <f t="shared" si="5"/>
        <v>#DIV/0!</v>
      </c>
      <c r="E13" s="106" t="e">
        <f t="shared" si="5"/>
        <v>#DIV/0!</v>
      </c>
      <c r="F13" s="9" t="e">
        <f t="shared" si="5"/>
        <v>#DIV/0!</v>
      </c>
      <c r="G13" s="106" t="e">
        <f t="shared" si="5"/>
        <v>#DIV/0!</v>
      </c>
      <c r="H13" s="106" t="e">
        <f t="shared" si="5"/>
        <v>#DIV/0!</v>
      </c>
      <c r="I13" s="106" t="e">
        <f t="shared" si="5"/>
        <v>#DIV/0!</v>
      </c>
      <c r="J13" s="106" t="e">
        <f t="shared" si="5"/>
        <v>#DIV/0!</v>
      </c>
      <c r="K13" s="9" t="e">
        <f t="shared" si="5"/>
        <v>#DIV/0!</v>
      </c>
      <c r="L13" s="106" t="e">
        <f t="shared" si="5"/>
        <v>#DIV/0!</v>
      </c>
      <c r="M13" s="106" t="e">
        <f t="shared" si="5"/>
        <v>#DIV/0!</v>
      </c>
      <c r="N13" s="106" t="e">
        <f t="shared" si="5"/>
        <v>#DIV/0!</v>
      </c>
      <c r="O13" s="106" t="e">
        <f t="shared" si="5"/>
        <v>#DIV/0!</v>
      </c>
      <c r="P13" s="9" t="e">
        <f t="shared" si="5"/>
        <v>#DIV/0!</v>
      </c>
      <c r="Q13" s="137" t="e">
        <f t="shared" si="5"/>
        <v>#DIV/0!</v>
      </c>
      <c r="R13" s="137" t="e">
        <f t="shared" si="5"/>
        <v>#DIV/0!</v>
      </c>
      <c r="S13" s="137" t="e">
        <f t="shared" si="5"/>
        <v>#DIV/0!</v>
      </c>
      <c r="T13" s="137" t="e">
        <f t="shared" si="5"/>
        <v>#DIV/0!</v>
      </c>
      <c r="U13" s="9" t="e">
        <f t="shared" si="5"/>
        <v>#DIV/0!</v>
      </c>
      <c r="V13" s="137" t="e">
        <f t="shared" si="5"/>
        <v>#DIV/0!</v>
      </c>
      <c r="W13" s="137" t="e">
        <f t="shared" si="5"/>
        <v>#DIV/0!</v>
      </c>
      <c r="X13" s="137" t="e">
        <f t="shared" si="5"/>
        <v>#DIV/0!</v>
      </c>
      <c r="Y13" s="137" t="e">
        <f t="shared" si="5"/>
        <v>#DIV/0!</v>
      </c>
      <c r="Z13" s="9" t="e">
        <f t="shared" si="5"/>
        <v>#DIV/0!</v>
      </c>
      <c r="AA13" s="137" t="e">
        <f t="shared" si="5"/>
        <v>#DIV/0!</v>
      </c>
      <c r="AB13" s="137" t="e">
        <f t="shared" si="5"/>
        <v>#DIV/0!</v>
      </c>
      <c r="AC13" s="137" t="e">
        <f t="shared" ref="AC13:AY13" si="6">AC4/AC$8</f>
        <v>#DIV/0!</v>
      </c>
      <c r="AD13" s="137" t="e">
        <f t="shared" si="6"/>
        <v>#DIV/0!</v>
      </c>
      <c r="AE13" s="9" t="e">
        <f t="shared" si="6"/>
        <v>#DIV/0!</v>
      </c>
      <c r="AF13" s="137" t="e">
        <f t="shared" si="6"/>
        <v>#DIV/0!</v>
      </c>
      <c r="AG13" s="137" t="e">
        <f t="shared" si="6"/>
        <v>#DIV/0!</v>
      </c>
      <c r="AH13" s="137" t="e">
        <f t="shared" si="6"/>
        <v>#DIV/0!</v>
      </c>
      <c r="AI13" s="137" t="e">
        <f t="shared" si="6"/>
        <v>#DIV/0!</v>
      </c>
      <c r="AJ13" s="9" t="e">
        <f t="shared" si="6"/>
        <v>#DIV/0!</v>
      </c>
      <c r="AK13" s="137" t="e">
        <f t="shared" si="6"/>
        <v>#DIV/0!</v>
      </c>
      <c r="AL13" s="137" t="e">
        <f t="shared" si="6"/>
        <v>#DIV/0!</v>
      </c>
      <c r="AM13" s="137" t="e">
        <f t="shared" si="6"/>
        <v>#DIV/0!</v>
      </c>
      <c r="AN13" s="137" t="e">
        <f t="shared" si="6"/>
        <v>#DIV/0!</v>
      </c>
      <c r="AO13" s="9" t="e">
        <f t="shared" si="6"/>
        <v>#DIV/0!</v>
      </c>
      <c r="AP13" s="137" t="e">
        <f t="shared" si="6"/>
        <v>#DIV/0!</v>
      </c>
      <c r="AQ13" s="137" t="e">
        <f t="shared" si="6"/>
        <v>#DIV/0!</v>
      </c>
      <c r="AR13" s="137" t="e">
        <f t="shared" si="6"/>
        <v>#DIV/0!</v>
      </c>
      <c r="AS13" s="137" t="e">
        <f t="shared" si="6"/>
        <v>#DIV/0!</v>
      </c>
      <c r="AT13" s="9" t="e">
        <f t="shared" si="6"/>
        <v>#DIV/0!</v>
      </c>
      <c r="AU13" s="137" t="e">
        <f t="shared" si="6"/>
        <v>#DIV/0!</v>
      </c>
      <c r="AV13" s="137" t="e">
        <f t="shared" si="6"/>
        <v>#DIV/0!</v>
      </c>
      <c r="AW13" s="137" t="e">
        <f t="shared" si="6"/>
        <v>#DIV/0!</v>
      </c>
      <c r="AX13" s="137" t="e">
        <f t="shared" si="6"/>
        <v>#DIV/0!</v>
      </c>
      <c r="AY13" s="106" t="e">
        <f t="shared" si="6"/>
        <v>#DIV/0!</v>
      </c>
    </row>
    <row r="14" spans="1:51">
      <c r="A14" s="141" t="s">
        <v>390</v>
      </c>
      <c r="B14" s="106" t="e">
        <f t="shared" ref="B14:AB14" si="7">B5/B$8</f>
        <v>#DIV/0!</v>
      </c>
      <c r="C14" s="106" t="e">
        <f t="shared" si="7"/>
        <v>#DIV/0!</v>
      </c>
      <c r="D14" s="106" t="e">
        <f t="shared" si="7"/>
        <v>#DIV/0!</v>
      </c>
      <c r="E14" s="106" t="e">
        <f t="shared" si="7"/>
        <v>#DIV/0!</v>
      </c>
      <c r="F14" s="9" t="e">
        <f t="shared" si="7"/>
        <v>#DIV/0!</v>
      </c>
      <c r="G14" s="106" t="e">
        <f t="shared" si="7"/>
        <v>#DIV/0!</v>
      </c>
      <c r="H14" s="106" t="e">
        <f t="shared" si="7"/>
        <v>#DIV/0!</v>
      </c>
      <c r="I14" s="106" t="e">
        <f t="shared" si="7"/>
        <v>#DIV/0!</v>
      </c>
      <c r="J14" s="106" t="e">
        <f t="shared" si="7"/>
        <v>#DIV/0!</v>
      </c>
      <c r="K14" s="9" t="e">
        <f t="shared" si="7"/>
        <v>#DIV/0!</v>
      </c>
      <c r="L14" s="106" t="e">
        <f t="shared" si="7"/>
        <v>#DIV/0!</v>
      </c>
      <c r="M14" s="106" t="e">
        <f t="shared" si="7"/>
        <v>#DIV/0!</v>
      </c>
      <c r="N14" s="106" t="e">
        <f t="shared" si="7"/>
        <v>#DIV/0!</v>
      </c>
      <c r="O14" s="106" t="e">
        <f t="shared" si="7"/>
        <v>#DIV/0!</v>
      </c>
      <c r="P14" s="9" t="e">
        <f t="shared" si="7"/>
        <v>#DIV/0!</v>
      </c>
      <c r="Q14" s="137" t="e">
        <f t="shared" si="7"/>
        <v>#DIV/0!</v>
      </c>
      <c r="R14" s="137" t="e">
        <f t="shared" si="7"/>
        <v>#DIV/0!</v>
      </c>
      <c r="S14" s="137" t="e">
        <f t="shared" si="7"/>
        <v>#DIV/0!</v>
      </c>
      <c r="T14" s="137" t="e">
        <f t="shared" si="7"/>
        <v>#DIV/0!</v>
      </c>
      <c r="U14" s="9" t="e">
        <f t="shared" si="7"/>
        <v>#DIV/0!</v>
      </c>
      <c r="V14" s="137" t="e">
        <f t="shared" si="7"/>
        <v>#DIV/0!</v>
      </c>
      <c r="W14" s="137" t="e">
        <f t="shared" si="7"/>
        <v>#DIV/0!</v>
      </c>
      <c r="X14" s="137" t="e">
        <f t="shared" si="7"/>
        <v>#DIV/0!</v>
      </c>
      <c r="Y14" s="137" t="e">
        <f t="shared" si="7"/>
        <v>#DIV/0!</v>
      </c>
      <c r="Z14" s="9" t="e">
        <f t="shared" si="7"/>
        <v>#DIV/0!</v>
      </c>
      <c r="AA14" s="137" t="e">
        <f t="shared" si="7"/>
        <v>#DIV/0!</v>
      </c>
      <c r="AB14" s="137" t="e">
        <f t="shared" si="7"/>
        <v>#DIV/0!</v>
      </c>
      <c r="AC14" s="137" t="e">
        <f t="shared" ref="AC14:AY14" si="8">AC5/AC$8</f>
        <v>#DIV/0!</v>
      </c>
      <c r="AD14" s="137" t="e">
        <f t="shared" si="8"/>
        <v>#DIV/0!</v>
      </c>
      <c r="AE14" s="9" t="e">
        <f t="shared" si="8"/>
        <v>#DIV/0!</v>
      </c>
      <c r="AF14" s="137" t="e">
        <f t="shared" si="8"/>
        <v>#DIV/0!</v>
      </c>
      <c r="AG14" s="137" t="e">
        <f t="shared" si="8"/>
        <v>#DIV/0!</v>
      </c>
      <c r="AH14" s="137" t="e">
        <f t="shared" si="8"/>
        <v>#DIV/0!</v>
      </c>
      <c r="AI14" s="137" t="e">
        <f t="shared" si="8"/>
        <v>#DIV/0!</v>
      </c>
      <c r="AJ14" s="9" t="e">
        <f t="shared" si="8"/>
        <v>#DIV/0!</v>
      </c>
      <c r="AK14" s="137" t="e">
        <f t="shared" si="8"/>
        <v>#DIV/0!</v>
      </c>
      <c r="AL14" s="137" t="e">
        <f t="shared" si="8"/>
        <v>#DIV/0!</v>
      </c>
      <c r="AM14" s="137" t="e">
        <f t="shared" si="8"/>
        <v>#DIV/0!</v>
      </c>
      <c r="AN14" s="137" t="e">
        <f t="shared" si="8"/>
        <v>#DIV/0!</v>
      </c>
      <c r="AO14" s="9" t="e">
        <f t="shared" si="8"/>
        <v>#DIV/0!</v>
      </c>
      <c r="AP14" s="137" t="e">
        <f t="shared" si="8"/>
        <v>#DIV/0!</v>
      </c>
      <c r="AQ14" s="137" t="e">
        <f t="shared" si="8"/>
        <v>#DIV/0!</v>
      </c>
      <c r="AR14" s="137" t="e">
        <f t="shared" si="8"/>
        <v>#DIV/0!</v>
      </c>
      <c r="AS14" s="137" t="e">
        <f t="shared" si="8"/>
        <v>#DIV/0!</v>
      </c>
      <c r="AT14" s="9" t="e">
        <f t="shared" si="8"/>
        <v>#DIV/0!</v>
      </c>
      <c r="AU14" s="137" t="e">
        <f t="shared" si="8"/>
        <v>#DIV/0!</v>
      </c>
      <c r="AV14" s="137" t="e">
        <f t="shared" si="8"/>
        <v>#DIV/0!</v>
      </c>
      <c r="AW14" s="137" t="e">
        <f t="shared" si="8"/>
        <v>#DIV/0!</v>
      </c>
      <c r="AX14" s="137" t="e">
        <f t="shared" si="8"/>
        <v>#DIV/0!</v>
      </c>
      <c r="AY14" s="106" t="e">
        <f t="shared" si="8"/>
        <v>#DIV/0!</v>
      </c>
    </row>
    <row r="15" spans="1:51">
      <c r="A15" s="141" t="s">
        <v>391</v>
      </c>
      <c r="B15" s="106" t="e">
        <f t="shared" ref="B15:AB15" si="9">B6/B$8</f>
        <v>#DIV/0!</v>
      </c>
      <c r="C15" s="106" t="e">
        <f t="shared" si="9"/>
        <v>#DIV/0!</v>
      </c>
      <c r="D15" s="106" t="e">
        <f t="shared" si="9"/>
        <v>#DIV/0!</v>
      </c>
      <c r="E15" s="106" t="e">
        <f t="shared" si="9"/>
        <v>#DIV/0!</v>
      </c>
      <c r="F15" s="9" t="e">
        <f t="shared" si="9"/>
        <v>#DIV/0!</v>
      </c>
      <c r="G15" s="106" t="e">
        <f t="shared" si="9"/>
        <v>#DIV/0!</v>
      </c>
      <c r="H15" s="106" t="e">
        <f t="shared" si="9"/>
        <v>#DIV/0!</v>
      </c>
      <c r="I15" s="106" t="e">
        <f t="shared" si="9"/>
        <v>#DIV/0!</v>
      </c>
      <c r="J15" s="106" t="e">
        <f t="shared" si="9"/>
        <v>#DIV/0!</v>
      </c>
      <c r="K15" s="9" t="e">
        <f t="shared" si="9"/>
        <v>#DIV/0!</v>
      </c>
      <c r="L15" s="106" t="e">
        <f t="shared" si="9"/>
        <v>#DIV/0!</v>
      </c>
      <c r="M15" s="106" t="e">
        <f t="shared" si="9"/>
        <v>#DIV/0!</v>
      </c>
      <c r="N15" s="106" t="e">
        <f t="shared" si="9"/>
        <v>#DIV/0!</v>
      </c>
      <c r="O15" s="106" t="e">
        <f t="shared" si="9"/>
        <v>#DIV/0!</v>
      </c>
      <c r="P15" s="9" t="e">
        <f t="shared" si="9"/>
        <v>#DIV/0!</v>
      </c>
      <c r="Q15" s="137" t="e">
        <f t="shared" si="9"/>
        <v>#DIV/0!</v>
      </c>
      <c r="R15" s="137" t="e">
        <f t="shared" si="9"/>
        <v>#DIV/0!</v>
      </c>
      <c r="S15" s="137" t="e">
        <f t="shared" si="9"/>
        <v>#DIV/0!</v>
      </c>
      <c r="T15" s="137" t="e">
        <f t="shared" si="9"/>
        <v>#DIV/0!</v>
      </c>
      <c r="U15" s="9" t="e">
        <f t="shared" si="9"/>
        <v>#DIV/0!</v>
      </c>
      <c r="V15" s="137" t="e">
        <f t="shared" si="9"/>
        <v>#DIV/0!</v>
      </c>
      <c r="W15" s="137" t="e">
        <f t="shared" si="9"/>
        <v>#DIV/0!</v>
      </c>
      <c r="X15" s="137" t="e">
        <f t="shared" si="9"/>
        <v>#DIV/0!</v>
      </c>
      <c r="Y15" s="137" t="e">
        <f t="shared" si="9"/>
        <v>#DIV/0!</v>
      </c>
      <c r="Z15" s="9" t="e">
        <f t="shared" si="9"/>
        <v>#DIV/0!</v>
      </c>
      <c r="AA15" s="137" t="e">
        <f t="shared" si="9"/>
        <v>#DIV/0!</v>
      </c>
      <c r="AB15" s="137" t="e">
        <f t="shared" si="9"/>
        <v>#DIV/0!</v>
      </c>
      <c r="AC15" s="137" t="e">
        <f t="shared" ref="AC15:AY15" si="10">AC6/AC$8</f>
        <v>#DIV/0!</v>
      </c>
      <c r="AD15" s="137" t="e">
        <f t="shared" si="10"/>
        <v>#DIV/0!</v>
      </c>
      <c r="AE15" s="9" t="e">
        <f t="shared" si="10"/>
        <v>#DIV/0!</v>
      </c>
      <c r="AF15" s="137" t="e">
        <f t="shared" si="10"/>
        <v>#DIV/0!</v>
      </c>
      <c r="AG15" s="137" t="e">
        <f t="shared" si="10"/>
        <v>#DIV/0!</v>
      </c>
      <c r="AH15" s="137" t="e">
        <f t="shared" si="10"/>
        <v>#DIV/0!</v>
      </c>
      <c r="AI15" s="137" t="e">
        <f t="shared" si="10"/>
        <v>#DIV/0!</v>
      </c>
      <c r="AJ15" s="9" t="e">
        <f t="shared" si="10"/>
        <v>#DIV/0!</v>
      </c>
      <c r="AK15" s="137" t="e">
        <f t="shared" si="10"/>
        <v>#DIV/0!</v>
      </c>
      <c r="AL15" s="137" t="e">
        <f t="shared" si="10"/>
        <v>#DIV/0!</v>
      </c>
      <c r="AM15" s="137" t="e">
        <f t="shared" si="10"/>
        <v>#DIV/0!</v>
      </c>
      <c r="AN15" s="137" t="e">
        <f t="shared" si="10"/>
        <v>#DIV/0!</v>
      </c>
      <c r="AO15" s="9" t="e">
        <f t="shared" si="10"/>
        <v>#DIV/0!</v>
      </c>
      <c r="AP15" s="137" t="e">
        <f t="shared" si="10"/>
        <v>#DIV/0!</v>
      </c>
      <c r="AQ15" s="137" t="e">
        <f t="shared" si="10"/>
        <v>#DIV/0!</v>
      </c>
      <c r="AR15" s="137" t="e">
        <f t="shared" si="10"/>
        <v>#DIV/0!</v>
      </c>
      <c r="AS15" s="137" t="e">
        <f t="shared" si="10"/>
        <v>#DIV/0!</v>
      </c>
      <c r="AT15" s="9" t="e">
        <f t="shared" si="10"/>
        <v>#DIV/0!</v>
      </c>
      <c r="AU15" s="137" t="e">
        <f t="shared" si="10"/>
        <v>#DIV/0!</v>
      </c>
      <c r="AV15" s="137" t="e">
        <f t="shared" si="10"/>
        <v>#DIV/0!</v>
      </c>
      <c r="AW15" s="137" t="e">
        <f t="shared" si="10"/>
        <v>#DIV/0!</v>
      </c>
      <c r="AX15" s="137" t="e">
        <f t="shared" si="10"/>
        <v>#DIV/0!</v>
      </c>
      <c r="AY15" s="106" t="e">
        <f t="shared" si="10"/>
        <v>#DIV/0!</v>
      </c>
    </row>
    <row r="16" spans="1:51">
      <c r="A16" s="141" t="s">
        <v>392</v>
      </c>
      <c r="B16" s="106" t="e">
        <f t="shared" ref="B16:AB16" si="11">B7/B$8</f>
        <v>#DIV/0!</v>
      </c>
      <c r="C16" s="106" t="e">
        <f t="shared" si="11"/>
        <v>#DIV/0!</v>
      </c>
      <c r="D16" s="106" t="e">
        <f t="shared" si="11"/>
        <v>#DIV/0!</v>
      </c>
      <c r="E16" s="106" t="e">
        <f t="shared" si="11"/>
        <v>#DIV/0!</v>
      </c>
      <c r="F16" s="9" t="e">
        <f t="shared" si="11"/>
        <v>#DIV/0!</v>
      </c>
      <c r="G16" s="106" t="e">
        <f t="shared" si="11"/>
        <v>#DIV/0!</v>
      </c>
      <c r="H16" s="106" t="e">
        <f t="shared" si="11"/>
        <v>#DIV/0!</v>
      </c>
      <c r="I16" s="106" t="e">
        <f t="shared" si="11"/>
        <v>#DIV/0!</v>
      </c>
      <c r="J16" s="106" t="e">
        <f t="shared" si="11"/>
        <v>#DIV/0!</v>
      </c>
      <c r="K16" s="9" t="e">
        <f t="shared" si="11"/>
        <v>#DIV/0!</v>
      </c>
      <c r="L16" s="106" t="e">
        <f t="shared" si="11"/>
        <v>#DIV/0!</v>
      </c>
      <c r="M16" s="106" t="e">
        <f t="shared" si="11"/>
        <v>#DIV/0!</v>
      </c>
      <c r="N16" s="106" t="e">
        <f t="shared" si="11"/>
        <v>#DIV/0!</v>
      </c>
      <c r="O16" s="106" t="e">
        <f t="shared" si="11"/>
        <v>#DIV/0!</v>
      </c>
      <c r="P16" s="9" t="e">
        <f t="shared" si="11"/>
        <v>#DIV/0!</v>
      </c>
      <c r="Q16" s="137" t="e">
        <f t="shared" si="11"/>
        <v>#DIV/0!</v>
      </c>
      <c r="R16" s="137" t="e">
        <f t="shared" si="11"/>
        <v>#DIV/0!</v>
      </c>
      <c r="S16" s="137" t="e">
        <f t="shared" si="11"/>
        <v>#DIV/0!</v>
      </c>
      <c r="T16" s="137" t="e">
        <f t="shared" si="11"/>
        <v>#DIV/0!</v>
      </c>
      <c r="U16" s="9" t="e">
        <f t="shared" si="11"/>
        <v>#DIV/0!</v>
      </c>
      <c r="V16" s="137" t="e">
        <f t="shared" si="11"/>
        <v>#DIV/0!</v>
      </c>
      <c r="W16" s="137" t="e">
        <f t="shared" si="11"/>
        <v>#DIV/0!</v>
      </c>
      <c r="X16" s="137" t="e">
        <f t="shared" si="11"/>
        <v>#DIV/0!</v>
      </c>
      <c r="Y16" s="137" t="e">
        <f t="shared" si="11"/>
        <v>#DIV/0!</v>
      </c>
      <c r="Z16" s="9" t="e">
        <f t="shared" si="11"/>
        <v>#DIV/0!</v>
      </c>
      <c r="AA16" s="137" t="e">
        <f t="shared" si="11"/>
        <v>#DIV/0!</v>
      </c>
      <c r="AB16" s="137" t="e">
        <f t="shared" si="11"/>
        <v>#DIV/0!</v>
      </c>
      <c r="AC16" s="137" t="e">
        <f t="shared" ref="AC16:AY16" si="12">AC7/AC$8</f>
        <v>#DIV/0!</v>
      </c>
      <c r="AD16" s="137" t="e">
        <f t="shared" si="12"/>
        <v>#DIV/0!</v>
      </c>
      <c r="AE16" s="9" t="e">
        <f t="shared" si="12"/>
        <v>#DIV/0!</v>
      </c>
      <c r="AF16" s="137" t="e">
        <f t="shared" si="12"/>
        <v>#DIV/0!</v>
      </c>
      <c r="AG16" s="137" t="e">
        <f t="shared" si="12"/>
        <v>#DIV/0!</v>
      </c>
      <c r="AH16" s="137" t="e">
        <f t="shared" si="12"/>
        <v>#DIV/0!</v>
      </c>
      <c r="AI16" s="137" t="e">
        <f t="shared" si="12"/>
        <v>#DIV/0!</v>
      </c>
      <c r="AJ16" s="9" t="e">
        <f t="shared" si="12"/>
        <v>#DIV/0!</v>
      </c>
      <c r="AK16" s="137" t="e">
        <f t="shared" si="12"/>
        <v>#DIV/0!</v>
      </c>
      <c r="AL16" s="137" t="e">
        <f t="shared" si="12"/>
        <v>#DIV/0!</v>
      </c>
      <c r="AM16" s="137" t="e">
        <f t="shared" si="12"/>
        <v>#DIV/0!</v>
      </c>
      <c r="AN16" s="137" t="e">
        <f t="shared" si="12"/>
        <v>#DIV/0!</v>
      </c>
      <c r="AO16" s="9" t="e">
        <f t="shared" si="12"/>
        <v>#DIV/0!</v>
      </c>
      <c r="AP16" s="137" t="e">
        <f t="shared" si="12"/>
        <v>#DIV/0!</v>
      </c>
      <c r="AQ16" s="137" t="e">
        <f t="shared" si="12"/>
        <v>#DIV/0!</v>
      </c>
      <c r="AR16" s="137" t="e">
        <f t="shared" si="12"/>
        <v>#DIV/0!</v>
      </c>
      <c r="AS16" s="137" t="e">
        <f t="shared" si="12"/>
        <v>#DIV/0!</v>
      </c>
      <c r="AT16" s="9" t="e">
        <f t="shared" si="12"/>
        <v>#DIV/0!</v>
      </c>
      <c r="AU16" s="137" t="e">
        <f t="shared" si="12"/>
        <v>#DIV/0!</v>
      </c>
      <c r="AV16" s="137" t="e">
        <f t="shared" si="12"/>
        <v>#DIV/0!</v>
      </c>
      <c r="AW16" s="137" t="e">
        <f t="shared" si="12"/>
        <v>#DIV/0!</v>
      </c>
      <c r="AX16" s="137" t="e">
        <f t="shared" si="12"/>
        <v>#DIV/0!</v>
      </c>
      <c r="AY16" s="106" t="e">
        <f t="shared" si="12"/>
        <v>#DIV/0!</v>
      </c>
    </row>
    <row r="17" ht="16.5" spans="1:51">
      <c r="A17" s="142"/>
      <c r="B17" s="114" t="e">
        <f t="shared" ref="B17:AB17" si="13">B8/B$8</f>
        <v>#DIV/0!</v>
      </c>
      <c r="C17" s="114" t="e">
        <f t="shared" si="13"/>
        <v>#DIV/0!</v>
      </c>
      <c r="D17" s="114" t="e">
        <f t="shared" si="13"/>
        <v>#DIV/0!</v>
      </c>
      <c r="E17" s="114" t="e">
        <f t="shared" si="13"/>
        <v>#DIV/0!</v>
      </c>
      <c r="F17" s="33" t="e">
        <f t="shared" si="13"/>
        <v>#DIV/0!</v>
      </c>
      <c r="G17" s="114" t="e">
        <f t="shared" si="13"/>
        <v>#DIV/0!</v>
      </c>
      <c r="H17" s="114" t="e">
        <f t="shared" si="13"/>
        <v>#DIV/0!</v>
      </c>
      <c r="I17" s="114" t="e">
        <f t="shared" si="13"/>
        <v>#DIV/0!</v>
      </c>
      <c r="J17" s="114" t="e">
        <f t="shared" si="13"/>
        <v>#DIV/0!</v>
      </c>
      <c r="K17" s="33" t="e">
        <f t="shared" si="13"/>
        <v>#DIV/0!</v>
      </c>
      <c r="L17" s="114" t="e">
        <f t="shared" si="13"/>
        <v>#DIV/0!</v>
      </c>
      <c r="M17" s="114" t="e">
        <f t="shared" si="13"/>
        <v>#DIV/0!</v>
      </c>
      <c r="N17" s="114" t="e">
        <f t="shared" si="13"/>
        <v>#DIV/0!</v>
      </c>
      <c r="O17" s="114" t="e">
        <f t="shared" si="13"/>
        <v>#DIV/0!</v>
      </c>
      <c r="P17" s="33" t="e">
        <f t="shared" si="13"/>
        <v>#DIV/0!</v>
      </c>
      <c r="Q17" s="114" t="e">
        <f t="shared" si="13"/>
        <v>#DIV/0!</v>
      </c>
      <c r="R17" s="114" t="e">
        <f t="shared" si="13"/>
        <v>#DIV/0!</v>
      </c>
      <c r="S17" s="114" t="e">
        <f t="shared" si="13"/>
        <v>#DIV/0!</v>
      </c>
      <c r="T17" s="114" t="e">
        <f t="shared" si="13"/>
        <v>#DIV/0!</v>
      </c>
      <c r="U17" s="33" t="e">
        <f t="shared" si="13"/>
        <v>#DIV/0!</v>
      </c>
      <c r="V17" s="114" t="e">
        <f t="shared" si="13"/>
        <v>#DIV/0!</v>
      </c>
      <c r="W17" s="114" t="e">
        <f t="shared" si="13"/>
        <v>#DIV/0!</v>
      </c>
      <c r="X17" s="114" t="e">
        <f t="shared" si="13"/>
        <v>#DIV/0!</v>
      </c>
      <c r="Y17" s="114" t="e">
        <f t="shared" si="13"/>
        <v>#DIV/0!</v>
      </c>
      <c r="Z17" s="33" t="e">
        <f t="shared" si="13"/>
        <v>#DIV/0!</v>
      </c>
      <c r="AA17" s="114" t="e">
        <f t="shared" si="13"/>
        <v>#DIV/0!</v>
      </c>
      <c r="AB17" s="114" t="e">
        <f t="shared" si="13"/>
        <v>#DIV/0!</v>
      </c>
      <c r="AC17" s="114" t="e">
        <f t="shared" ref="AC17:AY17" si="14">AC8/AC$8</f>
        <v>#DIV/0!</v>
      </c>
      <c r="AD17" s="114" t="e">
        <f t="shared" si="14"/>
        <v>#DIV/0!</v>
      </c>
      <c r="AE17" s="33" t="e">
        <f t="shared" si="14"/>
        <v>#DIV/0!</v>
      </c>
      <c r="AF17" s="114" t="e">
        <f t="shared" si="14"/>
        <v>#DIV/0!</v>
      </c>
      <c r="AG17" s="114" t="e">
        <f t="shared" si="14"/>
        <v>#DIV/0!</v>
      </c>
      <c r="AH17" s="114" t="e">
        <f t="shared" si="14"/>
        <v>#DIV/0!</v>
      </c>
      <c r="AI17" s="114" t="e">
        <f t="shared" si="14"/>
        <v>#DIV/0!</v>
      </c>
      <c r="AJ17" s="33" t="e">
        <f t="shared" si="14"/>
        <v>#DIV/0!</v>
      </c>
      <c r="AK17" s="114" t="e">
        <f t="shared" si="14"/>
        <v>#DIV/0!</v>
      </c>
      <c r="AL17" s="114" t="e">
        <f t="shared" si="14"/>
        <v>#DIV/0!</v>
      </c>
      <c r="AM17" s="114" t="e">
        <f t="shared" si="14"/>
        <v>#DIV/0!</v>
      </c>
      <c r="AN17" s="114" t="e">
        <f t="shared" si="14"/>
        <v>#DIV/0!</v>
      </c>
      <c r="AO17" s="33" t="e">
        <f t="shared" si="14"/>
        <v>#DIV/0!</v>
      </c>
      <c r="AP17" s="114" t="e">
        <f t="shared" si="14"/>
        <v>#DIV/0!</v>
      </c>
      <c r="AQ17" s="114" t="e">
        <f t="shared" si="14"/>
        <v>#DIV/0!</v>
      </c>
      <c r="AR17" s="114" t="e">
        <f t="shared" si="14"/>
        <v>#DIV/0!</v>
      </c>
      <c r="AS17" s="114" t="e">
        <f t="shared" si="14"/>
        <v>#DIV/0!</v>
      </c>
      <c r="AT17" s="33" t="e">
        <f t="shared" si="14"/>
        <v>#DIV/0!</v>
      </c>
      <c r="AU17" s="114" t="e">
        <f t="shared" si="14"/>
        <v>#DIV/0!</v>
      </c>
      <c r="AV17" s="114" t="e">
        <f t="shared" si="14"/>
        <v>#DIV/0!</v>
      </c>
      <c r="AW17" s="114" t="e">
        <f t="shared" si="14"/>
        <v>#DIV/0!</v>
      </c>
      <c r="AX17" s="114" t="e">
        <f t="shared" si="14"/>
        <v>#DIV/0!</v>
      </c>
      <c r="AY17" s="114" t="e">
        <f t="shared" si="14"/>
        <v>#DIV/0!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D17"/>
  <sheetViews>
    <sheetView zoomScale="85" zoomScaleNormal="85" workbookViewId="0">
      <pane xSplit="6" ySplit="4" topLeftCell="G5" activePane="bottomRight" state="frozen"/>
      <selection/>
      <selection pane="topRight"/>
      <selection pane="bottomLeft"/>
      <selection pane="bottomRight" activeCell="I128" sqref="I128"/>
    </sheetView>
  </sheetViews>
  <sheetFormatPr defaultColWidth="9" defaultRowHeight="15.75"/>
  <cols>
    <col min="1" max="1" width="17.2035398230088" style="56" customWidth="1"/>
    <col min="2" max="5" width="17" style="1" customWidth="1" outlineLevel="1"/>
    <col min="6" max="6" width="16" style="1" customWidth="1"/>
    <col min="7" max="10" width="14.1327433628319" style="1" customWidth="1" outlineLevel="1"/>
    <col min="11" max="11" width="16.2654867256637" style="1" customWidth="1"/>
    <col min="12" max="15" width="15.2035398230088" style="1" customWidth="1" outlineLevel="3"/>
    <col min="16" max="16" width="15.2654867256637" style="1" customWidth="1" outlineLevel="2"/>
    <col min="17" max="20" width="15.2035398230088" style="1" customWidth="1" outlineLevel="3"/>
    <col min="21" max="21" width="15.2654867256637" style="1" customWidth="1" outlineLevel="2"/>
    <col min="22" max="25" width="15.2035398230088" style="1" customWidth="1" outlineLevel="2"/>
    <col min="26" max="26" width="14.070796460177" style="1" customWidth="1" outlineLevel="1"/>
    <col min="27" max="30" width="15.2035398230088" style="1" customWidth="1" outlineLevel="2"/>
    <col min="31" max="31" width="15.2035398230088" style="1" customWidth="1" outlineLevel="1"/>
    <col min="32" max="35" width="15.2035398230088" style="1" customWidth="1" outlineLevel="2"/>
    <col min="36" max="36" width="15.2035398230088" style="1" customWidth="1" outlineLevel="1"/>
    <col min="37" max="40" width="15.2035398230088" style="1" customWidth="1" outlineLevel="2"/>
    <col min="41" max="41" width="15.2035398230088" style="1" customWidth="1" outlineLevel="1"/>
    <col min="42" max="45" width="15.2035398230088" style="1" customWidth="1" outlineLevel="2"/>
    <col min="46" max="46" width="15.2035398230088" style="1" customWidth="1" outlineLevel="1"/>
    <col min="47" max="47" width="10.6017699115044" style="1" customWidth="1" outlineLevel="2"/>
    <col min="48" max="50" width="11.7345132743363" style="1" customWidth="1" outlineLevel="2"/>
    <col min="51" max="51" width="14" style="1" customWidth="1" outlineLevel="1"/>
    <col min="52" max="52" width="11.7964601769912" style="1" customWidth="1" outlineLevel="2"/>
    <col min="53" max="55" width="12.929203539823" style="1" customWidth="1" outlineLevel="2"/>
    <col min="56" max="56" width="16.7345132743363" style="1" customWidth="1" outlineLevel="1"/>
    <col min="58" max="16384" width="9" style="1"/>
  </cols>
  <sheetData>
    <row r="1" s="55" customFormat="1" ht="16.5" spans="1:56">
      <c r="A1" s="59" t="s">
        <v>383</v>
      </c>
      <c r="B1" s="117" t="s">
        <v>1</v>
      </c>
      <c r="C1" s="117"/>
      <c r="D1" s="117"/>
      <c r="E1" s="117"/>
      <c r="F1" s="118"/>
      <c r="G1" s="60" t="s">
        <v>2</v>
      </c>
      <c r="H1" s="60"/>
      <c r="I1" s="60"/>
      <c r="J1" s="60"/>
      <c r="K1" s="119"/>
      <c r="L1" s="61" t="s">
        <v>3</v>
      </c>
      <c r="M1" s="61"/>
      <c r="N1" s="61"/>
      <c r="O1" s="61"/>
      <c r="P1" s="120"/>
      <c r="Q1" s="61" t="s">
        <v>4</v>
      </c>
      <c r="R1" s="61"/>
      <c r="S1" s="61"/>
      <c r="T1" s="61"/>
      <c r="U1" s="120"/>
      <c r="V1" s="61" t="s">
        <v>5</v>
      </c>
      <c r="W1" s="61"/>
      <c r="X1" s="61"/>
      <c r="Y1" s="61"/>
      <c r="Z1" s="120"/>
      <c r="AA1" s="61" t="s">
        <v>6</v>
      </c>
      <c r="AB1" s="61"/>
      <c r="AC1" s="61"/>
      <c r="AD1" s="61"/>
      <c r="AE1" s="120"/>
      <c r="AF1" s="61" t="s">
        <v>7</v>
      </c>
      <c r="AG1" s="61"/>
      <c r="AH1" s="61"/>
      <c r="AI1" s="61"/>
      <c r="AJ1" s="120"/>
      <c r="AK1" s="61" t="s">
        <v>8</v>
      </c>
      <c r="AL1" s="61"/>
      <c r="AM1" s="61"/>
      <c r="AN1" s="61"/>
      <c r="AO1" s="120"/>
      <c r="AP1" s="61" t="s">
        <v>9</v>
      </c>
      <c r="AQ1" s="61"/>
      <c r="AR1" s="61"/>
      <c r="AS1" s="61"/>
      <c r="AT1" s="120"/>
      <c r="AU1" s="61" t="s">
        <v>10</v>
      </c>
      <c r="AV1" s="61"/>
      <c r="AW1" s="61"/>
      <c r="AX1" s="61"/>
      <c r="AY1" s="120"/>
      <c r="AZ1" s="61" t="s">
        <v>11</v>
      </c>
      <c r="BA1" s="61"/>
      <c r="BB1" s="61"/>
      <c r="BC1" s="61"/>
      <c r="BD1" s="61"/>
    </row>
    <row r="2" s="55" customFormat="1" ht="16.5" spans="1:56">
      <c r="A2" s="121" t="s">
        <v>18</v>
      </c>
      <c r="B2" s="122" t="s">
        <v>20</v>
      </c>
      <c r="C2" s="122" t="s">
        <v>21</v>
      </c>
      <c r="D2" s="122">
        <v>45717</v>
      </c>
      <c r="E2" s="122">
        <v>45748</v>
      </c>
      <c r="F2" s="123" t="s">
        <v>384</v>
      </c>
      <c r="G2" s="124" t="s">
        <v>20</v>
      </c>
      <c r="H2" s="124" t="s">
        <v>21</v>
      </c>
      <c r="I2" s="124">
        <v>45717</v>
      </c>
      <c r="J2" s="124">
        <v>45748</v>
      </c>
      <c r="K2" s="125" t="s">
        <v>384</v>
      </c>
      <c r="L2" s="67" t="s">
        <v>20</v>
      </c>
      <c r="M2" s="67" t="s">
        <v>21</v>
      </c>
      <c r="N2" s="67">
        <v>45717</v>
      </c>
      <c r="O2" s="67">
        <v>45748</v>
      </c>
      <c r="P2" s="126" t="s">
        <v>384</v>
      </c>
      <c r="Q2" s="67" t="s">
        <v>20</v>
      </c>
      <c r="R2" s="67" t="s">
        <v>21</v>
      </c>
      <c r="S2" s="67">
        <v>45717</v>
      </c>
      <c r="T2" s="67">
        <v>45748</v>
      </c>
      <c r="U2" s="126" t="s">
        <v>384</v>
      </c>
      <c r="V2" s="67" t="s">
        <v>20</v>
      </c>
      <c r="W2" s="67" t="s">
        <v>21</v>
      </c>
      <c r="X2" s="67">
        <v>45717</v>
      </c>
      <c r="Y2" s="67">
        <v>45748</v>
      </c>
      <c r="Z2" s="126" t="s">
        <v>384</v>
      </c>
      <c r="AA2" s="67" t="s">
        <v>20</v>
      </c>
      <c r="AB2" s="67" t="s">
        <v>21</v>
      </c>
      <c r="AC2" s="67">
        <v>45717</v>
      </c>
      <c r="AD2" s="67">
        <v>45748</v>
      </c>
      <c r="AE2" s="126" t="s">
        <v>384</v>
      </c>
      <c r="AF2" s="67" t="s">
        <v>20</v>
      </c>
      <c r="AG2" s="67" t="s">
        <v>21</v>
      </c>
      <c r="AH2" s="67">
        <v>45717</v>
      </c>
      <c r="AI2" s="67">
        <v>45748</v>
      </c>
      <c r="AJ2" s="126" t="s">
        <v>384</v>
      </c>
      <c r="AK2" s="67" t="s">
        <v>20</v>
      </c>
      <c r="AL2" s="67" t="s">
        <v>21</v>
      </c>
      <c r="AM2" s="67">
        <v>45717</v>
      </c>
      <c r="AN2" s="67">
        <v>45748</v>
      </c>
      <c r="AO2" s="126" t="s">
        <v>384</v>
      </c>
      <c r="AP2" s="67" t="s">
        <v>20</v>
      </c>
      <c r="AQ2" s="67" t="s">
        <v>21</v>
      </c>
      <c r="AR2" s="67">
        <v>45717</v>
      </c>
      <c r="AS2" s="67">
        <v>45748</v>
      </c>
      <c r="AT2" s="126" t="s">
        <v>384</v>
      </c>
      <c r="AU2" s="67" t="s">
        <v>20</v>
      </c>
      <c r="AV2" s="67" t="s">
        <v>21</v>
      </c>
      <c r="AW2" s="67">
        <v>45717</v>
      </c>
      <c r="AX2" s="67">
        <v>45748</v>
      </c>
      <c r="AY2" s="126" t="s">
        <v>384</v>
      </c>
      <c r="AZ2" s="67" t="s">
        <v>20</v>
      </c>
      <c r="BA2" s="67" t="s">
        <v>21</v>
      </c>
      <c r="BB2" s="67">
        <v>45717</v>
      </c>
      <c r="BC2" s="67">
        <v>45748</v>
      </c>
      <c r="BD2" s="127" t="s">
        <v>384</v>
      </c>
    </row>
    <row r="3" spans="1:56">
      <c r="A3" s="128" t="s">
        <v>388</v>
      </c>
      <c r="B3" s="129"/>
      <c r="C3" s="129"/>
      <c r="D3" s="129"/>
      <c r="E3" s="129"/>
      <c r="F3" s="130" t="e">
        <f t="shared" ref="F3:F8" si="0">AVERAGE(B3:E3)</f>
        <v>#DIV/0!</v>
      </c>
      <c r="G3" s="129"/>
      <c r="H3" s="129"/>
      <c r="I3" s="129"/>
      <c r="J3" s="129"/>
      <c r="K3" s="130" t="e">
        <f t="shared" ref="K3:K8" si="1">AVERAGE(G3:J3)</f>
        <v>#DIV/0!</v>
      </c>
      <c r="L3" s="129" t="e">
        <f>COUNTIFS(#REF!,'泡泡国际IP分级统计-SKU维度 宽度'!$A3,#REF!,'泡泡国际IP分级统计-SKU维度 宽度'!L$2,#REF!,'泡泡国际IP分级统计-SKU维度 宽度'!$L$1)</f>
        <v>#REF!</v>
      </c>
      <c r="M3" s="129" t="e">
        <f>COUNTIFS(#REF!,'泡泡国际IP分级统计-SKU维度 宽度'!$A3,#REF!,'泡泡国际IP分级统计-SKU维度 宽度'!M$2,#REF!,'泡泡国际IP分级统计-SKU维度 宽度'!$L$1)</f>
        <v>#REF!</v>
      </c>
      <c r="N3" s="129" t="e">
        <f>COUNTIFS(#REF!,'泡泡国际IP分级统计-SKU维度 宽度'!$A3,#REF!,'泡泡国际IP分级统计-SKU维度 宽度'!N$2,#REF!,'泡泡国际IP分级统计-SKU维度 宽度'!$L$1)</f>
        <v>#REF!</v>
      </c>
      <c r="O3" s="129" t="e">
        <f>COUNTIFS(#REF!,'泡泡国际IP分级统计-SKU维度 宽度'!$A3,#REF!,'泡泡国际IP分级统计-SKU维度 宽度'!O$2,#REF!,'泡泡国际IP分级统计-SKU维度 宽度'!$L$1)</f>
        <v>#REF!</v>
      </c>
      <c r="P3" s="130" t="e">
        <f t="shared" ref="P3:P8" si="2">AVERAGE(L3:O3)</f>
        <v>#REF!</v>
      </c>
      <c r="Q3" s="129" t="e">
        <f>COUNTIFS(#REF!,'泡泡国际IP分级统计-SKU维度 宽度'!$A3,#REF!,'泡泡国际IP分级统计-SKU维度 宽度'!Q$2,#REF!,'泡泡国际IP分级统计-SKU维度 宽度'!$Q$1)</f>
        <v>#REF!</v>
      </c>
      <c r="R3" s="129" t="e">
        <f>COUNTIFS(#REF!,'泡泡国际IP分级统计-SKU维度 宽度'!$A3,#REF!,'泡泡国际IP分级统计-SKU维度 宽度'!R$2,#REF!,'泡泡国际IP分级统计-SKU维度 宽度'!$Q$1)</f>
        <v>#REF!</v>
      </c>
      <c r="S3" s="129" t="e">
        <f>COUNTIFS(#REF!,'泡泡国际IP分级统计-SKU维度 宽度'!$A3,#REF!,'泡泡国际IP分级统计-SKU维度 宽度'!S$2,#REF!,'泡泡国际IP分级统计-SKU维度 宽度'!$Q$1)</f>
        <v>#REF!</v>
      </c>
      <c r="T3" s="129" t="e">
        <f>COUNTIFS(#REF!,'泡泡国际IP分级统计-SKU维度 宽度'!$A3,#REF!,'泡泡国际IP分级统计-SKU维度 宽度'!T$2,#REF!,'泡泡国际IP分级统计-SKU维度 宽度'!$Q$1)</f>
        <v>#REF!</v>
      </c>
      <c r="U3" s="130" t="e">
        <f t="shared" ref="U3:U8" si="3">AVERAGE(Q3:T3)</f>
        <v>#REF!</v>
      </c>
      <c r="V3" s="129" t="e">
        <f>COUNTIFS(#REF!,'泡泡国际IP分级统计-SKU维度 宽度'!$A3,#REF!,'泡泡国际IP分级统计-SKU维度 宽度'!V$2,#REF!,'泡泡国际IP分级统计-SKU维度 宽度'!$V$1)</f>
        <v>#REF!</v>
      </c>
      <c r="W3" s="129" t="e">
        <f>COUNTIFS(#REF!,'泡泡国际IP分级统计-SKU维度 宽度'!$A3,#REF!,'泡泡国际IP分级统计-SKU维度 宽度'!W$2,#REF!,'泡泡国际IP分级统计-SKU维度 宽度'!$V$1)</f>
        <v>#REF!</v>
      </c>
      <c r="X3" s="129" t="e">
        <f>COUNTIFS(#REF!,'泡泡国际IP分级统计-SKU维度 宽度'!$A3,#REF!,'泡泡国际IP分级统计-SKU维度 宽度'!X$2,#REF!,'泡泡国际IP分级统计-SKU维度 宽度'!$V$1)</f>
        <v>#REF!</v>
      </c>
      <c r="Y3" s="129" t="e">
        <f>COUNTIFS(#REF!,'泡泡国际IP分级统计-SKU维度 宽度'!$A3,#REF!,'泡泡国际IP分级统计-SKU维度 宽度'!Y$2,#REF!,'泡泡国际IP分级统计-SKU维度 宽度'!$V$1)</f>
        <v>#REF!</v>
      </c>
      <c r="Z3" s="130" t="e">
        <f t="shared" ref="Z3:Z8" si="4">AVERAGE(V3:Y3)</f>
        <v>#REF!</v>
      </c>
      <c r="AA3" s="129" t="e">
        <f>COUNTIFS(#REF!,'泡泡国际IP分级统计-SKU维度 宽度'!$A3,#REF!,'泡泡国际IP分级统计-SKU维度 宽度'!AA$2,#REF!,'泡泡国际IP分级统计-SKU维度 宽度'!$AA$1)</f>
        <v>#REF!</v>
      </c>
      <c r="AB3" s="129" t="e">
        <f>COUNTIFS(#REF!,'泡泡国际IP分级统计-SKU维度 宽度'!$A3,#REF!,'泡泡国际IP分级统计-SKU维度 宽度'!AB$2,#REF!,'泡泡国际IP分级统计-SKU维度 宽度'!$AA$1)</f>
        <v>#REF!</v>
      </c>
      <c r="AC3" s="129" t="e">
        <f>COUNTIFS(#REF!,'泡泡国际IP分级统计-SKU维度 宽度'!$A3,#REF!,'泡泡国际IP分级统计-SKU维度 宽度'!AC$2,#REF!,'泡泡国际IP分级统计-SKU维度 宽度'!$AA$1)</f>
        <v>#REF!</v>
      </c>
      <c r="AD3" s="129" t="e">
        <f>COUNTIFS(#REF!,'泡泡国际IP分级统计-SKU维度 宽度'!$A3,#REF!,'泡泡国际IP分级统计-SKU维度 宽度'!AD$2,#REF!,'泡泡国际IP分级统计-SKU维度 宽度'!$AA$1)</f>
        <v>#REF!</v>
      </c>
      <c r="AE3" s="130" t="e">
        <f t="shared" ref="AE3:AE8" si="5">AVERAGE(AA3:AD3)</f>
        <v>#REF!</v>
      </c>
      <c r="AF3" s="129" t="e">
        <f>COUNTIFS(#REF!,'泡泡国际IP分级统计-SKU维度 宽度'!$A3,#REF!,'泡泡国际IP分级统计-SKU维度 宽度'!AF$2,#REF!,'泡泡国际IP分级统计-SKU维度 宽度'!$AF$1)</f>
        <v>#REF!</v>
      </c>
      <c r="AG3" s="129" t="e">
        <f>COUNTIFS(#REF!,'泡泡国际IP分级统计-SKU维度 宽度'!$A3,#REF!,'泡泡国际IP分级统计-SKU维度 宽度'!AG$2,#REF!,'泡泡国际IP分级统计-SKU维度 宽度'!$AF$1)</f>
        <v>#REF!</v>
      </c>
      <c r="AH3" s="129" t="e">
        <f>COUNTIFS(#REF!,'泡泡国际IP分级统计-SKU维度 宽度'!$A3,#REF!,'泡泡国际IP分级统计-SKU维度 宽度'!AH$2,#REF!,'泡泡国际IP分级统计-SKU维度 宽度'!$AF$1)</f>
        <v>#REF!</v>
      </c>
      <c r="AI3" s="129" t="e">
        <f>COUNTIFS(#REF!,'泡泡国际IP分级统计-SKU维度 宽度'!$A3,#REF!,'泡泡国际IP分级统计-SKU维度 宽度'!AI$2,#REF!,'泡泡国际IP分级统计-SKU维度 宽度'!$AF$1)</f>
        <v>#REF!</v>
      </c>
      <c r="AJ3" s="130" t="e">
        <f t="shared" ref="AJ3:AJ8" si="6">AVERAGE(AF3:AI3)</f>
        <v>#REF!</v>
      </c>
      <c r="AK3" s="129" t="e">
        <f>COUNTIFS(#REF!,'泡泡国际IP分级统计-SKU维度 宽度'!$A3,#REF!,'泡泡国际IP分级统计-SKU维度 宽度'!AK$2,#REF!,'泡泡国际IP分级统计-SKU维度 宽度'!$AK$1)</f>
        <v>#REF!</v>
      </c>
      <c r="AL3" s="129" t="e">
        <f>COUNTIFS(#REF!,'泡泡国际IP分级统计-SKU维度 宽度'!$A3,#REF!,'泡泡国际IP分级统计-SKU维度 宽度'!AL$2,#REF!,'泡泡国际IP分级统计-SKU维度 宽度'!$AK$1)</f>
        <v>#REF!</v>
      </c>
      <c r="AM3" s="129" t="e">
        <f>COUNTIFS(#REF!,'泡泡国际IP分级统计-SKU维度 宽度'!$A3,#REF!,'泡泡国际IP分级统计-SKU维度 宽度'!AM$2,#REF!,'泡泡国际IP分级统计-SKU维度 宽度'!$AK$1)</f>
        <v>#REF!</v>
      </c>
      <c r="AN3" s="129" t="e">
        <f>COUNTIFS(#REF!,'泡泡国际IP分级统计-SKU维度 宽度'!$A3,#REF!,'泡泡国际IP分级统计-SKU维度 宽度'!AN$2,#REF!,'泡泡国际IP分级统计-SKU维度 宽度'!$AK$1)</f>
        <v>#REF!</v>
      </c>
      <c r="AO3" s="130" t="e">
        <f t="shared" ref="AO3:AO8" si="7">AVERAGE(AK3:AN3)</f>
        <v>#REF!</v>
      </c>
      <c r="AP3" s="129" t="e">
        <f>COUNTIFS(#REF!,'泡泡国际IP分级统计-SKU维度 宽度'!$A3,#REF!,'泡泡国际IP分级统计-SKU维度 宽度'!AP$2,#REF!,'泡泡国际IP分级统计-SKU维度 宽度'!$AP$1)</f>
        <v>#REF!</v>
      </c>
      <c r="AQ3" s="129" t="e">
        <f>COUNTIFS(#REF!,'泡泡国际IP分级统计-SKU维度 宽度'!$A3,#REF!,'泡泡国际IP分级统计-SKU维度 宽度'!AQ$2,#REF!,'泡泡国际IP分级统计-SKU维度 宽度'!$AP$1)</f>
        <v>#REF!</v>
      </c>
      <c r="AR3" s="129" t="e">
        <f>COUNTIFS(#REF!,'泡泡国际IP分级统计-SKU维度 宽度'!$A3,#REF!,'泡泡国际IP分级统计-SKU维度 宽度'!AR$2,#REF!,'泡泡国际IP分级统计-SKU维度 宽度'!$AP$1)</f>
        <v>#REF!</v>
      </c>
      <c r="AS3" s="129" t="e">
        <f>COUNTIFS(#REF!,'泡泡国际IP分级统计-SKU维度 宽度'!$A3,#REF!,'泡泡国际IP分级统计-SKU维度 宽度'!AS$2,#REF!,'泡泡国际IP分级统计-SKU维度 宽度'!$AP$1)</f>
        <v>#REF!</v>
      </c>
      <c r="AT3" s="130" t="e">
        <f t="shared" ref="AT3:AT8" si="8">AVERAGE(AP3:AS3)</f>
        <v>#REF!</v>
      </c>
      <c r="AU3" s="129" t="e">
        <f>COUNTIFS(#REF!,'泡泡国际IP分级统计-SKU维度 宽度'!$A3,#REF!,'泡泡国际IP分级统计-SKU维度 宽度'!AU$2,#REF!,'泡泡国际IP分级统计-SKU维度 宽度'!$AU$1)</f>
        <v>#REF!</v>
      </c>
      <c r="AV3" s="129" t="e">
        <f>COUNTIFS(#REF!,'泡泡国际IP分级统计-SKU维度 宽度'!$A3,#REF!,'泡泡国际IP分级统计-SKU维度 宽度'!AV$2,#REF!,'泡泡国际IP分级统计-SKU维度 宽度'!$AU$1)</f>
        <v>#REF!</v>
      </c>
      <c r="AW3" s="129" t="e">
        <f>COUNTIFS(#REF!,'泡泡国际IP分级统计-SKU维度 宽度'!$A3,#REF!,'泡泡国际IP分级统计-SKU维度 宽度'!AW$2,#REF!,'泡泡国际IP分级统计-SKU维度 宽度'!$AU$1)</f>
        <v>#REF!</v>
      </c>
      <c r="AX3" s="129" t="e">
        <f>COUNTIFS(#REF!,'泡泡国际IP分级统计-SKU维度 宽度'!$A3,#REF!,'泡泡国际IP分级统计-SKU维度 宽度'!AX$2,#REF!,'泡泡国际IP分级统计-SKU维度 宽度'!$AU$1)</f>
        <v>#REF!</v>
      </c>
      <c r="AY3" s="130" t="e">
        <f t="shared" ref="AY3:AY8" si="9">AVERAGE(AU3:AX3)</f>
        <v>#REF!</v>
      </c>
      <c r="AZ3" s="129" t="e">
        <f>COUNTIFS(#REF!,'泡泡国际IP分级统计-SKU维度 宽度'!$A3,#REF!,'泡泡国际IP分级统计-SKU维度 宽度'!AZ$2,#REF!,'泡泡国际IP分级统计-SKU维度 宽度'!$AZ$1)</f>
        <v>#REF!</v>
      </c>
      <c r="BA3" s="129" t="e">
        <f>COUNTIFS(#REF!,'泡泡国际IP分级统计-SKU维度 宽度'!$A3,#REF!,'泡泡国际IP分级统计-SKU维度 宽度'!BA$2,#REF!,'泡泡国际IP分级统计-SKU维度 宽度'!$AZ$1)</f>
        <v>#REF!</v>
      </c>
      <c r="BB3" s="129" t="e">
        <f>COUNTIFS(#REF!,'泡泡国际IP分级统计-SKU维度 宽度'!$A3,#REF!,'泡泡国际IP分级统计-SKU维度 宽度'!BB$2,#REF!,'泡泡国际IP分级统计-SKU维度 宽度'!$AZ$1)</f>
        <v>#REF!</v>
      </c>
      <c r="BC3" s="129" t="e">
        <f>COUNTIFS(#REF!,'泡泡国际IP分级统计-SKU维度 宽度'!$A3,#REF!,'泡泡国际IP分级统计-SKU维度 宽度'!BC$2,#REF!,'泡泡国际IP分级统计-SKU维度 宽度'!$AZ$1)</f>
        <v>#REF!</v>
      </c>
      <c r="BD3" s="78" t="e">
        <f t="shared" ref="BD3:BD8" si="10">AVERAGE(AZ3:BC3)</f>
        <v>#REF!</v>
      </c>
    </row>
    <row r="4" spans="1:56">
      <c r="A4" s="128" t="s">
        <v>389</v>
      </c>
      <c r="B4" s="129"/>
      <c r="C4" s="129"/>
      <c r="D4" s="129"/>
      <c r="E4" s="129"/>
      <c r="F4" s="130" t="e">
        <f t="shared" si="0"/>
        <v>#DIV/0!</v>
      </c>
      <c r="G4" s="129"/>
      <c r="H4" s="129"/>
      <c r="I4" s="129"/>
      <c r="J4" s="129"/>
      <c r="K4" s="130" t="e">
        <f t="shared" si="1"/>
        <v>#DIV/0!</v>
      </c>
      <c r="L4" s="129" t="e">
        <f>COUNTIFS(#REF!,'泡泡国际IP分级统计-SKU维度 宽度'!$A4,#REF!,'泡泡国际IP分级统计-SKU维度 宽度'!L$2,#REF!,'泡泡国际IP分级统计-SKU维度 宽度'!$L$1)</f>
        <v>#REF!</v>
      </c>
      <c r="M4" s="129" t="e">
        <f>COUNTIFS(#REF!,'泡泡国际IP分级统计-SKU维度 宽度'!$A4,#REF!,'泡泡国际IP分级统计-SKU维度 宽度'!M$2,#REF!,'泡泡国际IP分级统计-SKU维度 宽度'!$L$1)</f>
        <v>#REF!</v>
      </c>
      <c r="N4" s="129" t="e">
        <f>COUNTIFS(#REF!,'泡泡国际IP分级统计-SKU维度 宽度'!$A4,#REF!,'泡泡国际IP分级统计-SKU维度 宽度'!N$2,#REF!,'泡泡国际IP分级统计-SKU维度 宽度'!$L$1)</f>
        <v>#REF!</v>
      </c>
      <c r="O4" s="129" t="e">
        <f>COUNTIFS(#REF!,'泡泡国际IP分级统计-SKU维度 宽度'!$A4,#REF!,'泡泡国际IP分级统计-SKU维度 宽度'!O$2,#REF!,'泡泡国际IP分级统计-SKU维度 宽度'!$L$1)</f>
        <v>#REF!</v>
      </c>
      <c r="P4" s="130" t="e">
        <f t="shared" si="2"/>
        <v>#REF!</v>
      </c>
      <c r="Q4" s="129" t="e">
        <f>COUNTIFS(#REF!,'泡泡国际IP分级统计-SKU维度 宽度'!$A4,#REF!,'泡泡国际IP分级统计-SKU维度 宽度'!Q$2,#REF!,'泡泡国际IP分级统计-SKU维度 宽度'!$Q$1)</f>
        <v>#REF!</v>
      </c>
      <c r="R4" s="129" t="e">
        <f>COUNTIFS(#REF!,'泡泡国际IP分级统计-SKU维度 宽度'!$A4,#REF!,'泡泡国际IP分级统计-SKU维度 宽度'!R$2,#REF!,'泡泡国际IP分级统计-SKU维度 宽度'!$Q$1)</f>
        <v>#REF!</v>
      </c>
      <c r="S4" s="129" t="e">
        <f>COUNTIFS(#REF!,'泡泡国际IP分级统计-SKU维度 宽度'!$A4,#REF!,'泡泡国际IP分级统计-SKU维度 宽度'!S$2,#REF!,'泡泡国际IP分级统计-SKU维度 宽度'!$Q$1)</f>
        <v>#REF!</v>
      </c>
      <c r="T4" s="129" t="e">
        <f>COUNTIFS(#REF!,'泡泡国际IP分级统计-SKU维度 宽度'!$A4,#REF!,'泡泡国际IP分级统计-SKU维度 宽度'!T$2,#REF!,'泡泡国际IP分级统计-SKU维度 宽度'!$Q$1)</f>
        <v>#REF!</v>
      </c>
      <c r="U4" s="130" t="e">
        <f t="shared" si="3"/>
        <v>#REF!</v>
      </c>
      <c r="V4" s="129" t="e">
        <f>COUNTIFS(#REF!,'泡泡国际IP分级统计-SKU维度 宽度'!$A4,#REF!,'泡泡国际IP分级统计-SKU维度 宽度'!V$2,#REF!,'泡泡国际IP分级统计-SKU维度 宽度'!$V$1)</f>
        <v>#REF!</v>
      </c>
      <c r="W4" s="129" t="e">
        <f>COUNTIFS(#REF!,'泡泡国际IP分级统计-SKU维度 宽度'!$A4,#REF!,'泡泡国际IP分级统计-SKU维度 宽度'!W$2,#REF!,'泡泡国际IP分级统计-SKU维度 宽度'!$V$1)</f>
        <v>#REF!</v>
      </c>
      <c r="X4" s="129" t="e">
        <f>COUNTIFS(#REF!,'泡泡国际IP分级统计-SKU维度 宽度'!$A4,#REF!,'泡泡国际IP分级统计-SKU维度 宽度'!X$2,#REF!,'泡泡国际IP分级统计-SKU维度 宽度'!$V$1)</f>
        <v>#REF!</v>
      </c>
      <c r="Y4" s="129" t="e">
        <f>COUNTIFS(#REF!,'泡泡国际IP分级统计-SKU维度 宽度'!$A4,#REF!,'泡泡国际IP分级统计-SKU维度 宽度'!Y$2,#REF!,'泡泡国际IP分级统计-SKU维度 宽度'!$V$1)</f>
        <v>#REF!</v>
      </c>
      <c r="Z4" s="130" t="e">
        <f t="shared" si="4"/>
        <v>#REF!</v>
      </c>
      <c r="AA4" s="129" t="e">
        <f>COUNTIFS(#REF!,'泡泡国际IP分级统计-SKU维度 宽度'!$A4,#REF!,'泡泡国际IP分级统计-SKU维度 宽度'!AA$2,#REF!,'泡泡国际IP分级统计-SKU维度 宽度'!$AA$1)</f>
        <v>#REF!</v>
      </c>
      <c r="AB4" s="129" t="e">
        <f>COUNTIFS(#REF!,'泡泡国际IP分级统计-SKU维度 宽度'!$A4,#REF!,'泡泡国际IP分级统计-SKU维度 宽度'!AB$2,#REF!,'泡泡国际IP分级统计-SKU维度 宽度'!$AA$1)</f>
        <v>#REF!</v>
      </c>
      <c r="AC4" s="129" t="e">
        <f>COUNTIFS(#REF!,'泡泡国际IP分级统计-SKU维度 宽度'!$A4,#REF!,'泡泡国际IP分级统计-SKU维度 宽度'!AC$2,#REF!,'泡泡国际IP分级统计-SKU维度 宽度'!$AA$1)</f>
        <v>#REF!</v>
      </c>
      <c r="AD4" s="129" t="e">
        <f>COUNTIFS(#REF!,'泡泡国际IP分级统计-SKU维度 宽度'!$A4,#REF!,'泡泡国际IP分级统计-SKU维度 宽度'!AD$2,#REF!,'泡泡国际IP分级统计-SKU维度 宽度'!$AA$1)</f>
        <v>#REF!</v>
      </c>
      <c r="AE4" s="130" t="e">
        <f t="shared" si="5"/>
        <v>#REF!</v>
      </c>
      <c r="AF4" s="129" t="e">
        <f>COUNTIFS(#REF!,'泡泡国际IP分级统计-SKU维度 宽度'!$A4,#REF!,'泡泡国际IP分级统计-SKU维度 宽度'!AF$2,#REF!,'泡泡国际IP分级统计-SKU维度 宽度'!$AF$1)</f>
        <v>#REF!</v>
      </c>
      <c r="AG4" s="129" t="e">
        <f>COUNTIFS(#REF!,'泡泡国际IP分级统计-SKU维度 宽度'!$A4,#REF!,'泡泡国际IP分级统计-SKU维度 宽度'!AG$2,#REF!,'泡泡国际IP分级统计-SKU维度 宽度'!$AF$1)</f>
        <v>#REF!</v>
      </c>
      <c r="AH4" s="129" t="e">
        <f>COUNTIFS(#REF!,'泡泡国际IP分级统计-SKU维度 宽度'!$A4,#REF!,'泡泡国际IP分级统计-SKU维度 宽度'!AH$2,#REF!,'泡泡国际IP分级统计-SKU维度 宽度'!$AF$1)</f>
        <v>#REF!</v>
      </c>
      <c r="AI4" s="129" t="e">
        <f>COUNTIFS(#REF!,'泡泡国际IP分级统计-SKU维度 宽度'!$A4,#REF!,'泡泡国际IP分级统计-SKU维度 宽度'!AI$2,#REF!,'泡泡国际IP分级统计-SKU维度 宽度'!$AF$1)</f>
        <v>#REF!</v>
      </c>
      <c r="AJ4" s="130" t="e">
        <f t="shared" si="6"/>
        <v>#REF!</v>
      </c>
      <c r="AK4" s="129" t="e">
        <f>COUNTIFS(#REF!,'泡泡国际IP分级统计-SKU维度 宽度'!$A4,#REF!,'泡泡国际IP分级统计-SKU维度 宽度'!AK$2,#REF!,'泡泡国际IP分级统计-SKU维度 宽度'!$AK$1)</f>
        <v>#REF!</v>
      </c>
      <c r="AL4" s="129" t="e">
        <f>COUNTIFS(#REF!,'泡泡国际IP分级统计-SKU维度 宽度'!$A4,#REF!,'泡泡国际IP分级统计-SKU维度 宽度'!AL$2,#REF!,'泡泡国际IP分级统计-SKU维度 宽度'!$AK$1)</f>
        <v>#REF!</v>
      </c>
      <c r="AM4" s="129" t="e">
        <f>COUNTIFS(#REF!,'泡泡国际IP分级统计-SKU维度 宽度'!$A4,#REF!,'泡泡国际IP分级统计-SKU维度 宽度'!AM$2,#REF!,'泡泡国际IP分级统计-SKU维度 宽度'!$AK$1)</f>
        <v>#REF!</v>
      </c>
      <c r="AN4" s="129" t="e">
        <f>COUNTIFS(#REF!,'泡泡国际IP分级统计-SKU维度 宽度'!$A4,#REF!,'泡泡国际IP分级统计-SKU维度 宽度'!AN$2,#REF!,'泡泡国际IP分级统计-SKU维度 宽度'!$AK$1)</f>
        <v>#REF!</v>
      </c>
      <c r="AO4" s="130" t="e">
        <f t="shared" si="7"/>
        <v>#REF!</v>
      </c>
      <c r="AP4" s="129" t="e">
        <f>COUNTIFS(#REF!,'泡泡国际IP分级统计-SKU维度 宽度'!$A4,#REF!,'泡泡国际IP分级统计-SKU维度 宽度'!AP$2,#REF!,'泡泡国际IP分级统计-SKU维度 宽度'!$AP$1)</f>
        <v>#REF!</v>
      </c>
      <c r="AQ4" s="129" t="e">
        <f>COUNTIFS(#REF!,'泡泡国际IP分级统计-SKU维度 宽度'!$A4,#REF!,'泡泡国际IP分级统计-SKU维度 宽度'!AQ$2,#REF!,'泡泡国际IP分级统计-SKU维度 宽度'!$AP$1)</f>
        <v>#REF!</v>
      </c>
      <c r="AR4" s="129" t="e">
        <f>COUNTIFS(#REF!,'泡泡国际IP分级统计-SKU维度 宽度'!$A4,#REF!,'泡泡国际IP分级统计-SKU维度 宽度'!AR$2,#REF!,'泡泡国际IP分级统计-SKU维度 宽度'!$AP$1)</f>
        <v>#REF!</v>
      </c>
      <c r="AS4" s="129" t="e">
        <f>COUNTIFS(#REF!,'泡泡国际IP分级统计-SKU维度 宽度'!$A4,#REF!,'泡泡国际IP分级统计-SKU维度 宽度'!AS$2,#REF!,'泡泡国际IP分级统计-SKU维度 宽度'!$AP$1)</f>
        <v>#REF!</v>
      </c>
      <c r="AT4" s="130" t="e">
        <f t="shared" si="8"/>
        <v>#REF!</v>
      </c>
      <c r="AU4" s="129" t="e">
        <f>COUNTIFS(#REF!,'泡泡国际IP分级统计-SKU维度 宽度'!$A4,#REF!,'泡泡国际IP分级统计-SKU维度 宽度'!AU$2,#REF!,'泡泡国际IP分级统计-SKU维度 宽度'!$AU$1)</f>
        <v>#REF!</v>
      </c>
      <c r="AV4" s="129" t="e">
        <f>COUNTIFS(#REF!,'泡泡国际IP分级统计-SKU维度 宽度'!$A4,#REF!,'泡泡国际IP分级统计-SKU维度 宽度'!AV$2,#REF!,'泡泡国际IP分级统计-SKU维度 宽度'!$AU$1)</f>
        <v>#REF!</v>
      </c>
      <c r="AW4" s="129" t="e">
        <f>COUNTIFS(#REF!,'泡泡国际IP分级统计-SKU维度 宽度'!$A4,#REF!,'泡泡国际IP分级统计-SKU维度 宽度'!AW$2,#REF!,'泡泡国际IP分级统计-SKU维度 宽度'!$AU$1)</f>
        <v>#REF!</v>
      </c>
      <c r="AX4" s="129" t="e">
        <f>COUNTIFS(#REF!,'泡泡国际IP分级统计-SKU维度 宽度'!$A4,#REF!,'泡泡国际IP分级统计-SKU维度 宽度'!AX$2,#REF!,'泡泡国际IP分级统计-SKU维度 宽度'!$AU$1)</f>
        <v>#REF!</v>
      </c>
      <c r="AY4" s="130" t="e">
        <f t="shared" si="9"/>
        <v>#REF!</v>
      </c>
      <c r="AZ4" s="129" t="e">
        <f>COUNTIFS(#REF!,'泡泡国际IP分级统计-SKU维度 宽度'!$A4,#REF!,'泡泡国际IP分级统计-SKU维度 宽度'!AZ$2,#REF!,'泡泡国际IP分级统计-SKU维度 宽度'!$AZ$1)</f>
        <v>#REF!</v>
      </c>
      <c r="BA4" s="129" t="e">
        <f>COUNTIFS(#REF!,'泡泡国际IP分级统计-SKU维度 宽度'!$A4,#REF!,'泡泡国际IP分级统计-SKU维度 宽度'!BA$2,#REF!,'泡泡国际IP分级统计-SKU维度 宽度'!$AZ$1)</f>
        <v>#REF!</v>
      </c>
      <c r="BB4" s="129" t="e">
        <f>COUNTIFS(#REF!,'泡泡国际IP分级统计-SKU维度 宽度'!$A4,#REF!,'泡泡国际IP分级统计-SKU维度 宽度'!BB$2,#REF!,'泡泡国际IP分级统计-SKU维度 宽度'!$AZ$1)</f>
        <v>#REF!</v>
      </c>
      <c r="BC4" s="129" t="e">
        <f>COUNTIFS(#REF!,'泡泡国际IP分级统计-SKU维度 宽度'!$A4,#REF!,'泡泡国际IP分级统计-SKU维度 宽度'!BC$2,#REF!,'泡泡国际IP分级统计-SKU维度 宽度'!$AZ$1)</f>
        <v>#REF!</v>
      </c>
      <c r="BD4" s="78" t="e">
        <f t="shared" si="10"/>
        <v>#REF!</v>
      </c>
    </row>
    <row r="5" spans="1:56">
      <c r="A5" s="128" t="s">
        <v>390</v>
      </c>
      <c r="B5" s="129"/>
      <c r="C5" s="129"/>
      <c r="D5" s="129"/>
      <c r="E5" s="129"/>
      <c r="F5" s="130" t="e">
        <f t="shared" si="0"/>
        <v>#DIV/0!</v>
      </c>
      <c r="G5" s="129"/>
      <c r="H5" s="129"/>
      <c r="I5" s="129"/>
      <c r="J5" s="129"/>
      <c r="K5" s="130" t="e">
        <f t="shared" si="1"/>
        <v>#DIV/0!</v>
      </c>
      <c r="L5" s="129" t="e">
        <f>COUNTIFS(#REF!,'泡泡国际IP分级统计-SKU维度 宽度'!$A5,#REF!,'泡泡国际IP分级统计-SKU维度 宽度'!L$2,#REF!,'泡泡国际IP分级统计-SKU维度 宽度'!$L$1)</f>
        <v>#REF!</v>
      </c>
      <c r="M5" s="129" t="e">
        <f>COUNTIFS(#REF!,'泡泡国际IP分级统计-SKU维度 宽度'!$A5,#REF!,'泡泡国际IP分级统计-SKU维度 宽度'!M$2,#REF!,'泡泡国际IP分级统计-SKU维度 宽度'!$L$1)</f>
        <v>#REF!</v>
      </c>
      <c r="N5" s="129" t="e">
        <f>COUNTIFS(#REF!,'泡泡国际IP分级统计-SKU维度 宽度'!$A5,#REF!,'泡泡国际IP分级统计-SKU维度 宽度'!N$2,#REF!,'泡泡国际IP分级统计-SKU维度 宽度'!$L$1)</f>
        <v>#REF!</v>
      </c>
      <c r="O5" s="129" t="e">
        <f>COUNTIFS(#REF!,'泡泡国际IP分级统计-SKU维度 宽度'!$A5,#REF!,'泡泡国际IP分级统计-SKU维度 宽度'!O$2,#REF!,'泡泡国际IP分级统计-SKU维度 宽度'!$L$1)</f>
        <v>#REF!</v>
      </c>
      <c r="P5" s="130" t="e">
        <f t="shared" si="2"/>
        <v>#REF!</v>
      </c>
      <c r="Q5" s="129" t="e">
        <f>COUNTIFS(#REF!,'泡泡国际IP分级统计-SKU维度 宽度'!$A5,#REF!,'泡泡国际IP分级统计-SKU维度 宽度'!Q$2,#REF!,'泡泡国际IP分级统计-SKU维度 宽度'!$Q$1)</f>
        <v>#REF!</v>
      </c>
      <c r="R5" s="129" t="e">
        <f>COUNTIFS(#REF!,'泡泡国际IP分级统计-SKU维度 宽度'!$A5,#REF!,'泡泡国际IP分级统计-SKU维度 宽度'!R$2,#REF!,'泡泡国际IP分级统计-SKU维度 宽度'!$Q$1)</f>
        <v>#REF!</v>
      </c>
      <c r="S5" s="129" t="e">
        <f>COUNTIFS(#REF!,'泡泡国际IP分级统计-SKU维度 宽度'!$A5,#REF!,'泡泡国际IP分级统计-SKU维度 宽度'!S$2,#REF!,'泡泡国际IP分级统计-SKU维度 宽度'!$Q$1)</f>
        <v>#REF!</v>
      </c>
      <c r="T5" s="129" t="e">
        <f>COUNTIFS(#REF!,'泡泡国际IP分级统计-SKU维度 宽度'!$A5,#REF!,'泡泡国际IP分级统计-SKU维度 宽度'!T$2,#REF!,'泡泡国际IP分级统计-SKU维度 宽度'!$Q$1)</f>
        <v>#REF!</v>
      </c>
      <c r="U5" s="130" t="e">
        <f t="shared" si="3"/>
        <v>#REF!</v>
      </c>
      <c r="V5" s="129" t="e">
        <f>COUNTIFS(#REF!,'泡泡国际IP分级统计-SKU维度 宽度'!$A5,#REF!,'泡泡国际IP分级统计-SKU维度 宽度'!V$2,#REF!,'泡泡国际IP分级统计-SKU维度 宽度'!$V$1)</f>
        <v>#REF!</v>
      </c>
      <c r="W5" s="129" t="e">
        <f>COUNTIFS(#REF!,'泡泡国际IP分级统计-SKU维度 宽度'!$A5,#REF!,'泡泡国际IP分级统计-SKU维度 宽度'!W$2,#REF!,'泡泡国际IP分级统计-SKU维度 宽度'!$V$1)</f>
        <v>#REF!</v>
      </c>
      <c r="X5" s="129" t="e">
        <f>COUNTIFS(#REF!,'泡泡国际IP分级统计-SKU维度 宽度'!$A5,#REF!,'泡泡国际IP分级统计-SKU维度 宽度'!X$2,#REF!,'泡泡国际IP分级统计-SKU维度 宽度'!$V$1)</f>
        <v>#REF!</v>
      </c>
      <c r="Y5" s="129" t="e">
        <f>COUNTIFS(#REF!,'泡泡国际IP分级统计-SKU维度 宽度'!$A5,#REF!,'泡泡国际IP分级统计-SKU维度 宽度'!Y$2,#REF!,'泡泡国际IP分级统计-SKU维度 宽度'!$V$1)</f>
        <v>#REF!</v>
      </c>
      <c r="Z5" s="130" t="e">
        <f t="shared" si="4"/>
        <v>#REF!</v>
      </c>
      <c r="AA5" s="129" t="e">
        <f>COUNTIFS(#REF!,'泡泡国际IP分级统计-SKU维度 宽度'!$A5,#REF!,'泡泡国际IP分级统计-SKU维度 宽度'!AA$2,#REF!,'泡泡国际IP分级统计-SKU维度 宽度'!$AA$1)</f>
        <v>#REF!</v>
      </c>
      <c r="AB5" s="129" t="e">
        <f>COUNTIFS(#REF!,'泡泡国际IP分级统计-SKU维度 宽度'!$A5,#REF!,'泡泡国际IP分级统计-SKU维度 宽度'!AB$2,#REF!,'泡泡国际IP分级统计-SKU维度 宽度'!$AA$1)</f>
        <v>#REF!</v>
      </c>
      <c r="AC5" s="129" t="e">
        <f>COUNTIFS(#REF!,'泡泡国际IP分级统计-SKU维度 宽度'!$A5,#REF!,'泡泡国际IP分级统计-SKU维度 宽度'!AC$2,#REF!,'泡泡国际IP分级统计-SKU维度 宽度'!$AA$1)</f>
        <v>#REF!</v>
      </c>
      <c r="AD5" s="129" t="e">
        <f>COUNTIFS(#REF!,'泡泡国际IP分级统计-SKU维度 宽度'!$A5,#REF!,'泡泡国际IP分级统计-SKU维度 宽度'!AD$2,#REF!,'泡泡国际IP分级统计-SKU维度 宽度'!$AA$1)</f>
        <v>#REF!</v>
      </c>
      <c r="AE5" s="130" t="e">
        <f t="shared" si="5"/>
        <v>#REF!</v>
      </c>
      <c r="AF5" s="129" t="e">
        <f>COUNTIFS(#REF!,'泡泡国际IP分级统计-SKU维度 宽度'!$A5,#REF!,'泡泡国际IP分级统计-SKU维度 宽度'!AF$2,#REF!,'泡泡国际IP分级统计-SKU维度 宽度'!$AF$1)</f>
        <v>#REF!</v>
      </c>
      <c r="AG5" s="129" t="e">
        <f>COUNTIFS(#REF!,'泡泡国际IP分级统计-SKU维度 宽度'!$A5,#REF!,'泡泡国际IP分级统计-SKU维度 宽度'!AG$2,#REF!,'泡泡国际IP分级统计-SKU维度 宽度'!$AF$1)</f>
        <v>#REF!</v>
      </c>
      <c r="AH5" s="129" t="e">
        <f>COUNTIFS(#REF!,'泡泡国际IP分级统计-SKU维度 宽度'!$A5,#REF!,'泡泡国际IP分级统计-SKU维度 宽度'!AH$2,#REF!,'泡泡国际IP分级统计-SKU维度 宽度'!$AF$1)</f>
        <v>#REF!</v>
      </c>
      <c r="AI5" s="129" t="e">
        <f>COUNTIFS(#REF!,'泡泡国际IP分级统计-SKU维度 宽度'!$A5,#REF!,'泡泡国际IP分级统计-SKU维度 宽度'!AI$2,#REF!,'泡泡国际IP分级统计-SKU维度 宽度'!$AF$1)</f>
        <v>#REF!</v>
      </c>
      <c r="AJ5" s="130" t="e">
        <f t="shared" si="6"/>
        <v>#REF!</v>
      </c>
      <c r="AK5" s="129" t="e">
        <f>COUNTIFS(#REF!,'泡泡国际IP分级统计-SKU维度 宽度'!$A5,#REF!,'泡泡国际IP分级统计-SKU维度 宽度'!AK$2,#REF!,'泡泡国际IP分级统计-SKU维度 宽度'!$AK$1)</f>
        <v>#REF!</v>
      </c>
      <c r="AL5" s="129" t="e">
        <f>COUNTIFS(#REF!,'泡泡国际IP分级统计-SKU维度 宽度'!$A5,#REF!,'泡泡国际IP分级统计-SKU维度 宽度'!AL$2,#REF!,'泡泡国际IP分级统计-SKU维度 宽度'!$AK$1)</f>
        <v>#REF!</v>
      </c>
      <c r="AM5" s="129" t="e">
        <f>COUNTIFS(#REF!,'泡泡国际IP分级统计-SKU维度 宽度'!$A5,#REF!,'泡泡国际IP分级统计-SKU维度 宽度'!AM$2,#REF!,'泡泡国际IP分级统计-SKU维度 宽度'!$AK$1)</f>
        <v>#REF!</v>
      </c>
      <c r="AN5" s="129" t="e">
        <f>COUNTIFS(#REF!,'泡泡国际IP分级统计-SKU维度 宽度'!$A5,#REF!,'泡泡国际IP分级统计-SKU维度 宽度'!AN$2,#REF!,'泡泡国际IP分级统计-SKU维度 宽度'!$AK$1)</f>
        <v>#REF!</v>
      </c>
      <c r="AO5" s="130" t="e">
        <f t="shared" si="7"/>
        <v>#REF!</v>
      </c>
      <c r="AP5" s="129" t="e">
        <f>COUNTIFS(#REF!,'泡泡国际IP分级统计-SKU维度 宽度'!$A5,#REF!,'泡泡国际IP分级统计-SKU维度 宽度'!AP$2,#REF!,'泡泡国际IP分级统计-SKU维度 宽度'!$AP$1)</f>
        <v>#REF!</v>
      </c>
      <c r="AQ5" s="129" t="e">
        <f>COUNTIFS(#REF!,'泡泡国际IP分级统计-SKU维度 宽度'!$A5,#REF!,'泡泡国际IP分级统计-SKU维度 宽度'!AQ$2,#REF!,'泡泡国际IP分级统计-SKU维度 宽度'!$AP$1)</f>
        <v>#REF!</v>
      </c>
      <c r="AR5" s="129" t="e">
        <f>COUNTIFS(#REF!,'泡泡国际IP分级统计-SKU维度 宽度'!$A5,#REF!,'泡泡国际IP分级统计-SKU维度 宽度'!AR$2,#REF!,'泡泡国际IP分级统计-SKU维度 宽度'!$AP$1)</f>
        <v>#REF!</v>
      </c>
      <c r="AS5" s="129" t="e">
        <f>COUNTIFS(#REF!,'泡泡国际IP分级统计-SKU维度 宽度'!$A5,#REF!,'泡泡国际IP分级统计-SKU维度 宽度'!AS$2,#REF!,'泡泡国际IP分级统计-SKU维度 宽度'!$AP$1)</f>
        <v>#REF!</v>
      </c>
      <c r="AT5" s="130" t="e">
        <f t="shared" si="8"/>
        <v>#REF!</v>
      </c>
      <c r="AU5" s="129" t="e">
        <f>COUNTIFS(#REF!,'泡泡国际IP分级统计-SKU维度 宽度'!$A5,#REF!,'泡泡国际IP分级统计-SKU维度 宽度'!AU$2,#REF!,'泡泡国际IP分级统计-SKU维度 宽度'!$AU$1)</f>
        <v>#REF!</v>
      </c>
      <c r="AV5" s="129" t="e">
        <f>COUNTIFS(#REF!,'泡泡国际IP分级统计-SKU维度 宽度'!$A5,#REF!,'泡泡国际IP分级统计-SKU维度 宽度'!AV$2,#REF!,'泡泡国际IP分级统计-SKU维度 宽度'!$AU$1)</f>
        <v>#REF!</v>
      </c>
      <c r="AW5" s="129" t="e">
        <f>COUNTIFS(#REF!,'泡泡国际IP分级统计-SKU维度 宽度'!$A5,#REF!,'泡泡国际IP分级统计-SKU维度 宽度'!AW$2,#REF!,'泡泡国际IP分级统计-SKU维度 宽度'!$AU$1)</f>
        <v>#REF!</v>
      </c>
      <c r="AX5" s="129" t="e">
        <f>COUNTIFS(#REF!,'泡泡国际IP分级统计-SKU维度 宽度'!$A5,#REF!,'泡泡国际IP分级统计-SKU维度 宽度'!AX$2,#REF!,'泡泡国际IP分级统计-SKU维度 宽度'!$AU$1)</f>
        <v>#REF!</v>
      </c>
      <c r="AY5" s="130" t="e">
        <f t="shared" si="9"/>
        <v>#REF!</v>
      </c>
      <c r="AZ5" s="129" t="e">
        <f>COUNTIFS(#REF!,'泡泡国际IP分级统计-SKU维度 宽度'!$A5,#REF!,'泡泡国际IP分级统计-SKU维度 宽度'!AZ$2,#REF!,'泡泡国际IP分级统计-SKU维度 宽度'!$AZ$1)</f>
        <v>#REF!</v>
      </c>
      <c r="BA5" s="129" t="e">
        <f>COUNTIFS(#REF!,'泡泡国际IP分级统计-SKU维度 宽度'!$A5,#REF!,'泡泡国际IP分级统计-SKU维度 宽度'!BA$2,#REF!,'泡泡国际IP分级统计-SKU维度 宽度'!$AZ$1)</f>
        <v>#REF!</v>
      </c>
      <c r="BB5" s="129" t="e">
        <f>COUNTIFS(#REF!,'泡泡国际IP分级统计-SKU维度 宽度'!$A5,#REF!,'泡泡国际IP分级统计-SKU维度 宽度'!BB$2,#REF!,'泡泡国际IP分级统计-SKU维度 宽度'!$AZ$1)</f>
        <v>#REF!</v>
      </c>
      <c r="BC5" s="129" t="e">
        <f>COUNTIFS(#REF!,'泡泡国际IP分级统计-SKU维度 宽度'!$A5,#REF!,'泡泡国际IP分级统计-SKU维度 宽度'!BC$2,#REF!,'泡泡国际IP分级统计-SKU维度 宽度'!$AZ$1)</f>
        <v>#REF!</v>
      </c>
      <c r="BD5" s="78" t="e">
        <f t="shared" si="10"/>
        <v>#REF!</v>
      </c>
    </row>
    <row r="6" spans="1:56">
      <c r="A6" s="128" t="s">
        <v>391</v>
      </c>
      <c r="B6" s="129"/>
      <c r="C6" s="129"/>
      <c r="D6" s="129"/>
      <c r="E6" s="129"/>
      <c r="F6" s="130" t="e">
        <f t="shared" si="0"/>
        <v>#DIV/0!</v>
      </c>
      <c r="G6" s="129"/>
      <c r="H6" s="129"/>
      <c r="I6" s="129"/>
      <c r="J6" s="129"/>
      <c r="K6" s="130" t="e">
        <f t="shared" si="1"/>
        <v>#DIV/0!</v>
      </c>
      <c r="L6" s="129" t="e">
        <f>COUNTIFS(#REF!,'泡泡国际IP分级统计-SKU维度 宽度'!$A6,#REF!,'泡泡国际IP分级统计-SKU维度 宽度'!L$2,#REF!,'泡泡国际IP分级统计-SKU维度 宽度'!$L$1)</f>
        <v>#REF!</v>
      </c>
      <c r="M6" s="129" t="e">
        <f>COUNTIFS(#REF!,'泡泡国际IP分级统计-SKU维度 宽度'!$A6,#REF!,'泡泡国际IP分级统计-SKU维度 宽度'!M$2,#REF!,'泡泡国际IP分级统计-SKU维度 宽度'!$L$1)</f>
        <v>#REF!</v>
      </c>
      <c r="N6" s="129" t="e">
        <f>COUNTIFS(#REF!,'泡泡国际IP分级统计-SKU维度 宽度'!$A6,#REF!,'泡泡国际IP分级统计-SKU维度 宽度'!N$2,#REF!,'泡泡国际IP分级统计-SKU维度 宽度'!$L$1)</f>
        <v>#REF!</v>
      </c>
      <c r="O6" s="129" t="e">
        <f>COUNTIFS(#REF!,'泡泡国际IP分级统计-SKU维度 宽度'!$A6,#REF!,'泡泡国际IP分级统计-SKU维度 宽度'!O$2,#REF!,'泡泡国际IP分级统计-SKU维度 宽度'!$L$1)</f>
        <v>#REF!</v>
      </c>
      <c r="P6" s="130" t="e">
        <f t="shared" si="2"/>
        <v>#REF!</v>
      </c>
      <c r="Q6" s="129" t="e">
        <f>COUNTIFS(#REF!,'泡泡国际IP分级统计-SKU维度 宽度'!$A6,#REF!,'泡泡国际IP分级统计-SKU维度 宽度'!Q$2,#REF!,'泡泡国际IP分级统计-SKU维度 宽度'!$Q$1)</f>
        <v>#REF!</v>
      </c>
      <c r="R6" s="129" t="e">
        <f>COUNTIFS(#REF!,'泡泡国际IP分级统计-SKU维度 宽度'!$A6,#REF!,'泡泡国际IP分级统计-SKU维度 宽度'!R$2,#REF!,'泡泡国际IP分级统计-SKU维度 宽度'!$Q$1)</f>
        <v>#REF!</v>
      </c>
      <c r="S6" s="129" t="e">
        <f>COUNTIFS(#REF!,'泡泡国际IP分级统计-SKU维度 宽度'!$A6,#REF!,'泡泡国际IP分级统计-SKU维度 宽度'!S$2,#REF!,'泡泡国际IP分级统计-SKU维度 宽度'!$Q$1)</f>
        <v>#REF!</v>
      </c>
      <c r="T6" s="129" t="e">
        <f>COUNTIFS(#REF!,'泡泡国际IP分级统计-SKU维度 宽度'!$A6,#REF!,'泡泡国际IP分级统计-SKU维度 宽度'!T$2,#REF!,'泡泡国际IP分级统计-SKU维度 宽度'!$Q$1)</f>
        <v>#REF!</v>
      </c>
      <c r="U6" s="130" t="e">
        <f t="shared" si="3"/>
        <v>#REF!</v>
      </c>
      <c r="V6" s="129" t="e">
        <f>COUNTIFS(#REF!,'泡泡国际IP分级统计-SKU维度 宽度'!$A6,#REF!,'泡泡国际IP分级统计-SKU维度 宽度'!V$2,#REF!,'泡泡国际IP分级统计-SKU维度 宽度'!$V$1)</f>
        <v>#REF!</v>
      </c>
      <c r="W6" s="129" t="e">
        <f>COUNTIFS(#REF!,'泡泡国际IP分级统计-SKU维度 宽度'!$A6,#REF!,'泡泡国际IP分级统计-SKU维度 宽度'!W$2,#REF!,'泡泡国际IP分级统计-SKU维度 宽度'!$V$1)</f>
        <v>#REF!</v>
      </c>
      <c r="X6" s="129" t="e">
        <f>COUNTIFS(#REF!,'泡泡国际IP分级统计-SKU维度 宽度'!$A6,#REF!,'泡泡国际IP分级统计-SKU维度 宽度'!X$2,#REF!,'泡泡国际IP分级统计-SKU维度 宽度'!$V$1)</f>
        <v>#REF!</v>
      </c>
      <c r="Y6" s="129" t="e">
        <f>COUNTIFS(#REF!,'泡泡国际IP分级统计-SKU维度 宽度'!$A6,#REF!,'泡泡国际IP分级统计-SKU维度 宽度'!Y$2,#REF!,'泡泡国际IP分级统计-SKU维度 宽度'!$V$1)</f>
        <v>#REF!</v>
      </c>
      <c r="Z6" s="130" t="e">
        <f t="shared" si="4"/>
        <v>#REF!</v>
      </c>
      <c r="AA6" s="129" t="e">
        <f>COUNTIFS(#REF!,'泡泡国际IP分级统计-SKU维度 宽度'!$A6,#REF!,'泡泡国际IP分级统计-SKU维度 宽度'!AA$2,#REF!,'泡泡国际IP分级统计-SKU维度 宽度'!$AA$1)</f>
        <v>#REF!</v>
      </c>
      <c r="AB6" s="129" t="e">
        <f>COUNTIFS(#REF!,'泡泡国际IP分级统计-SKU维度 宽度'!$A6,#REF!,'泡泡国际IP分级统计-SKU维度 宽度'!AB$2,#REF!,'泡泡国际IP分级统计-SKU维度 宽度'!$AA$1)</f>
        <v>#REF!</v>
      </c>
      <c r="AC6" s="129" t="e">
        <f>COUNTIFS(#REF!,'泡泡国际IP分级统计-SKU维度 宽度'!$A6,#REF!,'泡泡国际IP分级统计-SKU维度 宽度'!AC$2,#REF!,'泡泡国际IP分级统计-SKU维度 宽度'!$AA$1)</f>
        <v>#REF!</v>
      </c>
      <c r="AD6" s="129" t="e">
        <f>COUNTIFS(#REF!,'泡泡国际IP分级统计-SKU维度 宽度'!$A6,#REF!,'泡泡国际IP分级统计-SKU维度 宽度'!AD$2,#REF!,'泡泡国际IP分级统计-SKU维度 宽度'!$AA$1)</f>
        <v>#REF!</v>
      </c>
      <c r="AE6" s="130" t="e">
        <f t="shared" si="5"/>
        <v>#REF!</v>
      </c>
      <c r="AF6" s="129" t="e">
        <f>COUNTIFS(#REF!,'泡泡国际IP分级统计-SKU维度 宽度'!$A6,#REF!,'泡泡国际IP分级统计-SKU维度 宽度'!AF$2,#REF!,'泡泡国际IP分级统计-SKU维度 宽度'!$AF$1)</f>
        <v>#REF!</v>
      </c>
      <c r="AG6" s="129" t="e">
        <f>COUNTIFS(#REF!,'泡泡国际IP分级统计-SKU维度 宽度'!$A6,#REF!,'泡泡国际IP分级统计-SKU维度 宽度'!AG$2,#REF!,'泡泡国际IP分级统计-SKU维度 宽度'!$AF$1)</f>
        <v>#REF!</v>
      </c>
      <c r="AH6" s="129" t="e">
        <f>COUNTIFS(#REF!,'泡泡国际IP分级统计-SKU维度 宽度'!$A6,#REF!,'泡泡国际IP分级统计-SKU维度 宽度'!AH$2,#REF!,'泡泡国际IP分级统计-SKU维度 宽度'!$AF$1)</f>
        <v>#REF!</v>
      </c>
      <c r="AI6" s="129" t="e">
        <f>COUNTIFS(#REF!,'泡泡国际IP分级统计-SKU维度 宽度'!$A6,#REF!,'泡泡国际IP分级统计-SKU维度 宽度'!AI$2,#REF!,'泡泡国际IP分级统计-SKU维度 宽度'!$AF$1)</f>
        <v>#REF!</v>
      </c>
      <c r="AJ6" s="130" t="e">
        <f t="shared" si="6"/>
        <v>#REF!</v>
      </c>
      <c r="AK6" s="129" t="e">
        <f>COUNTIFS(#REF!,'泡泡国际IP分级统计-SKU维度 宽度'!$A6,#REF!,'泡泡国际IP分级统计-SKU维度 宽度'!AK$2,#REF!,'泡泡国际IP分级统计-SKU维度 宽度'!$AK$1)</f>
        <v>#REF!</v>
      </c>
      <c r="AL6" s="129" t="e">
        <f>COUNTIFS(#REF!,'泡泡国际IP分级统计-SKU维度 宽度'!$A6,#REF!,'泡泡国际IP分级统计-SKU维度 宽度'!AL$2,#REF!,'泡泡国际IP分级统计-SKU维度 宽度'!$AK$1)</f>
        <v>#REF!</v>
      </c>
      <c r="AM6" s="129" t="e">
        <f>COUNTIFS(#REF!,'泡泡国际IP分级统计-SKU维度 宽度'!$A6,#REF!,'泡泡国际IP分级统计-SKU维度 宽度'!AM$2,#REF!,'泡泡国际IP分级统计-SKU维度 宽度'!$AK$1)</f>
        <v>#REF!</v>
      </c>
      <c r="AN6" s="129" t="e">
        <f>COUNTIFS(#REF!,'泡泡国际IP分级统计-SKU维度 宽度'!$A6,#REF!,'泡泡国际IP分级统计-SKU维度 宽度'!AN$2,#REF!,'泡泡国际IP分级统计-SKU维度 宽度'!$AK$1)</f>
        <v>#REF!</v>
      </c>
      <c r="AO6" s="130" t="e">
        <f t="shared" si="7"/>
        <v>#REF!</v>
      </c>
      <c r="AP6" s="129" t="e">
        <f>COUNTIFS(#REF!,'泡泡国际IP分级统计-SKU维度 宽度'!$A6,#REF!,'泡泡国际IP分级统计-SKU维度 宽度'!AP$2,#REF!,'泡泡国际IP分级统计-SKU维度 宽度'!$AP$1)</f>
        <v>#REF!</v>
      </c>
      <c r="AQ6" s="129" t="e">
        <f>COUNTIFS(#REF!,'泡泡国际IP分级统计-SKU维度 宽度'!$A6,#REF!,'泡泡国际IP分级统计-SKU维度 宽度'!AQ$2,#REF!,'泡泡国际IP分级统计-SKU维度 宽度'!$AP$1)</f>
        <v>#REF!</v>
      </c>
      <c r="AR6" s="129" t="e">
        <f>COUNTIFS(#REF!,'泡泡国际IP分级统计-SKU维度 宽度'!$A6,#REF!,'泡泡国际IP分级统计-SKU维度 宽度'!AR$2,#REF!,'泡泡国际IP分级统计-SKU维度 宽度'!$AP$1)</f>
        <v>#REF!</v>
      </c>
      <c r="AS6" s="129" t="e">
        <f>COUNTIFS(#REF!,'泡泡国际IP分级统计-SKU维度 宽度'!$A6,#REF!,'泡泡国际IP分级统计-SKU维度 宽度'!AS$2,#REF!,'泡泡国际IP分级统计-SKU维度 宽度'!$AP$1)</f>
        <v>#REF!</v>
      </c>
      <c r="AT6" s="130" t="e">
        <f t="shared" si="8"/>
        <v>#REF!</v>
      </c>
      <c r="AU6" s="129" t="e">
        <f>COUNTIFS(#REF!,'泡泡国际IP分级统计-SKU维度 宽度'!$A6,#REF!,'泡泡国际IP分级统计-SKU维度 宽度'!AU$2,#REF!,'泡泡国际IP分级统计-SKU维度 宽度'!$AU$1)</f>
        <v>#REF!</v>
      </c>
      <c r="AV6" s="129" t="e">
        <f>COUNTIFS(#REF!,'泡泡国际IP分级统计-SKU维度 宽度'!$A6,#REF!,'泡泡国际IP分级统计-SKU维度 宽度'!AV$2,#REF!,'泡泡国际IP分级统计-SKU维度 宽度'!$AU$1)</f>
        <v>#REF!</v>
      </c>
      <c r="AW6" s="129" t="e">
        <f>COUNTIFS(#REF!,'泡泡国际IP分级统计-SKU维度 宽度'!$A6,#REF!,'泡泡国际IP分级统计-SKU维度 宽度'!AW$2,#REF!,'泡泡国际IP分级统计-SKU维度 宽度'!$AU$1)</f>
        <v>#REF!</v>
      </c>
      <c r="AX6" s="129" t="e">
        <f>COUNTIFS(#REF!,'泡泡国际IP分级统计-SKU维度 宽度'!$A6,#REF!,'泡泡国际IP分级统计-SKU维度 宽度'!AX$2,#REF!,'泡泡国际IP分级统计-SKU维度 宽度'!$AU$1)</f>
        <v>#REF!</v>
      </c>
      <c r="AY6" s="130" t="e">
        <f t="shared" si="9"/>
        <v>#REF!</v>
      </c>
      <c r="AZ6" s="129" t="e">
        <f>COUNTIFS(#REF!,'泡泡国际IP分级统计-SKU维度 宽度'!$A6,#REF!,'泡泡国际IP分级统计-SKU维度 宽度'!AZ$2,#REF!,'泡泡国际IP分级统计-SKU维度 宽度'!$AZ$1)</f>
        <v>#REF!</v>
      </c>
      <c r="BA6" s="129" t="e">
        <f>COUNTIFS(#REF!,'泡泡国际IP分级统计-SKU维度 宽度'!$A6,#REF!,'泡泡国际IP分级统计-SKU维度 宽度'!BA$2,#REF!,'泡泡国际IP分级统计-SKU维度 宽度'!$AZ$1)</f>
        <v>#REF!</v>
      </c>
      <c r="BB6" s="129" t="e">
        <f>COUNTIFS(#REF!,'泡泡国际IP分级统计-SKU维度 宽度'!$A6,#REF!,'泡泡国际IP分级统计-SKU维度 宽度'!BB$2,#REF!,'泡泡国际IP分级统计-SKU维度 宽度'!$AZ$1)</f>
        <v>#REF!</v>
      </c>
      <c r="BC6" s="129" t="e">
        <f>COUNTIFS(#REF!,'泡泡国际IP分级统计-SKU维度 宽度'!$A6,#REF!,'泡泡国际IP分级统计-SKU维度 宽度'!BC$2,#REF!,'泡泡国际IP分级统计-SKU维度 宽度'!$AZ$1)</f>
        <v>#REF!</v>
      </c>
      <c r="BD6" s="78" t="e">
        <f t="shared" si="10"/>
        <v>#REF!</v>
      </c>
    </row>
    <row r="7" spans="1:56">
      <c r="A7" s="128" t="s">
        <v>392</v>
      </c>
      <c r="B7" s="129"/>
      <c r="C7" s="129"/>
      <c r="D7" s="129"/>
      <c r="E7" s="129"/>
      <c r="F7" s="130" t="e">
        <f t="shared" si="0"/>
        <v>#DIV/0!</v>
      </c>
      <c r="G7" s="129"/>
      <c r="H7" s="129"/>
      <c r="I7" s="129"/>
      <c r="J7" s="129"/>
      <c r="K7" s="130" t="e">
        <f t="shared" si="1"/>
        <v>#DIV/0!</v>
      </c>
      <c r="L7" s="129" t="e">
        <f>COUNTIFS(#REF!,'泡泡国际IP分级统计-SKU维度 宽度'!$A7,#REF!,'泡泡国际IP分级统计-SKU维度 宽度'!L$2,#REF!,'泡泡国际IP分级统计-SKU维度 宽度'!$L$1)</f>
        <v>#REF!</v>
      </c>
      <c r="M7" s="129" t="e">
        <f>COUNTIFS(#REF!,'泡泡国际IP分级统计-SKU维度 宽度'!$A7,#REF!,'泡泡国际IP分级统计-SKU维度 宽度'!M$2,#REF!,'泡泡国际IP分级统计-SKU维度 宽度'!$L$1)</f>
        <v>#REF!</v>
      </c>
      <c r="N7" s="129" t="e">
        <f>COUNTIFS(#REF!,'泡泡国际IP分级统计-SKU维度 宽度'!$A7,#REF!,'泡泡国际IP分级统计-SKU维度 宽度'!N$2,#REF!,'泡泡国际IP分级统计-SKU维度 宽度'!$L$1)</f>
        <v>#REF!</v>
      </c>
      <c r="O7" s="129" t="e">
        <f>COUNTIFS(#REF!,'泡泡国际IP分级统计-SKU维度 宽度'!$A7,#REF!,'泡泡国际IP分级统计-SKU维度 宽度'!O$2,#REF!,'泡泡国际IP分级统计-SKU维度 宽度'!$L$1)</f>
        <v>#REF!</v>
      </c>
      <c r="P7" s="130" t="e">
        <f t="shared" si="2"/>
        <v>#REF!</v>
      </c>
      <c r="Q7" s="129" t="e">
        <f>COUNTIFS(#REF!,'泡泡国际IP分级统计-SKU维度 宽度'!$A7,#REF!,'泡泡国际IP分级统计-SKU维度 宽度'!Q$2,#REF!,'泡泡国际IP分级统计-SKU维度 宽度'!$Q$1)</f>
        <v>#REF!</v>
      </c>
      <c r="R7" s="129" t="e">
        <f>COUNTIFS(#REF!,'泡泡国际IP分级统计-SKU维度 宽度'!$A7,#REF!,'泡泡国际IP分级统计-SKU维度 宽度'!R$2,#REF!,'泡泡国际IP分级统计-SKU维度 宽度'!$Q$1)</f>
        <v>#REF!</v>
      </c>
      <c r="S7" s="129" t="e">
        <f>COUNTIFS(#REF!,'泡泡国际IP分级统计-SKU维度 宽度'!$A7,#REF!,'泡泡国际IP分级统计-SKU维度 宽度'!S$2,#REF!,'泡泡国际IP分级统计-SKU维度 宽度'!$Q$1)</f>
        <v>#REF!</v>
      </c>
      <c r="T7" s="129" t="e">
        <f>COUNTIFS(#REF!,'泡泡国际IP分级统计-SKU维度 宽度'!$A7,#REF!,'泡泡国际IP分级统计-SKU维度 宽度'!T$2,#REF!,'泡泡国际IP分级统计-SKU维度 宽度'!$Q$1)</f>
        <v>#REF!</v>
      </c>
      <c r="U7" s="130" t="e">
        <f t="shared" si="3"/>
        <v>#REF!</v>
      </c>
      <c r="V7" s="129" t="e">
        <f>COUNTIFS(#REF!,'泡泡国际IP分级统计-SKU维度 宽度'!$A7,#REF!,'泡泡国际IP分级统计-SKU维度 宽度'!V$2,#REF!,'泡泡国际IP分级统计-SKU维度 宽度'!$V$1)</f>
        <v>#REF!</v>
      </c>
      <c r="W7" s="129" t="e">
        <f>COUNTIFS(#REF!,'泡泡国际IP分级统计-SKU维度 宽度'!$A7,#REF!,'泡泡国际IP分级统计-SKU维度 宽度'!W$2,#REF!,'泡泡国际IP分级统计-SKU维度 宽度'!$V$1)</f>
        <v>#REF!</v>
      </c>
      <c r="X7" s="129" t="e">
        <f>COUNTIFS(#REF!,'泡泡国际IP分级统计-SKU维度 宽度'!$A7,#REF!,'泡泡国际IP分级统计-SKU维度 宽度'!X$2,#REF!,'泡泡国际IP分级统计-SKU维度 宽度'!$V$1)</f>
        <v>#REF!</v>
      </c>
      <c r="Y7" s="129" t="e">
        <f>COUNTIFS(#REF!,'泡泡国际IP分级统计-SKU维度 宽度'!$A7,#REF!,'泡泡国际IP分级统计-SKU维度 宽度'!Y$2,#REF!,'泡泡国际IP分级统计-SKU维度 宽度'!$V$1)</f>
        <v>#REF!</v>
      </c>
      <c r="Z7" s="130" t="e">
        <f t="shared" si="4"/>
        <v>#REF!</v>
      </c>
      <c r="AA7" s="129" t="e">
        <f>COUNTIFS(#REF!,'泡泡国际IP分级统计-SKU维度 宽度'!$A7,#REF!,'泡泡国际IP分级统计-SKU维度 宽度'!AA$2,#REF!,'泡泡国际IP分级统计-SKU维度 宽度'!$AA$1)</f>
        <v>#REF!</v>
      </c>
      <c r="AB7" s="129" t="e">
        <f>COUNTIFS(#REF!,'泡泡国际IP分级统计-SKU维度 宽度'!$A7,#REF!,'泡泡国际IP分级统计-SKU维度 宽度'!AB$2,#REF!,'泡泡国际IP分级统计-SKU维度 宽度'!$AA$1)</f>
        <v>#REF!</v>
      </c>
      <c r="AC7" s="129" t="e">
        <f>COUNTIFS(#REF!,'泡泡国际IP分级统计-SKU维度 宽度'!$A7,#REF!,'泡泡国际IP分级统计-SKU维度 宽度'!AC$2,#REF!,'泡泡国际IP分级统计-SKU维度 宽度'!$AA$1)</f>
        <v>#REF!</v>
      </c>
      <c r="AD7" s="129" t="e">
        <f>COUNTIFS(#REF!,'泡泡国际IP分级统计-SKU维度 宽度'!$A7,#REF!,'泡泡国际IP分级统计-SKU维度 宽度'!AD$2,#REF!,'泡泡国际IP分级统计-SKU维度 宽度'!$AA$1)</f>
        <v>#REF!</v>
      </c>
      <c r="AE7" s="130" t="e">
        <f t="shared" si="5"/>
        <v>#REF!</v>
      </c>
      <c r="AF7" s="129" t="e">
        <f>COUNTIFS(#REF!,'泡泡国际IP分级统计-SKU维度 宽度'!$A7,#REF!,'泡泡国际IP分级统计-SKU维度 宽度'!AF$2,#REF!,'泡泡国际IP分级统计-SKU维度 宽度'!$AF$1)</f>
        <v>#REF!</v>
      </c>
      <c r="AG7" s="129" t="e">
        <f>COUNTIFS(#REF!,'泡泡国际IP分级统计-SKU维度 宽度'!$A7,#REF!,'泡泡国际IP分级统计-SKU维度 宽度'!AG$2,#REF!,'泡泡国际IP分级统计-SKU维度 宽度'!$AF$1)</f>
        <v>#REF!</v>
      </c>
      <c r="AH7" s="129" t="e">
        <f>COUNTIFS(#REF!,'泡泡国际IP分级统计-SKU维度 宽度'!$A7,#REF!,'泡泡国际IP分级统计-SKU维度 宽度'!AH$2,#REF!,'泡泡国际IP分级统计-SKU维度 宽度'!$AF$1)</f>
        <v>#REF!</v>
      </c>
      <c r="AI7" s="129" t="e">
        <f>COUNTIFS(#REF!,'泡泡国际IP分级统计-SKU维度 宽度'!$A7,#REF!,'泡泡国际IP分级统计-SKU维度 宽度'!AI$2,#REF!,'泡泡国际IP分级统计-SKU维度 宽度'!$AF$1)</f>
        <v>#REF!</v>
      </c>
      <c r="AJ7" s="130" t="e">
        <f t="shared" si="6"/>
        <v>#REF!</v>
      </c>
      <c r="AK7" s="129" t="e">
        <f>COUNTIFS(#REF!,'泡泡国际IP分级统计-SKU维度 宽度'!$A7,#REF!,'泡泡国际IP分级统计-SKU维度 宽度'!AK$2,#REF!,'泡泡国际IP分级统计-SKU维度 宽度'!$AK$1)</f>
        <v>#REF!</v>
      </c>
      <c r="AL7" s="129" t="e">
        <f>COUNTIFS(#REF!,'泡泡国际IP分级统计-SKU维度 宽度'!$A7,#REF!,'泡泡国际IP分级统计-SKU维度 宽度'!AL$2,#REF!,'泡泡国际IP分级统计-SKU维度 宽度'!$AK$1)</f>
        <v>#REF!</v>
      </c>
      <c r="AM7" s="129" t="e">
        <f>COUNTIFS(#REF!,'泡泡国际IP分级统计-SKU维度 宽度'!$A7,#REF!,'泡泡国际IP分级统计-SKU维度 宽度'!AM$2,#REF!,'泡泡国际IP分级统计-SKU维度 宽度'!$AK$1)</f>
        <v>#REF!</v>
      </c>
      <c r="AN7" s="129" t="e">
        <f>COUNTIFS(#REF!,'泡泡国际IP分级统计-SKU维度 宽度'!$A7,#REF!,'泡泡国际IP分级统计-SKU维度 宽度'!AN$2,#REF!,'泡泡国际IP分级统计-SKU维度 宽度'!$AK$1)</f>
        <v>#REF!</v>
      </c>
      <c r="AO7" s="130" t="e">
        <f t="shared" si="7"/>
        <v>#REF!</v>
      </c>
      <c r="AP7" s="129" t="e">
        <f>COUNTIFS(#REF!,'泡泡国际IP分级统计-SKU维度 宽度'!$A7,#REF!,'泡泡国际IP分级统计-SKU维度 宽度'!AP$2,#REF!,'泡泡国际IP分级统计-SKU维度 宽度'!$AP$1)</f>
        <v>#REF!</v>
      </c>
      <c r="AQ7" s="129" t="e">
        <f>COUNTIFS(#REF!,'泡泡国际IP分级统计-SKU维度 宽度'!$A7,#REF!,'泡泡国际IP分级统计-SKU维度 宽度'!AQ$2,#REF!,'泡泡国际IP分级统计-SKU维度 宽度'!$AP$1)</f>
        <v>#REF!</v>
      </c>
      <c r="AR7" s="129" t="e">
        <f>COUNTIFS(#REF!,'泡泡国际IP分级统计-SKU维度 宽度'!$A7,#REF!,'泡泡国际IP分级统计-SKU维度 宽度'!AR$2,#REF!,'泡泡国际IP分级统计-SKU维度 宽度'!$AP$1)</f>
        <v>#REF!</v>
      </c>
      <c r="AS7" s="129" t="e">
        <f>COUNTIFS(#REF!,'泡泡国际IP分级统计-SKU维度 宽度'!$A7,#REF!,'泡泡国际IP分级统计-SKU维度 宽度'!AS$2,#REF!,'泡泡国际IP分级统计-SKU维度 宽度'!$AP$1)</f>
        <v>#REF!</v>
      </c>
      <c r="AT7" s="130" t="e">
        <f t="shared" si="8"/>
        <v>#REF!</v>
      </c>
      <c r="AU7" s="129" t="e">
        <f>COUNTIFS(#REF!,'泡泡国际IP分级统计-SKU维度 宽度'!$A7,#REF!,'泡泡国际IP分级统计-SKU维度 宽度'!AU$2,#REF!,'泡泡国际IP分级统计-SKU维度 宽度'!$AU$1)</f>
        <v>#REF!</v>
      </c>
      <c r="AV7" s="129" t="e">
        <f>COUNTIFS(#REF!,'泡泡国际IP分级统计-SKU维度 宽度'!$A7,#REF!,'泡泡国际IP分级统计-SKU维度 宽度'!AV$2,#REF!,'泡泡国际IP分级统计-SKU维度 宽度'!$AU$1)</f>
        <v>#REF!</v>
      </c>
      <c r="AW7" s="129" t="e">
        <f>COUNTIFS(#REF!,'泡泡国际IP分级统计-SKU维度 宽度'!$A7,#REF!,'泡泡国际IP分级统计-SKU维度 宽度'!AW$2,#REF!,'泡泡国际IP分级统计-SKU维度 宽度'!$AU$1)</f>
        <v>#REF!</v>
      </c>
      <c r="AX7" s="129" t="e">
        <f>COUNTIFS(#REF!,'泡泡国际IP分级统计-SKU维度 宽度'!$A7,#REF!,'泡泡国际IP分级统计-SKU维度 宽度'!AX$2,#REF!,'泡泡国际IP分级统计-SKU维度 宽度'!$AU$1)</f>
        <v>#REF!</v>
      </c>
      <c r="AY7" s="130" t="e">
        <f t="shared" si="9"/>
        <v>#REF!</v>
      </c>
      <c r="AZ7" s="129" t="e">
        <f>COUNTIFS(#REF!,'泡泡国际IP分级统计-SKU维度 宽度'!$A7,#REF!,'泡泡国际IP分级统计-SKU维度 宽度'!AZ$2,#REF!,'泡泡国际IP分级统计-SKU维度 宽度'!$AZ$1)</f>
        <v>#REF!</v>
      </c>
      <c r="BA7" s="129" t="e">
        <f>COUNTIFS(#REF!,'泡泡国际IP分级统计-SKU维度 宽度'!$A7,#REF!,'泡泡国际IP分级统计-SKU维度 宽度'!BA$2,#REF!,'泡泡国际IP分级统计-SKU维度 宽度'!$AZ$1)</f>
        <v>#REF!</v>
      </c>
      <c r="BB7" s="129" t="e">
        <f>COUNTIFS(#REF!,'泡泡国际IP分级统计-SKU维度 宽度'!$A7,#REF!,'泡泡国际IP分级统计-SKU维度 宽度'!BB$2,#REF!,'泡泡国际IP分级统计-SKU维度 宽度'!$AZ$1)</f>
        <v>#REF!</v>
      </c>
      <c r="BC7" s="129" t="e">
        <f>COUNTIFS(#REF!,'泡泡国际IP分级统计-SKU维度 宽度'!$A7,#REF!,'泡泡国际IP分级统计-SKU维度 宽度'!BC$2,#REF!,'泡泡国际IP分级统计-SKU维度 宽度'!$AZ$1)</f>
        <v>#REF!</v>
      </c>
      <c r="BD7" s="78" t="e">
        <f t="shared" si="10"/>
        <v>#REF!</v>
      </c>
    </row>
    <row r="8" customFormat="1" ht="16.5" spans="1:56">
      <c r="A8" s="131" t="s">
        <v>379</v>
      </c>
      <c r="B8" s="132">
        <f>SUM(B3:B7)</f>
        <v>0</v>
      </c>
      <c r="C8" s="132">
        <f>SUM(C3:C7)</f>
        <v>0</v>
      </c>
      <c r="D8" s="132">
        <f>SUM(D3:D7)</f>
        <v>0</v>
      </c>
      <c r="E8" s="132">
        <f>SUM(E3:E7)</f>
        <v>0</v>
      </c>
      <c r="F8" s="133">
        <f t="shared" si="0"/>
        <v>0</v>
      </c>
      <c r="G8" s="132">
        <f>SUM(G3:G7)</f>
        <v>0</v>
      </c>
      <c r="H8" s="132">
        <f>SUM(H3:H7)</f>
        <v>0</v>
      </c>
      <c r="I8" s="132">
        <f>SUM(I3:I7)</f>
        <v>0</v>
      </c>
      <c r="J8" s="132">
        <f>SUM(J3:J7)</f>
        <v>0</v>
      </c>
      <c r="K8" s="133">
        <f t="shared" si="1"/>
        <v>0</v>
      </c>
      <c r="L8" s="132" t="e">
        <f>SUM(L3:L7)</f>
        <v>#REF!</v>
      </c>
      <c r="M8" s="132" t="e">
        <f>SUM(M3:M7)</f>
        <v>#REF!</v>
      </c>
      <c r="N8" s="132" t="e">
        <f>SUM(N3:N7)</f>
        <v>#REF!</v>
      </c>
      <c r="O8" s="132" t="e">
        <f>SUM(O3:O7)</f>
        <v>#REF!</v>
      </c>
      <c r="P8" s="133" t="e">
        <f t="shared" si="2"/>
        <v>#REF!</v>
      </c>
      <c r="Q8" s="132" t="e">
        <f>SUM(Q3:Q7)</f>
        <v>#REF!</v>
      </c>
      <c r="R8" s="132" t="e">
        <f>SUM(R3:R7)</f>
        <v>#REF!</v>
      </c>
      <c r="S8" s="132" t="e">
        <f>SUM(S3:S7)</f>
        <v>#REF!</v>
      </c>
      <c r="T8" s="132" t="e">
        <f>SUM(T3:T7)</f>
        <v>#REF!</v>
      </c>
      <c r="U8" s="133" t="e">
        <f t="shared" si="3"/>
        <v>#REF!</v>
      </c>
      <c r="V8" s="132" t="e">
        <f>SUM(V3:V7)</f>
        <v>#REF!</v>
      </c>
      <c r="W8" s="132" t="e">
        <f>SUM(W3:W7)</f>
        <v>#REF!</v>
      </c>
      <c r="X8" s="132" t="e">
        <f>SUM(X3:X7)</f>
        <v>#REF!</v>
      </c>
      <c r="Y8" s="132" t="e">
        <f>SUM(Y3:Y7)</f>
        <v>#REF!</v>
      </c>
      <c r="Z8" s="133" t="e">
        <f t="shared" si="4"/>
        <v>#REF!</v>
      </c>
      <c r="AA8" s="132" t="e">
        <f>SUM(AA3:AA7)</f>
        <v>#REF!</v>
      </c>
      <c r="AB8" s="132" t="e">
        <f>SUM(AB3:AB7)</f>
        <v>#REF!</v>
      </c>
      <c r="AC8" s="132" t="e">
        <f>SUM(AC3:AC7)</f>
        <v>#REF!</v>
      </c>
      <c r="AD8" s="132" t="e">
        <f>SUM(AD3:AD7)</f>
        <v>#REF!</v>
      </c>
      <c r="AE8" s="133" t="e">
        <f t="shared" si="5"/>
        <v>#REF!</v>
      </c>
      <c r="AF8" s="132" t="e">
        <f>SUM(AF3:AF7)</f>
        <v>#REF!</v>
      </c>
      <c r="AG8" s="132" t="e">
        <f>SUM(AG3:AG7)</f>
        <v>#REF!</v>
      </c>
      <c r="AH8" s="132" t="e">
        <f>SUM(AH3:AH7)</f>
        <v>#REF!</v>
      </c>
      <c r="AI8" s="132" t="e">
        <f>SUM(AI3:AI7)</f>
        <v>#REF!</v>
      </c>
      <c r="AJ8" s="133" t="e">
        <f t="shared" si="6"/>
        <v>#REF!</v>
      </c>
      <c r="AK8" s="132" t="e">
        <f>SUM(AK3:AK7)</f>
        <v>#REF!</v>
      </c>
      <c r="AL8" s="132" t="e">
        <f>SUM(AL3:AL7)</f>
        <v>#REF!</v>
      </c>
      <c r="AM8" s="132" t="e">
        <f>SUM(AM3:AM7)</f>
        <v>#REF!</v>
      </c>
      <c r="AN8" s="132" t="e">
        <f>SUM(AN3:AN7)</f>
        <v>#REF!</v>
      </c>
      <c r="AO8" s="133" t="e">
        <f t="shared" si="7"/>
        <v>#REF!</v>
      </c>
      <c r="AP8" s="132" t="e">
        <f>SUM(AP3:AP7)</f>
        <v>#REF!</v>
      </c>
      <c r="AQ8" s="132" t="e">
        <f>SUM(AQ3:AQ7)</f>
        <v>#REF!</v>
      </c>
      <c r="AR8" s="132" t="e">
        <f>SUM(AR3:AR7)</f>
        <v>#REF!</v>
      </c>
      <c r="AS8" s="132" t="e">
        <f>SUM(AS3:AS7)</f>
        <v>#REF!</v>
      </c>
      <c r="AT8" s="133" t="e">
        <f t="shared" si="8"/>
        <v>#REF!</v>
      </c>
      <c r="AU8" s="132" t="e">
        <f>SUM(AU3:AU7)</f>
        <v>#REF!</v>
      </c>
      <c r="AV8" s="132" t="e">
        <f>SUM(AV3:AV7)</f>
        <v>#REF!</v>
      </c>
      <c r="AW8" s="132" t="e">
        <f>SUM(AW3:AW7)</f>
        <v>#REF!</v>
      </c>
      <c r="AX8" s="132" t="e">
        <f>SUM(AX3:AX7)</f>
        <v>#REF!</v>
      </c>
      <c r="AY8" s="133" t="e">
        <f t="shared" si="9"/>
        <v>#REF!</v>
      </c>
      <c r="AZ8" s="132" t="e">
        <f>SUM(AZ3:AZ7)</f>
        <v>#REF!</v>
      </c>
      <c r="BA8" s="132" t="e">
        <f>SUM(BA3:BA7)</f>
        <v>#REF!</v>
      </c>
      <c r="BB8" s="132" t="e">
        <f>SUM(BB3:BB7)</f>
        <v>#REF!</v>
      </c>
      <c r="BC8" s="132" t="e">
        <f>SUM(BC3:BC7)</f>
        <v>#REF!</v>
      </c>
      <c r="BD8" s="132" t="e">
        <f t="shared" si="10"/>
        <v>#REF!</v>
      </c>
    </row>
    <row r="9" customFormat="1" ht="16.5" spans="1:56">
      <c r="A9" s="56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</row>
    <row r="10" customFormat="1" ht="16.5" spans="1:56">
      <c r="A10" s="93" t="s">
        <v>385</v>
      </c>
      <c r="B10" s="117" t="s">
        <v>1</v>
      </c>
      <c r="C10" s="117"/>
      <c r="D10" s="117"/>
      <c r="E10" s="117"/>
      <c r="F10" s="118"/>
      <c r="G10" s="60" t="s">
        <v>2</v>
      </c>
      <c r="H10" s="60"/>
      <c r="I10" s="60"/>
      <c r="J10" s="60"/>
      <c r="K10" s="119"/>
      <c r="L10" s="61" t="s">
        <v>3</v>
      </c>
      <c r="M10" s="61"/>
      <c r="N10" s="61"/>
      <c r="O10" s="61"/>
      <c r="P10" s="120"/>
      <c r="Q10" s="61" t="s">
        <v>4</v>
      </c>
      <c r="R10" s="61"/>
      <c r="S10" s="61"/>
      <c r="T10" s="61"/>
      <c r="U10" s="120"/>
      <c r="V10" s="61" t="s">
        <v>5</v>
      </c>
      <c r="W10" s="61"/>
      <c r="X10" s="61"/>
      <c r="Y10" s="61"/>
      <c r="Z10" s="120"/>
      <c r="AA10" s="61" t="s">
        <v>6</v>
      </c>
      <c r="AB10" s="61"/>
      <c r="AC10" s="61"/>
      <c r="AD10" s="61"/>
      <c r="AE10" s="120"/>
      <c r="AF10" s="61" t="s">
        <v>7</v>
      </c>
      <c r="AG10" s="61"/>
      <c r="AH10" s="61"/>
      <c r="AI10" s="61"/>
      <c r="AJ10" s="120"/>
      <c r="AK10" s="61" t="s">
        <v>8</v>
      </c>
      <c r="AL10" s="61"/>
      <c r="AM10" s="61"/>
      <c r="AN10" s="61"/>
      <c r="AO10" s="120"/>
      <c r="AP10" s="61" t="s">
        <v>9</v>
      </c>
      <c r="AQ10" s="61"/>
      <c r="AR10" s="61"/>
      <c r="AS10" s="61"/>
      <c r="AT10" s="120"/>
      <c r="AU10" s="61" t="s">
        <v>10</v>
      </c>
      <c r="AV10" s="61"/>
      <c r="AW10" s="61"/>
      <c r="AX10" s="61"/>
      <c r="AY10" s="120"/>
      <c r="AZ10" s="61" t="s">
        <v>11</v>
      </c>
      <c r="BA10" s="61"/>
      <c r="BB10" s="61"/>
      <c r="BC10" s="61"/>
      <c r="BD10" s="61"/>
    </row>
    <row r="11" customFormat="1" ht="16.5" spans="1:56">
      <c r="A11" s="134" t="s">
        <v>18</v>
      </c>
      <c r="B11" s="135" t="s">
        <v>20</v>
      </c>
      <c r="C11" s="135" t="s">
        <v>21</v>
      </c>
      <c r="D11" s="135">
        <v>45717</v>
      </c>
      <c r="E11" s="135">
        <v>45748</v>
      </c>
      <c r="F11" s="135" t="s">
        <v>387</v>
      </c>
      <c r="G11" s="66" t="s">
        <v>20</v>
      </c>
      <c r="H11" s="66" t="s">
        <v>21</v>
      </c>
      <c r="I11" s="66">
        <v>45717</v>
      </c>
      <c r="J11" s="66">
        <v>45748</v>
      </c>
      <c r="K11" s="136" t="s">
        <v>387</v>
      </c>
      <c r="L11" s="67" t="s">
        <v>20</v>
      </c>
      <c r="M11" s="67" t="s">
        <v>21</v>
      </c>
      <c r="N11" s="67">
        <v>45717</v>
      </c>
      <c r="O11" s="67">
        <v>45748</v>
      </c>
      <c r="P11" s="126" t="s">
        <v>387</v>
      </c>
      <c r="Q11" s="67" t="s">
        <v>20</v>
      </c>
      <c r="R11" s="67" t="s">
        <v>21</v>
      </c>
      <c r="S11" s="67">
        <v>45717</v>
      </c>
      <c r="T11" s="67">
        <v>45748</v>
      </c>
      <c r="U11" s="126" t="s">
        <v>387</v>
      </c>
      <c r="V11" s="67" t="s">
        <v>20</v>
      </c>
      <c r="W11" s="67" t="s">
        <v>21</v>
      </c>
      <c r="X11" s="67">
        <v>45717</v>
      </c>
      <c r="Y11" s="67">
        <v>45748</v>
      </c>
      <c r="Z11" s="126" t="s">
        <v>387</v>
      </c>
      <c r="AA11" s="67" t="s">
        <v>20</v>
      </c>
      <c r="AB11" s="67" t="s">
        <v>21</v>
      </c>
      <c r="AC11" s="67">
        <v>45717</v>
      </c>
      <c r="AD11" s="67">
        <v>45748</v>
      </c>
      <c r="AE11" s="126" t="s">
        <v>387</v>
      </c>
      <c r="AF11" s="67" t="s">
        <v>20</v>
      </c>
      <c r="AG11" s="67" t="s">
        <v>21</v>
      </c>
      <c r="AH11" s="67">
        <v>45717</v>
      </c>
      <c r="AI11" s="67">
        <v>45748</v>
      </c>
      <c r="AJ11" s="126" t="s">
        <v>387</v>
      </c>
      <c r="AK11" s="67" t="s">
        <v>20</v>
      </c>
      <c r="AL11" s="67" t="s">
        <v>21</v>
      </c>
      <c r="AM11" s="67">
        <v>45717</v>
      </c>
      <c r="AN11" s="67">
        <v>45748</v>
      </c>
      <c r="AO11" s="126" t="s">
        <v>387</v>
      </c>
      <c r="AP11" s="67" t="s">
        <v>20</v>
      </c>
      <c r="AQ11" s="67" t="s">
        <v>21</v>
      </c>
      <c r="AR11" s="67">
        <v>45717</v>
      </c>
      <c r="AS11" s="67">
        <v>45748</v>
      </c>
      <c r="AT11" s="126" t="s">
        <v>387</v>
      </c>
      <c r="AU11" s="67" t="s">
        <v>20</v>
      </c>
      <c r="AV11" s="67" t="s">
        <v>21</v>
      </c>
      <c r="AW11" s="67">
        <v>45717</v>
      </c>
      <c r="AX11" s="67">
        <v>45748</v>
      </c>
      <c r="AY11" s="126" t="s">
        <v>387</v>
      </c>
      <c r="AZ11" s="67" t="s">
        <v>20</v>
      </c>
      <c r="BA11" s="67" t="s">
        <v>21</v>
      </c>
      <c r="BB11" s="67">
        <v>45717</v>
      </c>
      <c r="BC11" s="67">
        <v>45748</v>
      </c>
      <c r="BD11" s="127" t="s">
        <v>387</v>
      </c>
    </row>
    <row r="12" customFormat="1" spans="1:56">
      <c r="A12" s="128" t="s">
        <v>388</v>
      </c>
      <c r="B12" s="137" t="e">
        <f t="shared" ref="B12:AG12" si="11">B3/B$8</f>
        <v>#DIV/0!</v>
      </c>
      <c r="C12" s="137" t="e">
        <f t="shared" si="11"/>
        <v>#DIV/0!</v>
      </c>
      <c r="D12" s="137" t="e">
        <f t="shared" si="11"/>
        <v>#DIV/0!</v>
      </c>
      <c r="E12" s="137" t="e">
        <f t="shared" si="11"/>
        <v>#DIV/0!</v>
      </c>
      <c r="F12" s="106" t="e">
        <f t="shared" si="11"/>
        <v>#DIV/0!</v>
      </c>
      <c r="G12" s="101" t="e">
        <f t="shared" si="11"/>
        <v>#DIV/0!</v>
      </c>
      <c r="H12" s="101" t="e">
        <f t="shared" si="11"/>
        <v>#DIV/0!</v>
      </c>
      <c r="I12" s="101" t="e">
        <f t="shared" si="11"/>
        <v>#DIV/0!</v>
      </c>
      <c r="J12" s="101" t="e">
        <f t="shared" si="11"/>
        <v>#DIV/0!</v>
      </c>
      <c r="K12" s="138" t="e">
        <f t="shared" si="11"/>
        <v>#DIV/0!</v>
      </c>
      <c r="L12" s="106" t="e">
        <f t="shared" si="11"/>
        <v>#REF!</v>
      </c>
      <c r="M12" s="106" t="e">
        <f t="shared" si="11"/>
        <v>#REF!</v>
      </c>
      <c r="N12" s="106" t="e">
        <f t="shared" si="11"/>
        <v>#REF!</v>
      </c>
      <c r="O12" s="106" t="e">
        <f t="shared" si="11"/>
        <v>#REF!</v>
      </c>
      <c r="P12" s="9" t="e">
        <f t="shared" si="11"/>
        <v>#REF!</v>
      </c>
      <c r="Q12" s="106" t="e">
        <f t="shared" si="11"/>
        <v>#REF!</v>
      </c>
      <c r="R12" s="106" t="e">
        <f t="shared" si="11"/>
        <v>#REF!</v>
      </c>
      <c r="S12" s="106" t="e">
        <f t="shared" si="11"/>
        <v>#REF!</v>
      </c>
      <c r="T12" s="106" t="e">
        <f t="shared" si="11"/>
        <v>#REF!</v>
      </c>
      <c r="U12" s="9" t="e">
        <f t="shared" si="11"/>
        <v>#REF!</v>
      </c>
      <c r="V12" s="137" t="e">
        <f t="shared" si="11"/>
        <v>#REF!</v>
      </c>
      <c r="W12" s="137" t="e">
        <f t="shared" si="11"/>
        <v>#REF!</v>
      </c>
      <c r="X12" s="137" t="e">
        <f t="shared" si="11"/>
        <v>#REF!</v>
      </c>
      <c r="Y12" s="137" t="e">
        <f t="shared" si="11"/>
        <v>#REF!</v>
      </c>
      <c r="Z12" s="9" t="e">
        <f t="shared" si="11"/>
        <v>#REF!</v>
      </c>
      <c r="AA12" s="137" t="e">
        <f t="shared" si="11"/>
        <v>#REF!</v>
      </c>
      <c r="AB12" s="137" t="e">
        <f t="shared" si="11"/>
        <v>#REF!</v>
      </c>
      <c r="AC12" s="137" t="e">
        <f t="shared" si="11"/>
        <v>#REF!</v>
      </c>
      <c r="AD12" s="137" t="e">
        <f t="shared" si="11"/>
        <v>#REF!</v>
      </c>
      <c r="AE12" s="9" t="e">
        <f t="shared" si="11"/>
        <v>#REF!</v>
      </c>
      <c r="AF12" s="137" t="e">
        <f t="shared" si="11"/>
        <v>#REF!</v>
      </c>
      <c r="AG12" s="137" t="e">
        <f t="shared" si="11"/>
        <v>#REF!</v>
      </c>
      <c r="AH12" s="137" t="e">
        <f t="shared" ref="AH12:BD12" si="12">AH3/AH$8</f>
        <v>#REF!</v>
      </c>
      <c r="AI12" s="137" t="e">
        <f t="shared" si="12"/>
        <v>#REF!</v>
      </c>
      <c r="AJ12" s="9" t="e">
        <f t="shared" si="12"/>
        <v>#REF!</v>
      </c>
      <c r="AK12" s="137" t="e">
        <f t="shared" si="12"/>
        <v>#REF!</v>
      </c>
      <c r="AL12" s="137" t="e">
        <f t="shared" si="12"/>
        <v>#REF!</v>
      </c>
      <c r="AM12" s="137" t="e">
        <f t="shared" si="12"/>
        <v>#REF!</v>
      </c>
      <c r="AN12" s="137" t="e">
        <f t="shared" si="12"/>
        <v>#REF!</v>
      </c>
      <c r="AO12" s="9" t="e">
        <f t="shared" si="12"/>
        <v>#REF!</v>
      </c>
      <c r="AP12" s="137" t="e">
        <f t="shared" si="12"/>
        <v>#REF!</v>
      </c>
      <c r="AQ12" s="137" t="e">
        <f t="shared" si="12"/>
        <v>#REF!</v>
      </c>
      <c r="AR12" s="137" t="e">
        <f t="shared" si="12"/>
        <v>#REF!</v>
      </c>
      <c r="AS12" s="137" t="e">
        <f t="shared" si="12"/>
        <v>#REF!</v>
      </c>
      <c r="AT12" s="9" t="e">
        <f t="shared" si="12"/>
        <v>#REF!</v>
      </c>
      <c r="AU12" s="137" t="e">
        <f t="shared" si="12"/>
        <v>#REF!</v>
      </c>
      <c r="AV12" s="137" t="e">
        <f t="shared" si="12"/>
        <v>#REF!</v>
      </c>
      <c r="AW12" s="137" t="e">
        <f t="shared" si="12"/>
        <v>#REF!</v>
      </c>
      <c r="AX12" s="137" t="e">
        <f t="shared" si="12"/>
        <v>#REF!</v>
      </c>
      <c r="AY12" s="9" t="e">
        <f t="shared" si="12"/>
        <v>#REF!</v>
      </c>
      <c r="AZ12" s="137" t="e">
        <f t="shared" si="12"/>
        <v>#REF!</v>
      </c>
      <c r="BA12" s="137" t="e">
        <f t="shared" si="12"/>
        <v>#REF!</v>
      </c>
      <c r="BB12" s="137" t="e">
        <f t="shared" si="12"/>
        <v>#REF!</v>
      </c>
      <c r="BC12" s="137" t="e">
        <f t="shared" si="12"/>
        <v>#REF!</v>
      </c>
      <c r="BD12" s="106" t="e">
        <f t="shared" si="12"/>
        <v>#REF!</v>
      </c>
    </row>
    <row r="13" customFormat="1" spans="1:56">
      <c r="A13" s="128" t="s">
        <v>389</v>
      </c>
      <c r="B13" s="137" t="e">
        <f t="shared" ref="B13:AG13" si="13">B4/B$8</f>
        <v>#DIV/0!</v>
      </c>
      <c r="C13" s="137" t="e">
        <f t="shared" si="13"/>
        <v>#DIV/0!</v>
      </c>
      <c r="D13" s="137" t="e">
        <f t="shared" si="13"/>
        <v>#DIV/0!</v>
      </c>
      <c r="E13" s="137" t="e">
        <f t="shared" si="13"/>
        <v>#DIV/0!</v>
      </c>
      <c r="F13" s="106" t="e">
        <f t="shared" si="13"/>
        <v>#DIV/0!</v>
      </c>
      <c r="G13" s="106" t="e">
        <f t="shared" si="13"/>
        <v>#DIV/0!</v>
      </c>
      <c r="H13" s="106" t="e">
        <f t="shared" si="13"/>
        <v>#DIV/0!</v>
      </c>
      <c r="I13" s="106" t="e">
        <f t="shared" si="13"/>
        <v>#DIV/0!</v>
      </c>
      <c r="J13" s="106" t="e">
        <f t="shared" si="13"/>
        <v>#DIV/0!</v>
      </c>
      <c r="K13" s="9" t="e">
        <f t="shared" si="13"/>
        <v>#DIV/0!</v>
      </c>
      <c r="L13" s="106" t="e">
        <f t="shared" si="13"/>
        <v>#REF!</v>
      </c>
      <c r="M13" s="106" t="e">
        <f t="shared" si="13"/>
        <v>#REF!</v>
      </c>
      <c r="N13" s="106" t="e">
        <f t="shared" si="13"/>
        <v>#REF!</v>
      </c>
      <c r="O13" s="106" t="e">
        <f t="shared" si="13"/>
        <v>#REF!</v>
      </c>
      <c r="P13" s="9" t="e">
        <f t="shared" si="13"/>
        <v>#REF!</v>
      </c>
      <c r="Q13" s="106" t="e">
        <f t="shared" si="13"/>
        <v>#REF!</v>
      </c>
      <c r="R13" s="106" t="e">
        <f t="shared" si="13"/>
        <v>#REF!</v>
      </c>
      <c r="S13" s="106" t="e">
        <f t="shared" si="13"/>
        <v>#REF!</v>
      </c>
      <c r="T13" s="106" t="e">
        <f t="shared" si="13"/>
        <v>#REF!</v>
      </c>
      <c r="U13" s="9" t="e">
        <f t="shared" si="13"/>
        <v>#REF!</v>
      </c>
      <c r="V13" s="137" t="e">
        <f t="shared" si="13"/>
        <v>#REF!</v>
      </c>
      <c r="W13" s="137" t="e">
        <f t="shared" si="13"/>
        <v>#REF!</v>
      </c>
      <c r="X13" s="137" t="e">
        <f t="shared" si="13"/>
        <v>#REF!</v>
      </c>
      <c r="Y13" s="137" t="e">
        <f t="shared" si="13"/>
        <v>#REF!</v>
      </c>
      <c r="Z13" s="9" t="e">
        <f t="shared" si="13"/>
        <v>#REF!</v>
      </c>
      <c r="AA13" s="137" t="e">
        <f t="shared" si="13"/>
        <v>#REF!</v>
      </c>
      <c r="AB13" s="137" t="e">
        <f t="shared" si="13"/>
        <v>#REF!</v>
      </c>
      <c r="AC13" s="137" t="e">
        <f t="shared" si="13"/>
        <v>#REF!</v>
      </c>
      <c r="AD13" s="137" t="e">
        <f t="shared" si="13"/>
        <v>#REF!</v>
      </c>
      <c r="AE13" s="9" t="e">
        <f t="shared" si="13"/>
        <v>#REF!</v>
      </c>
      <c r="AF13" s="137" t="e">
        <f t="shared" si="13"/>
        <v>#REF!</v>
      </c>
      <c r="AG13" s="137" t="e">
        <f t="shared" si="13"/>
        <v>#REF!</v>
      </c>
      <c r="AH13" s="137" t="e">
        <f t="shared" ref="AH13:BD13" si="14">AH4/AH$8</f>
        <v>#REF!</v>
      </c>
      <c r="AI13" s="137" t="e">
        <f t="shared" si="14"/>
        <v>#REF!</v>
      </c>
      <c r="AJ13" s="9" t="e">
        <f t="shared" si="14"/>
        <v>#REF!</v>
      </c>
      <c r="AK13" s="137" t="e">
        <f t="shared" si="14"/>
        <v>#REF!</v>
      </c>
      <c r="AL13" s="137" t="e">
        <f t="shared" si="14"/>
        <v>#REF!</v>
      </c>
      <c r="AM13" s="137" t="e">
        <f t="shared" si="14"/>
        <v>#REF!</v>
      </c>
      <c r="AN13" s="137" t="e">
        <f t="shared" si="14"/>
        <v>#REF!</v>
      </c>
      <c r="AO13" s="9" t="e">
        <f t="shared" si="14"/>
        <v>#REF!</v>
      </c>
      <c r="AP13" s="137" t="e">
        <f t="shared" si="14"/>
        <v>#REF!</v>
      </c>
      <c r="AQ13" s="137" t="e">
        <f t="shared" si="14"/>
        <v>#REF!</v>
      </c>
      <c r="AR13" s="137" t="e">
        <f t="shared" si="14"/>
        <v>#REF!</v>
      </c>
      <c r="AS13" s="137" t="e">
        <f t="shared" si="14"/>
        <v>#REF!</v>
      </c>
      <c r="AT13" s="9" t="e">
        <f t="shared" si="14"/>
        <v>#REF!</v>
      </c>
      <c r="AU13" s="137" t="e">
        <f t="shared" si="14"/>
        <v>#REF!</v>
      </c>
      <c r="AV13" s="137" t="e">
        <f t="shared" si="14"/>
        <v>#REF!</v>
      </c>
      <c r="AW13" s="137" t="e">
        <f t="shared" si="14"/>
        <v>#REF!</v>
      </c>
      <c r="AX13" s="137" t="e">
        <f t="shared" si="14"/>
        <v>#REF!</v>
      </c>
      <c r="AY13" s="9" t="e">
        <f t="shared" si="14"/>
        <v>#REF!</v>
      </c>
      <c r="AZ13" s="137" t="e">
        <f t="shared" si="14"/>
        <v>#REF!</v>
      </c>
      <c r="BA13" s="137" t="e">
        <f t="shared" si="14"/>
        <v>#REF!</v>
      </c>
      <c r="BB13" s="137" t="e">
        <f t="shared" si="14"/>
        <v>#REF!</v>
      </c>
      <c r="BC13" s="137" t="e">
        <f t="shared" si="14"/>
        <v>#REF!</v>
      </c>
      <c r="BD13" s="106" t="e">
        <f t="shared" si="14"/>
        <v>#REF!</v>
      </c>
    </row>
    <row r="14" customFormat="1" spans="1:56">
      <c r="A14" s="128" t="s">
        <v>390</v>
      </c>
      <c r="B14" s="137" t="e">
        <f t="shared" ref="B14:AG14" si="15">B5/B$8</f>
        <v>#DIV/0!</v>
      </c>
      <c r="C14" s="137" t="e">
        <f t="shared" si="15"/>
        <v>#DIV/0!</v>
      </c>
      <c r="D14" s="137" t="e">
        <f t="shared" si="15"/>
        <v>#DIV/0!</v>
      </c>
      <c r="E14" s="137" t="e">
        <f t="shared" si="15"/>
        <v>#DIV/0!</v>
      </c>
      <c r="F14" s="106" t="e">
        <f t="shared" si="15"/>
        <v>#DIV/0!</v>
      </c>
      <c r="G14" s="106" t="e">
        <f t="shared" si="15"/>
        <v>#DIV/0!</v>
      </c>
      <c r="H14" s="106" t="e">
        <f t="shared" si="15"/>
        <v>#DIV/0!</v>
      </c>
      <c r="I14" s="106" t="e">
        <f t="shared" si="15"/>
        <v>#DIV/0!</v>
      </c>
      <c r="J14" s="106" t="e">
        <f t="shared" si="15"/>
        <v>#DIV/0!</v>
      </c>
      <c r="K14" s="9" t="e">
        <f t="shared" si="15"/>
        <v>#DIV/0!</v>
      </c>
      <c r="L14" s="106" t="e">
        <f t="shared" si="15"/>
        <v>#REF!</v>
      </c>
      <c r="M14" s="106" t="e">
        <f t="shared" si="15"/>
        <v>#REF!</v>
      </c>
      <c r="N14" s="106" t="e">
        <f t="shared" si="15"/>
        <v>#REF!</v>
      </c>
      <c r="O14" s="106" t="e">
        <f t="shared" si="15"/>
        <v>#REF!</v>
      </c>
      <c r="P14" s="9" t="e">
        <f t="shared" si="15"/>
        <v>#REF!</v>
      </c>
      <c r="Q14" s="106" t="e">
        <f t="shared" si="15"/>
        <v>#REF!</v>
      </c>
      <c r="R14" s="106" t="e">
        <f t="shared" si="15"/>
        <v>#REF!</v>
      </c>
      <c r="S14" s="106" t="e">
        <f t="shared" si="15"/>
        <v>#REF!</v>
      </c>
      <c r="T14" s="106" t="e">
        <f t="shared" si="15"/>
        <v>#REF!</v>
      </c>
      <c r="U14" s="9" t="e">
        <f t="shared" si="15"/>
        <v>#REF!</v>
      </c>
      <c r="V14" s="137" t="e">
        <f t="shared" si="15"/>
        <v>#REF!</v>
      </c>
      <c r="W14" s="137" t="e">
        <f t="shared" si="15"/>
        <v>#REF!</v>
      </c>
      <c r="X14" s="137" t="e">
        <f t="shared" si="15"/>
        <v>#REF!</v>
      </c>
      <c r="Y14" s="137" t="e">
        <f t="shared" si="15"/>
        <v>#REF!</v>
      </c>
      <c r="Z14" s="9" t="e">
        <f t="shared" si="15"/>
        <v>#REF!</v>
      </c>
      <c r="AA14" s="137" t="e">
        <f t="shared" si="15"/>
        <v>#REF!</v>
      </c>
      <c r="AB14" s="137" t="e">
        <f t="shared" si="15"/>
        <v>#REF!</v>
      </c>
      <c r="AC14" s="137" t="e">
        <f t="shared" si="15"/>
        <v>#REF!</v>
      </c>
      <c r="AD14" s="137" t="e">
        <f t="shared" si="15"/>
        <v>#REF!</v>
      </c>
      <c r="AE14" s="9" t="e">
        <f t="shared" si="15"/>
        <v>#REF!</v>
      </c>
      <c r="AF14" s="137" t="e">
        <f t="shared" si="15"/>
        <v>#REF!</v>
      </c>
      <c r="AG14" s="137" t="e">
        <f t="shared" si="15"/>
        <v>#REF!</v>
      </c>
      <c r="AH14" s="137" t="e">
        <f t="shared" ref="AH14:BD14" si="16">AH5/AH$8</f>
        <v>#REF!</v>
      </c>
      <c r="AI14" s="137" t="e">
        <f t="shared" si="16"/>
        <v>#REF!</v>
      </c>
      <c r="AJ14" s="9" t="e">
        <f t="shared" si="16"/>
        <v>#REF!</v>
      </c>
      <c r="AK14" s="137" t="e">
        <f t="shared" si="16"/>
        <v>#REF!</v>
      </c>
      <c r="AL14" s="137" t="e">
        <f t="shared" si="16"/>
        <v>#REF!</v>
      </c>
      <c r="AM14" s="137" t="e">
        <f t="shared" si="16"/>
        <v>#REF!</v>
      </c>
      <c r="AN14" s="137" t="e">
        <f t="shared" si="16"/>
        <v>#REF!</v>
      </c>
      <c r="AO14" s="9" t="e">
        <f t="shared" si="16"/>
        <v>#REF!</v>
      </c>
      <c r="AP14" s="137" t="e">
        <f t="shared" si="16"/>
        <v>#REF!</v>
      </c>
      <c r="AQ14" s="137" t="e">
        <f t="shared" si="16"/>
        <v>#REF!</v>
      </c>
      <c r="AR14" s="137" t="e">
        <f t="shared" si="16"/>
        <v>#REF!</v>
      </c>
      <c r="AS14" s="137" t="e">
        <f t="shared" si="16"/>
        <v>#REF!</v>
      </c>
      <c r="AT14" s="9" t="e">
        <f t="shared" si="16"/>
        <v>#REF!</v>
      </c>
      <c r="AU14" s="137" t="e">
        <f t="shared" si="16"/>
        <v>#REF!</v>
      </c>
      <c r="AV14" s="137" t="e">
        <f t="shared" si="16"/>
        <v>#REF!</v>
      </c>
      <c r="AW14" s="137" t="e">
        <f t="shared" si="16"/>
        <v>#REF!</v>
      </c>
      <c r="AX14" s="137" t="e">
        <f t="shared" si="16"/>
        <v>#REF!</v>
      </c>
      <c r="AY14" s="9" t="e">
        <f t="shared" si="16"/>
        <v>#REF!</v>
      </c>
      <c r="AZ14" s="137" t="e">
        <f t="shared" si="16"/>
        <v>#REF!</v>
      </c>
      <c r="BA14" s="137" t="e">
        <f t="shared" si="16"/>
        <v>#REF!</v>
      </c>
      <c r="BB14" s="137" t="e">
        <f t="shared" si="16"/>
        <v>#REF!</v>
      </c>
      <c r="BC14" s="137" t="e">
        <f t="shared" si="16"/>
        <v>#REF!</v>
      </c>
      <c r="BD14" s="106" t="e">
        <f t="shared" si="16"/>
        <v>#REF!</v>
      </c>
    </row>
    <row r="15" customFormat="1" spans="1:56">
      <c r="A15" s="128" t="s">
        <v>391</v>
      </c>
      <c r="B15" s="137" t="e">
        <f t="shared" ref="B15:AG15" si="17">B6/B$8</f>
        <v>#DIV/0!</v>
      </c>
      <c r="C15" s="137" t="e">
        <f t="shared" si="17"/>
        <v>#DIV/0!</v>
      </c>
      <c r="D15" s="137" t="e">
        <f t="shared" si="17"/>
        <v>#DIV/0!</v>
      </c>
      <c r="E15" s="137" t="e">
        <f t="shared" si="17"/>
        <v>#DIV/0!</v>
      </c>
      <c r="F15" s="106" t="e">
        <f t="shared" si="17"/>
        <v>#DIV/0!</v>
      </c>
      <c r="G15" s="106" t="e">
        <f t="shared" si="17"/>
        <v>#DIV/0!</v>
      </c>
      <c r="H15" s="106" t="e">
        <f t="shared" si="17"/>
        <v>#DIV/0!</v>
      </c>
      <c r="I15" s="106" t="e">
        <f t="shared" si="17"/>
        <v>#DIV/0!</v>
      </c>
      <c r="J15" s="106" t="e">
        <f t="shared" si="17"/>
        <v>#DIV/0!</v>
      </c>
      <c r="K15" s="9" t="e">
        <f t="shared" si="17"/>
        <v>#DIV/0!</v>
      </c>
      <c r="L15" s="106" t="e">
        <f t="shared" si="17"/>
        <v>#REF!</v>
      </c>
      <c r="M15" s="106" t="e">
        <f t="shared" si="17"/>
        <v>#REF!</v>
      </c>
      <c r="N15" s="106" t="e">
        <f t="shared" si="17"/>
        <v>#REF!</v>
      </c>
      <c r="O15" s="106" t="e">
        <f t="shared" si="17"/>
        <v>#REF!</v>
      </c>
      <c r="P15" s="9" t="e">
        <f t="shared" si="17"/>
        <v>#REF!</v>
      </c>
      <c r="Q15" s="106" t="e">
        <f t="shared" si="17"/>
        <v>#REF!</v>
      </c>
      <c r="R15" s="106" t="e">
        <f t="shared" si="17"/>
        <v>#REF!</v>
      </c>
      <c r="S15" s="106" t="e">
        <f t="shared" si="17"/>
        <v>#REF!</v>
      </c>
      <c r="T15" s="106" t="e">
        <f t="shared" si="17"/>
        <v>#REF!</v>
      </c>
      <c r="U15" s="9" t="e">
        <f t="shared" si="17"/>
        <v>#REF!</v>
      </c>
      <c r="V15" s="137" t="e">
        <f t="shared" si="17"/>
        <v>#REF!</v>
      </c>
      <c r="W15" s="137" t="e">
        <f t="shared" si="17"/>
        <v>#REF!</v>
      </c>
      <c r="X15" s="137" t="e">
        <f t="shared" si="17"/>
        <v>#REF!</v>
      </c>
      <c r="Y15" s="137" t="e">
        <f t="shared" si="17"/>
        <v>#REF!</v>
      </c>
      <c r="Z15" s="9" t="e">
        <f t="shared" si="17"/>
        <v>#REF!</v>
      </c>
      <c r="AA15" s="137" t="e">
        <f t="shared" si="17"/>
        <v>#REF!</v>
      </c>
      <c r="AB15" s="137" t="e">
        <f t="shared" si="17"/>
        <v>#REF!</v>
      </c>
      <c r="AC15" s="137" t="e">
        <f t="shared" si="17"/>
        <v>#REF!</v>
      </c>
      <c r="AD15" s="137" t="e">
        <f t="shared" si="17"/>
        <v>#REF!</v>
      </c>
      <c r="AE15" s="9" t="e">
        <f t="shared" si="17"/>
        <v>#REF!</v>
      </c>
      <c r="AF15" s="137" t="e">
        <f t="shared" si="17"/>
        <v>#REF!</v>
      </c>
      <c r="AG15" s="137" t="e">
        <f t="shared" si="17"/>
        <v>#REF!</v>
      </c>
      <c r="AH15" s="137" t="e">
        <f t="shared" ref="AH15:BD15" si="18">AH6/AH$8</f>
        <v>#REF!</v>
      </c>
      <c r="AI15" s="137" t="e">
        <f t="shared" si="18"/>
        <v>#REF!</v>
      </c>
      <c r="AJ15" s="9" t="e">
        <f t="shared" si="18"/>
        <v>#REF!</v>
      </c>
      <c r="AK15" s="137" t="e">
        <f t="shared" si="18"/>
        <v>#REF!</v>
      </c>
      <c r="AL15" s="137" t="e">
        <f t="shared" si="18"/>
        <v>#REF!</v>
      </c>
      <c r="AM15" s="137" t="e">
        <f t="shared" si="18"/>
        <v>#REF!</v>
      </c>
      <c r="AN15" s="137" t="e">
        <f t="shared" si="18"/>
        <v>#REF!</v>
      </c>
      <c r="AO15" s="9" t="e">
        <f t="shared" si="18"/>
        <v>#REF!</v>
      </c>
      <c r="AP15" s="137" t="e">
        <f t="shared" si="18"/>
        <v>#REF!</v>
      </c>
      <c r="AQ15" s="137" t="e">
        <f t="shared" si="18"/>
        <v>#REF!</v>
      </c>
      <c r="AR15" s="137" t="e">
        <f t="shared" si="18"/>
        <v>#REF!</v>
      </c>
      <c r="AS15" s="137" t="e">
        <f t="shared" si="18"/>
        <v>#REF!</v>
      </c>
      <c r="AT15" s="9" t="e">
        <f t="shared" si="18"/>
        <v>#REF!</v>
      </c>
      <c r="AU15" s="137" t="e">
        <f t="shared" si="18"/>
        <v>#REF!</v>
      </c>
      <c r="AV15" s="137" t="e">
        <f t="shared" si="18"/>
        <v>#REF!</v>
      </c>
      <c r="AW15" s="137" t="e">
        <f t="shared" si="18"/>
        <v>#REF!</v>
      </c>
      <c r="AX15" s="137" t="e">
        <f t="shared" si="18"/>
        <v>#REF!</v>
      </c>
      <c r="AY15" s="9" t="e">
        <f t="shared" si="18"/>
        <v>#REF!</v>
      </c>
      <c r="AZ15" s="137" t="e">
        <f t="shared" si="18"/>
        <v>#REF!</v>
      </c>
      <c r="BA15" s="137" t="e">
        <f t="shared" si="18"/>
        <v>#REF!</v>
      </c>
      <c r="BB15" s="137" t="e">
        <f t="shared" si="18"/>
        <v>#REF!</v>
      </c>
      <c r="BC15" s="137" t="e">
        <f t="shared" si="18"/>
        <v>#REF!</v>
      </c>
      <c r="BD15" s="106" t="e">
        <f t="shared" si="18"/>
        <v>#REF!</v>
      </c>
    </row>
    <row r="16" customFormat="1" spans="1:56">
      <c r="A16" s="128" t="s">
        <v>392</v>
      </c>
      <c r="B16" s="137" t="e">
        <f t="shared" ref="B16:AG16" si="19">B7/B$8</f>
        <v>#DIV/0!</v>
      </c>
      <c r="C16" s="137" t="e">
        <f t="shared" si="19"/>
        <v>#DIV/0!</v>
      </c>
      <c r="D16" s="137" t="e">
        <f t="shared" si="19"/>
        <v>#DIV/0!</v>
      </c>
      <c r="E16" s="137" t="e">
        <f t="shared" si="19"/>
        <v>#DIV/0!</v>
      </c>
      <c r="F16" s="106" t="e">
        <f t="shared" si="19"/>
        <v>#DIV/0!</v>
      </c>
      <c r="G16" s="106" t="e">
        <f t="shared" si="19"/>
        <v>#DIV/0!</v>
      </c>
      <c r="H16" s="106" t="e">
        <f t="shared" si="19"/>
        <v>#DIV/0!</v>
      </c>
      <c r="I16" s="106" t="e">
        <f t="shared" si="19"/>
        <v>#DIV/0!</v>
      </c>
      <c r="J16" s="106" t="e">
        <f t="shared" si="19"/>
        <v>#DIV/0!</v>
      </c>
      <c r="K16" s="9" t="e">
        <f t="shared" si="19"/>
        <v>#DIV/0!</v>
      </c>
      <c r="L16" s="106" t="e">
        <f t="shared" si="19"/>
        <v>#REF!</v>
      </c>
      <c r="M16" s="106" t="e">
        <f t="shared" si="19"/>
        <v>#REF!</v>
      </c>
      <c r="N16" s="106" t="e">
        <f t="shared" si="19"/>
        <v>#REF!</v>
      </c>
      <c r="O16" s="106" t="e">
        <f t="shared" si="19"/>
        <v>#REF!</v>
      </c>
      <c r="P16" s="9" t="e">
        <f t="shared" si="19"/>
        <v>#REF!</v>
      </c>
      <c r="Q16" s="106" t="e">
        <f t="shared" si="19"/>
        <v>#REF!</v>
      </c>
      <c r="R16" s="106" t="e">
        <f t="shared" si="19"/>
        <v>#REF!</v>
      </c>
      <c r="S16" s="106" t="e">
        <f t="shared" si="19"/>
        <v>#REF!</v>
      </c>
      <c r="T16" s="106" t="e">
        <f t="shared" si="19"/>
        <v>#REF!</v>
      </c>
      <c r="U16" s="9" t="e">
        <f t="shared" si="19"/>
        <v>#REF!</v>
      </c>
      <c r="V16" s="137" t="e">
        <f t="shared" si="19"/>
        <v>#REF!</v>
      </c>
      <c r="W16" s="137" t="e">
        <f t="shared" si="19"/>
        <v>#REF!</v>
      </c>
      <c r="X16" s="137" t="e">
        <f t="shared" si="19"/>
        <v>#REF!</v>
      </c>
      <c r="Y16" s="137" t="e">
        <f t="shared" si="19"/>
        <v>#REF!</v>
      </c>
      <c r="Z16" s="9" t="e">
        <f t="shared" si="19"/>
        <v>#REF!</v>
      </c>
      <c r="AA16" s="137" t="e">
        <f t="shared" si="19"/>
        <v>#REF!</v>
      </c>
      <c r="AB16" s="137" t="e">
        <f t="shared" si="19"/>
        <v>#REF!</v>
      </c>
      <c r="AC16" s="137" t="e">
        <f t="shared" si="19"/>
        <v>#REF!</v>
      </c>
      <c r="AD16" s="137" t="e">
        <f t="shared" si="19"/>
        <v>#REF!</v>
      </c>
      <c r="AE16" s="9" t="e">
        <f t="shared" si="19"/>
        <v>#REF!</v>
      </c>
      <c r="AF16" s="137" t="e">
        <f t="shared" si="19"/>
        <v>#REF!</v>
      </c>
      <c r="AG16" s="137" t="e">
        <f t="shared" si="19"/>
        <v>#REF!</v>
      </c>
      <c r="AH16" s="137" t="e">
        <f t="shared" ref="AH16:BD16" si="20">AH7/AH$8</f>
        <v>#REF!</v>
      </c>
      <c r="AI16" s="137" t="e">
        <f t="shared" si="20"/>
        <v>#REF!</v>
      </c>
      <c r="AJ16" s="9" t="e">
        <f t="shared" si="20"/>
        <v>#REF!</v>
      </c>
      <c r="AK16" s="137" t="e">
        <f t="shared" si="20"/>
        <v>#REF!</v>
      </c>
      <c r="AL16" s="137" t="e">
        <f t="shared" si="20"/>
        <v>#REF!</v>
      </c>
      <c r="AM16" s="137" t="e">
        <f t="shared" si="20"/>
        <v>#REF!</v>
      </c>
      <c r="AN16" s="137" t="e">
        <f t="shared" si="20"/>
        <v>#REF!</v>
      </c>
      <c r="AO16" s="9" t="e">
        <f t="shared" si="20"/>
        <v>#REF!</v>
      </c>
      <c r="AP16" s="137" t="e">
        <f t="shared" si="20"/>
        <v>#REF!</v>
      </c>
      <c r="AQ16" s="137" t="e">
        <f t="shared" si="20"/>
        <v>#REF!</v>
      </c>
      <c r="AR16" s="137" t="e">
        <f t="shared" si="20"/>
        <v>#REF!</v>
      </c>
      <c r="AS16" s="137" t="e">
        <f t="shared" si="20"/>
        <v>#REF!</v>
      </c>
      <c r="AT16" s="9" t="e">
        <f t="shared" si="20"/>
        <v>#REF!</v>
      </c>
      <c r="AU16" s="137" t="e">
        <f t="shared" si="20"/>
        <v>#REF!</v>
      </c>
      <c r="AV16" s="137" t="e">
        <f t="shared" si="20"/>
        <v>#REF!</v>
      </c>
      <c r="AW16" s="137" t="e">
        <f t="shared" si="20"/>
        <v>#REF!</v>
      </c>
      <c r="AX16" s="137" t="e">
        <f t="shared" si="20"/>
        <v>#REF!</v>
      </c>
      <c r="AY16" s="9" t="e">
        <f t="shared" si="20"/>
        <v>#REF!</v>
      </c>
      <c r="AZ16" s="137" t="e">
        <f t="shared" si="20"/>
        <v>#REF!</v>
      </c>
      <c r="BA16" s="137" t="e">
        <f t="shared" si="20"/>
        <v>#REF!</v>
      </c>
      <c r="BB16" s="137" t="e">
        <f t="shared" si="20"/>
        <v>#REF!</v>
      </c>
      <c r="BC16" s="137" t="e">
        <f t="shared" si="20"/>
        <v>#REF!</v>
      </c>
      <c r="BD16" s="106" t="e">
        <f t="shared" si="20"/>
        <v>#REF!</v>
      </c>
    </row>
    <row r="17" customFormat="1" ht="16.5" spans="1:56">
      <c r="A17" s="131"/>
      <c r="B17" s="114" t="e">
        <f t="shared" ref="B17:AG17" si="21">B8/B$8</f>
        <v>#DIV/0!</v>
      </c>
      <c r="C17" s="114" t="e">
        <f t="shared" si="21"/>
        <v>#DIV/0!</v>
      </c>
      <c r="D17" s="114" t="e">
        <f t="shared" si="21"/>
        <v>#DIV/0!</v>
      </c>
      <c r="E17" s="114" t="e">
        <f t="shared" si="21"/>
        <v>#DIV/0!</v>
      </c>
      <c r="F17" s="114" t="e">
        <f t="shared" si="21"/>
        <v>#DIV/0!</v>
      </c>
      <c r="G17" s="114" t="e">
        <f t="shared" si="21"/>
        <v>#DIV/0!</v>
      </c>
      <c r="H17" s="114" t="e">
        <f t="shared" si="21"/>
        <v>#DIV/0!</v>
      </c>
      <c r="I17" s="114" t="e">
        <f t="shared" si="21"/>
        <v>#DIV/0!</v>
      </c>
      <c r="J17" s="114" t="e">
        <f t="shared" si="21"/>
        <v>#DIV/0!</v>
      </c>
      <c r="K17" s="33" t="e">
        <f t="shared" si="21"/>
        <v>#DIV/0!</v>
      </c>
      <c r="L17" s="114" t="e">
        <f t="shared" si="21"/>
        <v>#REF!</v>
      </c>
      <c r="M17" s="114" t="e">
        <f t="shared" si="21"/>
        <v>#REF!</v>
      </c>
      <c r="N17" s="114" t="e">
        <f t="shared" si="21"/>
        <v>#REF!</v>
      </c>
      <c r="O17" s="114" t="e">
        <f t="shared" si="21"/>
        <v>#REF!</v>
      </c>
      <c r="P17" s="33" t="e">
        <f t="shared" si="21"/>
        <v>#REF!</v>
      </c>
      <c r="Q17" s="114" t="e">
        <f t="shared" si="21"/>
        <v>#REF!</v>
      </c>
      <c r="R17" s="114" t="e">
        <f t="shared" si="21"/>
        <v>#REF!</v>
      </c>
      <c r="S17" s="114" t="e">
        <f t="shared" si="21"/>
        <v>#REF!</v>
      </c>
      <c r="T17" s="114" t="e">
        <f t="shared" si="21"/>
        <v>#REF!</v>
      </c>
      <c r="U17" s="33" t="e">
        <f t="shared" si="21"/>
        <v>#REF!</v>
      </c>
      <c r="V17" s="114" t="e">
        <f t="shared" si="21"/>
        <v>#REF!</v>
      </c>
      <c r="W17" s="114" t="e">
        <f t="shared" si="21"/>
        <v>#REF!</v>
      </c>
      <c r="X17" s="114" t="e">
        <f t="shared" si="21"/>
        <v>#REF!</v>
      </c>
      <c r="Y17" s="114" t="e">
        <f t="shared" si="21"/>
        <v>#REF!</v>
      </c>
      <c r="Z17" s="33" t="e">
        <f t="shared" si="21"/>
        <v>#REF!</v>
      </c>
      <c r="AA17" s="114" t="e">
        <f t="shared" si="21"/>
        <v>#REF!</v>
      </c>
      <c r="AB17" s="114" t="e">
        <f t="shared" si="21"/>
        <v>#REF!</v>
      </c>
      <c r="AC17" s="114" t="e">
        <f t="shared" si="21"/>
        <v>#REF!</v>
      </c>
      <c r="AD17" s="114" t="e">
        <f t="shared" si="21"/>
        <v>#REF!</v>
      </c>
      <c r="AE17" s="33" t="e">
        <f t="shared" si="21"/>
        <v>#REF!</v>
      </c>
      <c r="AF17" s="114" t="e">
        <f t="shared" si="21"/>
        <v>#REF!</v>
      </c>
      <c r="AG17" s="114" t="e">
        <f t="shared" si="21"/>
        <v>#REF!</v>
      </c>
      <c r="AH17" s="114" t="e">
        <f t="shared" ref="AH17:BD17" si="22">AH8/AH$8</f>
        <v>#REF!</v>
      </c>
      <c r="AI17" s="114" t="e">
        <f t="shared" si="22"/>
        <v>#REF!</v>
      </c>
      <c r="AJ17" s="33" t="e">
        <f t="shared" si="22"/>
        <v>#REF!</v>
      </c>
      <c r="AK17" s="114" t="e">
        <f t="shared" si="22"/>
        <v>#REF!</v>
      </c>
      <c r="AL17" s="114" t="e">
        <f t="shared" si="22"/>
        <v>#REF!</v>
      </c>
      <c r="AM17" s="114" t="e">
        <f t="shared" si="22"/>
        <v>#REF!</v>
      </c>
      <c r="AN17" s="114" t="e">
        <f t="shared" si="22"/>
        <v>#REF!</v>
      </c>
      <c r="AO17" s="33" t="e">
        <f t="shared" si="22"/>
        <v>#REF!</v>
      </c>
      <c r="AP17" s="114" t="e">
        <f t="shared" si="22"/>
        <v>#REF!</v>
      </c>
      <c r="AQ17" s="114" t="e">
        <f t="shared" si="22"/>
        <v>#REF!</v>
      </c>
      <c r="AR17" s="114" t="e">
        <f t="shared" si="22"/>
        <v>#REF!</v>
      </c>
      <c r="AS17" s="114" t="e">
        <f t="shared" si="22"/>
        <v>#REF!</v>
      </c>
      <c r="AT17" s="33" t="e">
        <f t="shared" si="22"/>
        <v>#REF!</v>
      </c>
      <c r="AU17" s="114" t="e">
        <f t="shared" si="22"/>
        <v>#REF!</v>
      </c>
      <c r="AV17" s="114" t="e">
        <f t="shared" si="22"/>
        <v>#REF!</v>
      </c>
      <c r="AW17" s="114" t="e">
        <f t="shared" si="22"/>
        <v>#REF!</v>
      </c>
      <c r="AX17" s="114" t="e">
        <f t="shared" si="22"/>
        <v>#REF!</v>
      </c>
      <c r="AY17" s="33" t="e">
        <f t="shared" si="22"/>
        <v>#REF!</v>
      </c>
      <c r="AZ17" s="114" t="e">
        <f t="shared" si="22"/>
        <v>#REF!</v>
      </c>
      <c r="BA17" s="114" t="e">
        <f t="shared" si="22"/>
        <v>#REF!</v>
      </c>
      <c r="BB17" s="114" t="e">
        <f t="shared" si="22"/>
        <v>#REF!</v>
      </c>
      <c r="BC17" s="114" t="e">
        <f t="shared" si="22"/>
        <v>#REF!</v>
      </c>
      <c r="BD17" s="114" t="e">
        <f t="shared" si="22"/>
        <v>#REF!</v>
      </c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84"/>
  <sheetViews>
    <sheetView zoomScale="85" zoomScaleNormal="85" workbookViewId="0">
      <pane xSplit="2" ySplit="4" topLeftCell="C56" activePane="bottomRight" state="frozen"/>
      <selection/>
      <selection pane="topRight"/>
      <selection pane="bottomLeft"/>
      <selection pane="bottomRight" activeCell="C53" sqref="C53"/>
    </sheetView>
  </sheetViews>
  <sheetFormatPr defaultColWidth="9" defaultRowHeight="15.75"/>
  <cols>
    <col min="1" max="3" width="17.2035398230088" style="56" customWidth="1"/>
    <col min="4" max="4" width="15.3362831858407" style="1" customWidth="1" outlineLevel="1"/>
    <col min="5" max="5" width="14.1327433628319" style="1" customWidth="1" outlineLevel="1"/>
    <col min="6" max="19" width="15.2035398230088" style="1" customWidth="1" outlineLevel="2"/>
    <col min="20" max="20" width="11.6637168141593" style="1" customWidth="1" outlineLevel="2"/>
    <col min="21" max="21" width="11.7345132743363" style="1" customWidth="1" outlineLevel="2"/>
    <col min="22" max="22" width="11.7964601769912" style="1" customWidth="1" outlineLevel="2"/>
    <col min="23" max="23" width="12.929203539823" style="1" customWidth="1" outlineLevel="2"/>
    <col min="24" max="24" width="13.929203539823" style="57" customWidth="1" outlineLevel="2"/>
    <col min="25" max="25" width="13.929203539823" style="58" customWidth="1" outlineLevel="2"/>
    <col min="26" max="27" width="14.6017699115044" style="58" customWidth="1" outlineLevel="2"/>
    <col min="28" max="28" width="13.6637168141593" style="57" customWidth="1" outlineLevel="2"/>
    <col min="29" max="29" width="13.6637168141593" style="58" customWidth="1" outlineLevel="2"/>
    <col min="30" max="30" width="12.8672566371681" style="57" customWidth="1" outlineLevel="2"/>
    <col min="31" max="31" width="12.929203539823" style="58" customWidth="1" outlineLevel="2"/>
    <col min="32" max="16384" width="9" style="1"/>
  </cols>
  <sheetData>
    <row r="1" s="55" customFormat="1" ht="16.5" spans="1:31">
      <c r="A1" s="59" t="s">
        <v>393</v>
      </c>
      <c r="B1" s="59"/>
      <c r="C1" s="59"/>
      <c r="D1" s="60" t="s">
        <v>2</v>
      </c>
      <c r="E1" s="60"/>
      <c r="F1" s="61" t="s">
        <v>3</v>
      </c>
      <c r="G1" s="61"/>
      <c r="H1" s="61" t="s">
        <v>4</v>
      </c>
      <c r="I1" s="61"/>
      <c r="J1" s="61" t="s">
        <v>5</v>
      </c>
      <c r="K1" s="61"/>
      <c r="L1" s="61" t="s">
        <v>6</v>
      </c>
      <c r="M1" s="61"/>
      <c r="N1" s="61" t="s">
        <v>7</v>
      </c>
      <c r="O1" s="61"/>
      <c r="P1" s="61" t="s">
        <v>8</v>
      </c>
      <c r="Q1" s="61"/>
      <c r="R1" s="61" t="s">
        <v>9</v>
      </c>
      <c r="S1" s="61"/>
      <c r="T1" s="61" t="s">
        <v>10</v>
      </c>
      <c r="U1" s="61"/>
      <c r="V1" s="61" t="s">
        <v>11</v>
      </c>
      <c r="W1" s="61"/>
      <c r="X1" s="62" t="s">
        <v>299</v>
      </c>
      <c r="Y1" s="61"/>
      <c r="Z1" s="61" t="s">
        <v>300</v>
      </c>
      <c r="AA1" s="61"/>
      <c r="AB1" s="62" t="s">
        <v>301</v>
      </c>
      <c r="AC1" s="61"/>
      <c r="AD1" s="62" t="s">
        <v>302</v>
      </c>
      <c r="AE1" s="61"/>
    </row>
    <row r="2" s="55" customFormat="1" ht="16.5" spans="1:31">
      <c r="A2" s="63" t="s">
        <v>19</v>
      </c>
      <c r="B2" s="64" t="s">
        <v>394</v>
      </c>
      <c r="C2" s="65" t="s">
        <v>303</v>
      </c>
      <c r="D2" s="66">
        <v>46023</v>
      </c>
      <c r="E2" s="66">
        <v>46054</v>
      </c>
      <c r="F2" s="67">
        <v>46023</v>
      </c>
      <c r="G2" s="67">
        <v>46054</v>
      </c>
      <c r="H2" s="67">
        <v>46023</v>
      </c>
      <c r="I2" s="67">
        <v>46054</v>
      </c>
      <c r="J2" s="67">
        <v>46023</v>
      </c>
      <c r="K2" s="67">
        <v>46054</v>
      </c>
      <c r="L2" s="67">
        <v>46023</v>
      </c>
      <c r="M2" s="67">
        <v>46054</v>
      </c>
      <c r="N2" s="67">
        <v>46023</v>
      </c>
      <c r="O2" s="67">
        <v>46054</v>
      </c>
      <c r="P2" s="67">
        <v>46023</v>
      </c>
      <c r="Q2" s="67">
        <v>46054</v>
      </c>
      <c r="R2" s="67">
        <v>46023</v>
      </c>
      <c r="S2" s="67">
        <v>46054</v>
      </c>
      <c r="T2" s="67">
        <v>46023</v>
      </c>
      <c r="U2" s="67">
        <v>46054</v>
      </c>
      <c r="V2" s="67">
        <v>46023</v>
      </c>
      <c r="W2" s="67">
        <v>46054</v>
      </c>
      <c r="X2" s="68">
        <v>46023</v>
      </c>
      <c r="Y2" s="69">
        <v>46054</v>
      </c>
      <c r="Z2" s="68">
        <v>46023</v>
      </c>
      <c r="AA2" s="69">
        <v>46054</v>
      </c>
      <c r="AB2" s="68">
        <v>46023</v>
      </c>
      <c r="AC2" s="69">
        <v>46054</v>
      </c>
      <c r="AD2" s="68">
        <v>46023</v>
      </c>
      <c r="AE2" s="69">
        <v>46054</v>
      </c>
    </row>
    <row r="3" ht="15" spans="1:31">
      <c r="A3" s="70" t="s">
        <v>26</v>
      </c>
      <c r="B3" s="71" t="s">
        <v>395</v>
      </c>
      <c r="C3" s="72">
        <v>46353614.3562288</v>
      </c>
      <c r="D3" s="73">
        <f>F3+H3+J3+L3+N3+P3+R3+T3+V3+X3+Z3+AD3+AB3</f>
        <v>2036511.03124302</v>
      </c>
      <c r="E3" s="73">
        <f t="shared" ref="E3:E39" si="0">G3+I3+K3+M3+O3+Q3+S3+U3+W3+Y3+AA3+AE3+AC3</f>
        <v>1649163.5506465</v>
      </c>
      <c r="F3" s="73">
        <v>182599.896153406</v>
      </c>
      <c r="G3" s="73">
        <v>140331.297101505</v>
      </c>
      <c r="H3" s="73">
        <v>148798.041324905</v>
      </c>
      <c r="I3" s="73">
        <v>113542.91428791</v>
      </c>
      <c r="J3" s="73">
        <v>152129.606810181</v>
      </c>
      <c r="K3" s="73">
        <v>89380.3492953307</v>
      </c>
      <c r="L3" s="73">
        <v>295863.83302211</v>
      </c>
      <c r="M3" s="73">
        <v>156724.411389936</v>
      </c>
      <c r="N3" s="73">
        <v>738803.538648415</v>
      </c>
      <c r="O3" s="73">
        <v>675145.377830141</v>
      </c>
      <c r="P3" s="73">
        <v>26501.1298479239</v>
      </c>
      <c r="Q3" s="73">
        <v>25776.9495054172</v>
      </c>
      <c r="R3" s="73">
        <v>118360.782363491</v>
      </c>
      <c r="S3" s="73">
        <v>87077.8704632255</v>
      </c>
      <c r="T3" s="73">
        <v>17752.2433521893</v>
      </c>
      <c r="U3" s="73">
        <v>11355.0889064461</v>
      </c>
      <c r="V3" s="73">
        <v>187280.73646067</v>
      </c>
      <c r="W3" s="73">
        <v>200443.836074923</v>
      </c>
      <c r="X3" s="74">
        <v>7293.11843119251</v>
      </c>
      <c r="Y3" s="73">
        <v>0</v>
      </c>
      <c r="Z3" s="74">
        <v>111569.992497359</v>
      </c>
      <c r="AA3" s="73">
        <v>112874.256902641</v>
      </c>
      <c r="AB3" s="74">
        <v>0</v>
      </c>
      <c r="AC3" s="73">
        <v>0</v>
      </c>
      <c r="AD3" s="74">
        <v>49558.1123311784</v>
      </c>
      <c r="AE3" s="73">
        <v>36511.1988890259</v>
      </c>
    </row>
    <row r="4" ht="15" spans="1:31">
      <c r="A4" s="75"/>
      <c r="B4" s="76" t="s">
        <v>396</v>
      </c>
      <c r="C4" s="77">
        <v>71417973.9707234</v>
      </c>
      <c r="D4" s="78">
        <f t="shared" ref="D4:D39" si="1">F4+H4+J4+L4+N4+P4+R4+T4+V4+X4+Z4+AD4+AB4</f>
        <v>2994020.96380553</v>
      </c>
      <c r="E4" s="78">
        <f t="shared" si="0"/>
        <v>5345.39537299976</v>
      </c>
      <c r="F4" s="78">
        <v>448895.311093598</v>
      </c>
      <c r="G4" s="78">
        <v>0</v>
      </c>
      <c r="H4" s="78">
        <v>502002.152995541</v>
      </c>
      <c r="I4" s="78">
        <v>380.707025901118</v>
      </c>
      <c r="J4" s="78">
        <v>191469.791980813</v>
      </c>
      <c r="K4" s="78">
        <v>366.906079144699</v>
      </c>
      <c r="L4" s="78">
        <v>241044.909711009</v>
      </c>
      <c r="M4" s="78">
        <v>866.53765850842</v>
      </c>
      <c r="N4" s="78">
        <v>630401.705206298</v>
      </c>
      <c r="O4" s="78">
        <v>1679.73358334569</v>
      </c>
      <c r="P4" s="78">
        <v>69236.2282021649</v>
      </c>
      <c r="Q4" s="78">
        <v>0</v>
      </c>
      <c r="R4" s="78">
        <v>304443.868364574</v>
      </c>
      <c r="S4" s="78">
        <v>901.670981739224</v>
      </c>
      <c r="T4" s="78">
        <v>47791.216536855</v>
      </c>
      <c r="U4" s="78">
        <v>0</v>
      </c>
      <c r="V4" s="78">
        <v>473122.128951253</v>
      </c>
      <c r="W4" s="78">
        <v>0</v>
      </c>
      <c r="X4" s="79">
        <v>8930.57217968268</v>
      </c>
      <c r="Y4" s="78">
        <v>0</v>
      </c>
      <c r="Z4" s="78">
        <v>76309.3082856646</v>
      </c>
      <c r="AA4" s="78">
        <v>0</v>
      </c>
      <c r="AB4" s="79">
        <v>0</v>
      </c>
      <c r="AC4" s="78">
        <v>0</v>
      </c>
      <c r="AD4" s="79">
        <v>373.770298075854</v>
      </c>
      <c r="AE4" s="78">
        <v>1149.84004436061</v>
      </c>
    </row>
    <row r="5" ht="15" spans="1:31">
      <c r="A5" s="75"/>
      <c r="B5" s="76" t="s">
        <v>397</v>
      </c>
      <c r="C5" s="77">
        <v>51153687.5866623</v>
      </c>
      <c r="D5" s="78">
        <f t="shared" si="1"/>
        <v>3275526.58449895</v>
      </c>
      <c r="E5" s="78">
        <f t="shared" si="0"/>
        <v>3949058.7741529</v>
      </c>
      <c r="F5" s="78">
        <v>103825.436816342</v>
      </c>
      <c r="G5" s="78">
        <v>154632.769336523</v>
      </c>
      <c r="H5" s="78">
        <v>99518.3887634471</v>
      </c>
      <c r="I5" s="78">
        <v>122844.600085821</v>
      </c>
      <c r="J5" s="78">
        <v>133325.320623736</v>
      </c>
      <c r="K5" s="78">
        <v>56330.2828697557</v>
      </c>
      <c r="L5" s="78">
        <v>442880.3000343</v>
      </c>
      <c r="M5" s="78">
        <v>171200.973259534</v>
      </c>
      <c r="N5" s="78">
        <v>1023548.83960092</v>
      </c>
      <c r="O5" s="78">
        <v>629942.799476207</v>
      </c>
      <c r="P5" s="78">
        <v>6883.28998956955</v>
      </c>
      <c r="Q5" s="78">
        <v>83161.8058480287</v>
      </c>
      <c r="R5" s="78">
        <v>112989.836892978</v>
      </c>
      <c r="S5" s="78">
        <v>134062.753903393</v>
      </c>
      <c r="T5" s="78">
        <v>3321.03779643777</v>
      </c>
      <c r="U5" s="78">
        <v>6009.45695271206</v>
      </c>
      <c r="V5" s="78">
        <v>68467.2667640028</v>
      </c>
      <c r="W5" s="78">
        <v>154218.785116358</v>
      </c>
      <c r="X5" s="79">
        <v>10814.1905370914</v>
      </c>
      <c r="Y5" s="78">
        <v>16442.3139492007</v>
      </c>
      <c r="Z5" s="78">
        <v>136286.242138677</v>
      </c>
      <c r="AA5" s="78">
        <v>105342.503027865</v>
      </c>
      <c r="AB5" s="79">
        <v>0</v>
      </c>
      <c r="AC5" s="78">
        <v>0</v>
      </c>
      <c r="AD5" s="79">
        <v>1133666.43454145</v>
      </c>
      <c r="AE5" s="78">
        <v>2314869.7303275</v>
      </c>
    </row>
    <row r="6" ht="15" spans="1:31">
      <c r="A6" s="75"/>
      <c r="B6" s="76" t="s">
        <v>398</v>
      </c>
      <c r="C6" s="77">
        <v>102822157.695392</v>
      </c>
      <c r="D6" s="78">
        <f t="shared" si="1"/>
        <v>8629832.79960578</v>
      </c>
      <c r="E6" s="78">
        <f t="shared" si="0"/>
        <v>8645226.51891603</v>
      </c>
      <c r="F6" s="78">
        <v>281632.071836447</v>
      </c>
      <c r="G6" s="78">
        <v>308245.528468838</v>
      </c>
      <c r="H6" s="78">
        <v>126233.817432515</v>
      </c>
      <c r="I6" s="78">
        <v>230115.351146044</v>
      </c>
      <c r="J6" s="78">
        <v>182954.214325297</v>
      </c>
      <c r="K6" s="78">
        <v>420534.080677931</v>
      </c>
      <c r="L6" s="78">
        <v>636944.772555368</v>
      </c>
      <c r="M6" s="78">
        <v>476847.079289376</v>
      </c>
      <c r="N6" s="78">
        <v>2132940.02738096</v>
      </c>
      <c r="O6" s="78">
        <v>3929866.46719811</v>
      </c>
      <c r="P6" s="78">
        <v>201545.392789238</v>
      </c>
      <c r="Q6" s="78">
        <v>111511.89998691</v>
      </c>
      <c r="R6" s="78">
        <v>361806.2572855</v>
      </c>
      <c r="S6" s="78">
        <v>341550.711942911</v>
      </c>
      <c r="T6" s="78">
        <v>33220.9913494283</v>
      </c>
      <c r="U6" s="78">
        <v>69411.5903082602</v>
      </c>
      <c r="V6" s="78">
        <v>322277.409312945</v>
      </c>
      <c r="W6" s="78">
        <v>332323.534582716</v>
      </c>
      <c r="X6" s="79">
        <v>0</v>
      </c>
      <c r="Y6" s="78">
        <v>9046.26596967659</v>
      </c>
      <c r="Z6" s="78">
        <v>172807.218681336</v>
      </c>
      <c r="AA6" s="78">
        <v>207585.877674233</v>
      </c>
      <c r="AB6" s="79">
        <v>0</v>
      </c>
      <c r="AC6" s="78">
        <v>12200.9413704097</v>
      </c>
      <c r="AD6" s="79">
        <v>4177470.62665674</v>
      </c>
      <c r="AE6" s="78">
        <v>2195987.19030061</v>
      </c>
    </row>
    <row r="7" ht="15" spans="1:31">
      <c r="A7" s="75"/>
      <c r="B7" s="76" t="s">
        <v>399</v>
      </c>
      <c r="C7" s="77">
        <v>18988778.0204375</v>
      </c>
      <c r="D7" s="78">
        <f t="shared" si="1"/>
        <v>342709.789894124</v>
      </c>
      <c r="E7" s="78">
        <f t="shared" si="0"/>
        <v>275598.814084148</v>
      </c>
      <c r="F7" s="78">
        <v>6271.66399561018</v>
      </c>
      <c r="G7" s="78">
        <v>7937.4095252506</v>
      </c>
      <c r="H7" s="78">
        <v>0</v>
      </c>
      <c r="I7" s="78">
        <v>0</v>
      </c>
      <c r="J7" s="78">
        <v>12224.9379334834</v>
      </c>
      <c r="K7" s="78">
        <v>7033.56453024702</v>
      </c>
      <c r="L7" s="78">
        <v>7871.53431590256</v>
      </c>
      <c r="M7" s="78">
        <v>4580.74882104749</v>
      </c>
      <c r="N7" s="78">
        <v>139040.964497225</v>
      </c>
      <c r="O7" s="78">
        <v>130290.569657379</v>
      </c>
      <c r="P7" s="78">
        <v>22616.5107671477</v>
      </c>
      <c r="Q7" s="78">
        <v>8267.8316141059</v>
      </c>
      <c r="R7" s="78">
        <v>11565.8027232118</v>
      </c>
      <c r="S7" s="78">
        <v>14877.5711986972</v>
      </c>
      <c r="T7" s="78">
        <v>0</v>
      </c>
      <c r="U7" s="78">
        <v>0</v>
      </c>
      <c r="V7" s="78">
        <v>70988.9913607427</v>
      </c>
      <c r="W7" s="78">
        <v>39737.7272581538</v>
      </c>
      <c r="X7" s="79">
        <v>0</v>
      </c>
      <c r="Y7" s="78">
        <v>0</v>
      </c>
      <c r="Z7" s="78">
        <v>4320.80036073105</v>
      </c>
      <c r="AA7" s="78">
        <v>20892.76196546</v>
      </c>
      <c r="AB7" s="79">
        <v>0</v>
      </c>
      <c r="AC7" s="78">
        <v>0</v>
      </c>
      <c r="AD7" s="79">
        <v>67808.5839400691</v>
      </c>
      <c r="AE7" s="78">
        <v>41980.6295138071</v>
      </c>
    </row>
    <row r="8" ht="15" spans="1:31">
      <c r="A8" s="75"/>
      <c r="B8" s="76" t="s">
        <v>400</v>
      </c>
      <c r="C8" s="77">
        <v>43101359.7040477</v>
      </c>
      <c r="D8" s="78">
        <f t="shared" si="1"/>
        <v>3077503.26811043</v>
      </c>
      <c r="E8" s="78">
        <f t="shared" si="0"/>
        <v>2194673.05267991</v>
      </c>
      <c r="F8" s="78">
        <v>179657.666623768</v>
      </c>
      <c r="G8" s="78">
        <v>103594.785883792</v>
      </c>
      <c r="H8" s="78">
        <v>39780.4973173853</v>
      </c>
      <c r="I8" s="78">
        <v>34777.5964187447</v>
      </c>
      <c r="J8" s="78">
        <v>263038.831430515</v>
      </c>
      <c r="K8" s="78">
        <v>435155.932832884</v>
      </c>
      <c r="L8" s="78">
        <v>263963.165205378</v>
      </c>
      <c r="M8" s="78">
        <v>62392.6325524817</v>
      </c>
      <c r="N8" s="78">
        <v>570070.655733908</v>
      </c>
      <c r="O8" s="78">
        <v>383148.438360626</v>
      </c>
      <c r="P8" s="78">
        <v>26285.9886504539</v>
      </c>
      <c r="Q8" s="78">
        <v>16045.1972382867</v>
      </c>
      <c r="R8" s="78">
        <v>174279.209453823</v>
      </c>
      <c r="S8" s="78">
        <v>172512.782190764</v>
      </c>
      <c r="T8" s="78">
        <v>12332.4636537955</v>
      </c>
      <c r="U8" s="78">
        <v>12599.1019370619</v>
      </c>
      <c r="V8" s="78">
        <v>157064.857580084</v>
      </c>
      <c r="W8" s="78">
        <v>199932.191830911</v>
      </c>
      <c r="X8" s="79">
        <v>4954.82791978882</v>
      </c>
      <c r="Y8" s="78">
        <v>1404.57237056157</v>
      </c>
      <c r="Z8" s="78">
        <v>65387.2953100978</v>
      </c>
      <c r="AA8" s="78">
        <v>135842.594647344</v>
      </c>
      <c r="AB8" s="79">
        <v>0</v>
      </c>
      <c r="AC8" s="78">
        <v>0</v>
      </c>
      <c r="AD8" s="79">
        <v>1320687.80923143</v>
      </c>
      <c r="AE8" s="78">
        <v>637267.226416447</v>
      </c>
    </row>
    <row r="9" ht="15" spans="1:31">
      <c r="A9" s="75"/>
      <c r="B9" s="76" t="s">
        <v>401</v>
      </c>
      <c r="C9" s="77">
        <v>1841278143.00549</v>
      </c>
      <c r="D9" s="78">
        <f t="shared" si="1"/>
        <v>131952967.48007</v>
      </c>
      <c r="E9" s="78">
        <f t="shared" si="0"/>
        <v>102857473.562274</v>
      </c>
      <c r="F9" s="78">
        <v>16871312.8446187</v>
      </c>
      <c r="G9" s="78">
        <v>13294027.7963941</v>
      </c>
      <c r="H9" s="78">
        <v>9920134.65862224</v>
      </c>
      <c r="I9" s="78">
        <v>10474202.3947274</v>
      </c>
      <c r="J9" s="78">
        <v>6886503.66936306</v>
      </c>
      <c r="K9" s="78">
        <v>4893233.5855055</v>
      </c>
      <c r="L9" s="78">
        <v>10190414.636588</v>
      </c>
      <c r="M9" s="78">
        <v>8328723.04356355</v>
      </c>
      <c r="N9" s="78">
        <v>19691887.4144133</v>
      </c>
      <c r="O9" s="78">
        <v>16608290.3343433</v>
      </c>
      <c r="P9" s="78">
        <v>2984741.48805244</v>
      </c>
      <c r="Q9" s="78">
        <v>1642179.0556853</v>
      </c>
      <c r="R9" s="78">
        <v>10557521.9865585</v>
      </c>
      <c r="S9" s="78">
        <v>10650986.3568509</v>
      </c>
      <c r="T9" s="78">
        <v>1906934.57311829</v>
      </c>
      <c r="U9" s="78">
        <v>2137773.13403413</v>
      </c>
      <c r="V9" s="78">
        <v>20661161.2315984</v>
      </c>
      <c r="W9" s="78">
        <v>11969560.0822118</v>
      </c>
      <c r="X9" s="79">
        <v>535212.470008253</v>
      </c>
      <c r="Y9" s="78">
        <v>351868.641953886</v>
      </c>
      <c r="Z9" s="78">
        <v>2677558.478966</v>
      </c>
      <c r="AA9" s="78">
        <v>4222920.16891898</v>
      </c>
      <c r="AB9" s="79">
        <v>143796.422305662</v>
      </c>
      <c r="AC9" s="78">
        <v>111774.938724161</v>
      </c>
      <c r="AD9" s="79">
        <v>28925787.6058573</v>
      </c>
      <c r="AE9" s="78">
        <v>18171934.0293609</v>
      </c>
    </row>
    <row r="10" ht="15" spans="1:31">
      <c r="A10" s="75"/>
      <c r="B10" s="76" t="s">
        <v>402</v>
      </c>
      <c r="C10" s="77">
        <v>3259725.16073589</v>
      </c>
      <c r="D10" s="78">
        <f t="shared" si="1"/>
        <v>446913.259138604</v>
      </c>
      <c r="E10" s="78">
        <f t="shared" si="0"/>
        <v>40312.8737089054</v>
      </c>
      <c r="F10" s="78">
        <v>0</v>
      </c>
      <c r="G10" s="78">
        <v>0</v>
      </c>
      <c r="H10" s="78">
        <v>0</v>
      </c>
      <c r="I10" s="78">
        <v>0</v>
      </c>
      <c r="J10" s="78">
        <v>0</v>
      </c>
      <c r="K10" s="78">
        <v>0</v>
      </c>
      <c r="L10" s="78">
        <v>742.77993174512</v>
      </c>
      <c r="M10" s="78">
        <v>4725.42042865836</v>
      </c>
      <c r="N10" s="78">
        <v>23773.5953396</v>
      </c>
      <c r="O10" s="78">
        <v>0</v>
      </c>
      <c r="P10" s="78">
        <v>0</v>
      </c>
      <c r="Q10" s="78">
        <v>7530.9632778778</v>
      </c>
      <c r="R10" s="78">
        <v>54238.5076474603</v>
      </c>
      <c r="S10" s="78">
        <v>28056.4901452438</v>
      </c>
      <c r="T10" s="78">
        <v>0</v>
      </c>
      <c r="U10" s="78">
        <v>0</v>
      </c>
      <c r="V10" s="78">
        <v>9030.2007154874</v>
      </c>
      <c r="W10" s="78">
        <v>0</v>
      </c>
      <c r="X10" s="79">
        <v>0</v>
      </c>
      <c r="Y10" s="78">
        <v>0</v>
      </c>
      <c r="Z10" s="78">
        <v>0</v>
      </c>
      <c r="AA10" s="78">
        <v>-0.000142874462767395</v>
      </c>
      <c r="AB10" s="79">
        <v>0</v>
      </c>
      <c r="AC10" s="78">
        <v>0</v>
      </c>
      <c r="AD10" s="79">
        <v>359128.175504311</v>
      </c>
      <c r="AE10" s="78">
        <v>0</v>
      </c>
    </row>
    <row r="11" ht="15" spans="1:31">
      <c r="A11" s="75"/>
      <c r="B11" s="76" t="s">
        <v>403</v>
      </c>
      <c r="C11" s="77">
        <v>24542837.8032626</v>
      </c>
      <c r="D11" s="78">
        <f t="shared" si="1"/>
        <v>4164543.09444041</v>
      </c>
      <c r="E11" s="78">
        <f t="shared" si="0"/>
        <v>3596644.42229206</v>
      </c>
      <c r="F11" s="78">
        <v>0</v>
      </c>
      <c r="G11" s="78">
        <v>0</v>
      </c>
      <c r="H11" s="78">
        <v>595557.212942421</v>
      </c>
      <c r="I11" s="78">
        <v>532176.083972421</v>
      </c>
      <c r="J11" s="78">
        <v>346178.854588955</v>
      </c>
      <c r="K11" s="78">
        <v>423872.888800308</v>
      </c>
      <c r="L11" s="78">
        <v>357610.056829577</v>
      </c>
      <c r="M11" s="78">
        <v>293244.387469409</v>
      </c>
      <c r="N11" s="78">
        <v>989627.007720439</v>
      </c>
      <c r="O11" s="78">
        <v>982634.306975713</v>
      </c>
      <c r="P11" s="78">
        <v>0</v>
      </c>
      <c r="Q11" s="78">
        <v>45218.6108514879</v>
      </c>
      <c r="R11" s="78">
        <v>372169.699021781</v>
      </c>
      <c r="S11" s="78">
        <v>240790.5659413</v>
      </c>
      <c r="T11" s="78">
        <v>78320.2420613006</v>
      </c>
      <c r="U11" s="78">
        <v>52728.7486478712</v>
      </c>
      <c r="V11" s="78">
        <v>559953.454947757</v>
      </c>
      <c r="W11" s="78">
        <v>458513.059387535</v>
      </c>
      <c r="X11" s="79">
        <v>0</v>
      </c>
      <c r="Y11" s="78">
        <v>0</v>
      </c>
      <c r="Z11" s="78">
        <v>97753.5809657026</v>
      </c>
      <c r="AA11" s="78">
        <v>183031.375407301</v>
      </c>
      <c r="AB11" s="79">
        <v>0</v>
      </c>
      <c r="AC11" s="78">
        <v>0</v>
      </c>
      <c r="AD11" s="79">
        <v>767372.985362473</v>
      </c>
      <c r="AE11" s="78">
        <v>384434.394838718</v>
      </c>
    </row>
    <row r="12" ht="15" spans="1:31">
      <c r="A12" s="75"/>
      <c r="B12" s="76" t="s">
        <v>404</v>
      </c>
      <c r="C12" s="77">
        <v>0</v>
      </c>
      <c r="D12" s="78">
        <f t="shared" ref="D12" si="2">F12+H12+J12+L12+N12+P12+R12+T12+V12+X12+Z12+AD12+AB12</f>
        <v>0</v>
      </c>
      <c r="E12" s="78">
        <f t="shared" ref="E12" si="3">G12+I12+K12+M12+O12+Q12+S12+U12+W12+Y12+AA12+AE12+AC12</f>
        <v>0</v>
      </c>
      <c r="F12" s="78">
        <v>0</v>
      </c>
      <c r="G12" s="78">
        <v>0</v>
      </c>
      <c r="H12" s="78">
        <v>0</v>
      </c>
      <c r="I12" s="78">
        <v>0</v>
      </c>
      <c r="J12" s="78">
        <v>0</v>
      </c>
      <c r="K12" s="78">
        <v>0</v>
      </c>
      <c r="L12" s="78">
        <v>0</v>
      </c>
      <c r="M12" s="78">
        <v>0</v>
      </c>
      <c r="N12" s="78">
        <v>0</v>
      </c>
      <c r="O12" s="78">
        <v>0</v>
      </c>
      <c r="P12" s="78">
        <v>0</v>
      </c>
      <c r="Q12" s="78">
        <v>0</v>
      </c>
      <c r="R12" s="78">
        <v>0</v>
      </c>
      <c r="S12" s="78">
        <v>0</v>
      </c>
      <c r="T12" s="78">
        <v>0</v>
      </c>
      <c r="U12" s="78">
        <v>0</v>
      </c>
      <c r="V12" s="78">
        <v>0</v>
      </c>
      <c r="W12" s="78">
        <v>0</v>
      </c>
      <c r="X12" s="79">
        <v>0</v>
      </c>
      <c r="Y12" s="78">
        <v>0</v>
      </c>
      <c r="Z12" s="78">
        <v>0</v>
      </c>
      <c r="AA12" s="78">
        <v>0</v>
      </c>
      <c r="AB12" s="79">
        <v>0</v>
      </c>
      <c r="AC12" s="78">
        <v>0</v>
      </c>
      <c r="AD12" s="79">
        <v>0</v>
      </c>
      <c r="AE12" s="78">
        <v>0</v>
      </c>
    </row>
    <row r="13" ht="15" spans="1:31">
      <c r="A13" s="75"/>
      <c r="B13" s="76" t="s">
        <v>405</v>
      </c>
      <c r="C13" s="77">
        <v>937389.9467589</v>
      </c>
      <c r="D13" s="78">
        <f t="shared" si="1"/>
        <v>24513.5591538863</v>
      </c>
      <c r="E13" s="78">
        <f t="shared" si="0"/>
        <v>19550.3961757844</v>
      </c>
      <c r="F13" s="78">
        <v>904.764999078122</v>
      </c>
      <c r="G13" s="78">
        <v>1315.71328246876</v>
      </c>
      <c r="H13" s="78">
        <v>0</v>
      </c>
      <c r="I13" s="78">
        <v>0</v>
      </c>
      <c r="J13" s="78">
        <v>0</v>
      </c>
      <c r="K13" s="78">
        <v>0</v>
      </c>
      <c r="L13" s="78">
        <v>3722.12063102402</v>
      </c>
      <c r="M13" s="78">
        <v>2260.91931488387</v>
      </c>
      <c r="N13" s="78">
        <v>12966.2837907191</v>
      </c>
      <c r="O13" s="78">
        <v>10662.8471041617</v>
      </c>
      <c r="P13" s="78">
        <v>0</v>
      </c>
      <c r="Q13" s="78">
        <v>0</v>
      </c>
      <c r="R13" s="78">
        <v>201.745522007721</v>
      </c>
      <c r="S13" s="78">
        <v>754.329906537115</v>
      </c>
      <c r="T13" s="78">
        <v>0</v>
      </c>
      <c r="U13" s="78">
        <v>0</v>
      </c>
      <c r="V13" s="78">
        <v>4849.33407551213</v>
      </c>
      <c r="W13" s="78">
        <v>4295.59091766046</v>
      </c>
      <c r="X13" s="79">
        <v>0</v>
      </c>
      <c r="Y13" s="78">
        <v>0</v>
      </c>
      <c r="Z13" s="78">
        <v>0</v>
      </c>
      <c r="AA13" s="78">
        <v>0</v>
      </c>
      <c r="AB13" s="79">
        <v>0</v>
      </c>
      <c r="AC13" s="78">
        <v>0</v>
      </c>
      <c r="AD13" s="79">
        <v>1869.31013554522</v>
      </c>
      <c r="AE13" s="78">
        <v>260.995650072499</v>
      </c>
    </row>
    <row r="14" s="56" customFormat="1" ht="16.5" spans="1:31">
      <c r="A14" s="80" t="s">
        <v>406</v>
      </c>
      <c r="B14" s="81"/>
      <c r="C14" s="82">
        <v>2203855667.24974</v>
      </c>
      <c r="D14" s="83">
        <f t="shared" si="1"/>
        <v>156945041.829961</v>
      </c>
      <c r="E14" s="83">
        <f t="shared" si="0"/>
        <v>123233047.360303</v>
      </c>
      <c r="F14" s="83">
        <v>18075099.656137</v>
      </c>
      <c r="G14" s="83">
        <v>14010085.2999925</v>
      </c>
      <c r="H14" s="83">
        <v>11432024.7693985</v>
      </c>
      <c r="I14" s="83">
        <v>11508039.6476642</v>
      </c>
      <c r="J14" s="83">
        <v>8167825.22705604</v>
      </c>
      <c r="K14" s="83">
        <v>6325907.5905911</v>
      </c>
      <c r="L14" s="83">
        <v>12441058.1088244</v>
      </c>
      <c r="M14" s="83">
        <v>9501566.15374738</v>
      </c>
      <c r="N14" s="83">
        <v>25953060.0323317</v>
      </c>
      <c r="O14" s="83">
        <v>23351660.874529</v>
      </c>
      <c r="P14" s="83">
        <v>3337810.02829894</v>
      </c>
      <c r="Q14" s="83">
        <v>1939692.31400741</v>
      </c>
      <c r="R14" s="83">
        <v>12067577.6958333</v>
      </c>
      <c r="S14" s="83">
        <v>11671571.1035247</v>
      </c>
      <c r="T14" s="83">
        <v>2099672.76786829</v>
      </c>
      <c r="U14" s="83">
        <v>2289877.12078648</v>
      </c>
      <c r="V14" s="83">
        <v>22514195.6117669</v>
      </c>
      <c r="W14" s="83">
        <v>13359024.8073801</v>
      </c>
      <c r="X14" s="84">
        <v>567205.179076008</v>
      </c>
      <c r="Y14" s="83">
        <v>378761.794243325</v>
      </c>
      <c r="Z14" s="83">
        <v>3341992.91720557</v>
      </c>
      <c r="AA14" s="83">
        <v>4988489.53840094</v>
      </c>
      <c r="AB14" s="84">
        <v>143796.422305662</v>
      </c>
      <c r="AC14" s="83">
        <v>123975.880094571</v>
      </c>
      <c r="AD14" s="84">
        <v>36803723.4138585</v>
      </c>
      <c r="AE14" s="83">
        <v>23784395.2353414</v>
      </c>
    </row>
    <row r="15" ht="15" spans="1:31">
      <c r="A15" s="70" t="s">
        <v>27</v>
      </c>
      <c r="B15" s="71" t="s">
        <v>407</v>
      </c>
      <c r="C15" s="72">
        <v>130185206.183922</v>
      </c>
      <c r="D15" s="73">
        <f t="shared" si="1"/>
        <v>1385619.1019001</v>
      </c>
      <c r="E15" s="73">
        <f t="shared" si="0"/>
        <v>840276.009653309</v>
      </c>
      <c r="F15" s="73">
        <v>149230.856974622</v>
      </c>
      <c r="G15" s="73">
        <v>116249.32310348</v>
      </c>
      <c r="H15" s="73">
        <v>48613.5247307411</v>
      </c>
      <c r="I15" s="73">
        <v>24574.4220866925</v>
      </c>
      <c r="J15" s="73">
        <v>152569.2520584</v>
      </c>
      <c r="K15" s="73">
        <v>70159.2539030838</v>
      </c>
      <c r="L15" s="73">
        <v>27155.4820330695</v>
      </c>
      <c r="M15" s="73">
        <v>12237.5010280882</v>
      </c>
      <c r="N15" s="73">
        <v>505378.369784947</v>
      </c>
      <c r="O15" s="73">
        <v>367617.305060095</v>
      </c>
      <c r="P15" s="73">
        <v>36535.4876264063</v>
      </c>
      <c r="Q15" s="73">
        <v>14201.0005586356</v>
      </c>
      <c r="R15" s="73">
        <v>45946.4845313737</v>
      </c>
      <c r="S15" s="73">
        <v>25397.6534700057</v>
      </c>
      <c r="T15" s="73">
        <v>16341.8695350079</v>
      </c>
      <c r="U15" s="73">
        <v>13956.7730349909</v>
      </c>
      <c r="V15" s="73">
        <v>109839.285568294</v>
      </c>
      <c r="W15" s="73">
        <v>51295.0530422518</v>
      </c>
      <c r="X15" s="74">
        <v>47903.7749976772</v>
      </c>
      <c r="Y15" s="73">
        <v>0</v>
      </c>
      <c r="Z15" s="73">
        <v>36667.863655751</v>
      </c>
      <c r="AA15" s="73">
        <v>22539.1608279645</v>
      </c>
      <c r="AB15" s="74">
        <v>0</v>
      </c>
      <c r="AC15" s="73">
        <v>0</v>
      </c>
      <c r="AD15" s="74">
        <v>209436.850403813</v>
      </c>
      <c r="AE15" s="73">
        <v>122048.563538021</v>
      </c>
    </row>
    <row r="16" ht="15" spans="1:31">
      <c r="A16" s="75"/>
      <c r="B16" s="76" t="s">
        <v>408</v>
      </c>
      <c r="C16" s="77">
        <v>96933306.9804552</v>
      </c>
      <c r="D16" s="78">
        <f t="shared" si="1"/>
        <v>14977739.2105292</v>
      </c>
      <c r="E16" s="78">
        <f t="shared" si="0"/>
        <v>10362725.8717531</v>
      </c>
      <c r="F16" s="78">
        <v>1959008.56700787</v>
      </c>
      <c r="G16" s="78">
        <v>1154131.25162459</v>
      </c>
      <c r="H16" s="78">
        <v>969059.234382795</v>
      </c>
      <c r="I16" s="78">
        <v>629517.072660517</v>
      </c>
      <c r="J16" s="78">
        <v>1204945.36789779</v>
      </c>
      <c r="K16" s="78">
        <v>863356.905808452</v>
      </c>
      <c r="L16" s="78">
        <v>1209987.40005896</v>
      </c>
      <c r="M16" s="78">
        <v>1042835.14793064</v>
      </c>
      <c r="N16" s="78">
        <v>3004717.05291594</v>
      </c>
      <c r="O16" s="78">
        <v>2925714.51114686</v>
      </c>
      <c r="P16" s="78">
        <v>296669.703214504</v>
      </c>
      <c r="Q16" s="78">
        <v>200234.395564431</v>
      </c>
      <c r="R16" s="78">
        <v>944098.502603823</v>
      </c>
      <c r="S16" s="78">
        <v>766674.127717923</v>
      </c>
      <c r="T16" s="78">
        <v>142514.337331844</v>
      </c>
      <c r="U16" s="78">
        <v>94330.678882943</v>
      </c>
      <c r="V16" s="78">
        <v>937308.419884893</v>
      </c>
      <c r="W16" s="78">
        <v>637307.486294556</v>
      </c>
      <c r="X16" s="79">
        <v>53324.7525510065</v>
      </c>
      <c r="Y16" s="78">
        <v>3579.70197167213</v>
      </c>
      <c r="Z16" s="78">
        <v>197939.540218403</v>
      </c>
      <c r="AA16" s="78">
        <v>243086.278402143</v>
      </c>
      <c r="AB16" s="79">
        <v>135458.853235829</v>
      </c>
      <c r="AC16" s="78">
        <v>17168.0801683188</v>
      </c>
      <c r="AD16" s="79">
        <v>3922707.47922553</v>
      </c>
      <c r="AE16" s="78">
        <v>1784790.23358005</v>
      </c>
    </row>
    <row r="17" ht="15" spans="1:31">
      <c r="A17" s="75"/>
      <c r="B17" s="76" t="s">
        <v>409</v>
      </c>
      <c r="C17" s="77">
        <v>11952307.956475</v>
      </c>
      <c r="D17" s="78">
        <f t="shared" si="1"/>
        <v>504242.584078581</v>
      </c>
      <c r="E17" s="78">
        <f t="shared" si="0"/>
        <v>350087.100315942</v>
      </c>
      <c r="F17" s="78">
        <v>42640.0626577636</v>
      </c>
      <c r="G17" s="78">
        <v>26484.5848196958</v>
      </c>
      <c r="H17" s="78">
        <v>39464.1510193717</v>
      </c>
      <c r="I17" s="78">
        <v>29428.5809534217</v>
      </c>
      <c r="J17" s="78">
        <v>65072.3420594736</v>
      </c>
      <c r="K17" s="78">
        <v>26315.9592667552</v>
      </c>
      <c r="L17" s="78">
        <v>46507.0562340958</v>
      </c>
      <c r="M17" s="78">
        <v>27563.5165303948</v>
      </c>
      <c r="N17" s="78">
        <v>120890.909333071</v>
      </c>
      <c r="O17" s="78">
        <v>60848.5350516401</v>
      </c>
      <c r="P17" s="78">
        <v>3554.75512970487</v>
      </c>
      <c r="Q17" s="78">
        <v>2445.02994196363</v>
      </c>
      <c r="R17" s="78">
        <v>70651.8461302422</v>
      </c>
      <c r="S17" s="78">
        <v>65511.4374390852</v>
      </c>
      <c r="T17" s="78">
        <v>10243.165413532</v>
      </c>
      <c r="U17" s="78">
        <v>5758.42751828407</v>
      </c>
      <c r="V17" s="78">
        <v>52811.4651012153</v>
      </c>
      <c r="W17" s="78">
        <v>62214.3763157301</v>
      </c>
      <c r="X17" s="79">
        <v>0</v>
      </c>
      <c r="Y17" s="78">
        <v>0</v>
      </c>
      <c r="Z17" s="78">
        <v>30627.5952814455</v>
      </c>
      <c r="AA17" s="78">
        <v>26616.0217872991</v>
      </c>
      <c r="AB17" s="79">
        <v>0</v>
      </c>
      <c r="AC17" s="78">
        <v>0</v>
      </c>
      <c r="AD17" s="79">
        <v>21779.2357186656</v>
      </c>
      <c r="AE17" s="78">
        <v>16900.6306916726</v>
      </c>
    </row>
    <row r="18" ht="15" spans="1:31">
      <c r="A18" s="75"/>
      <c r="B18" s="76" t="s">
        <v>410</v>
      </c>
      <c r="C18" s="77">
        <v>5584517.59687056</v>
      </c>
      <c r="D18" s="78">
        <f t="shared" si="1"/>
        <v>1863983.08810589</v>
      </c>
      <c r="E18" s="78">
        <f t="shared" si="0"/>
        <v>1157735.35864397</v>
      </c>
      <c r="F18" s="78">
        <v>31360.3080218357</v>
      </c>
      <c r="G18" s="78">
        <v>16693.6963310086</v>
      </c>
      <c r="H18" s="78">
        <v>8329.99822619142</v>
      </c>
      <c r="I18" s="78">
        <v>8927.58069466019</v>
      </c>
      <c r="J18" s="78">
        <v>4536.12542231267</v>
      </c>
      <c r="K18" s="78">
        <v>3329.90317179429</v>
      </c>
      <c r="L18" s="78">
        <v>51537.0583142756</v>
      </c>
      <c r="M18" s="78">
        <v>92918.1867108466</v>
      </c>
      <c r="N18" s="78">
        <v>1708780.68127957</v>
      </c>
      <c r="O18" s="78">
        <v>998064.770384585</v>
      </c>
      <c r="P18" s="78">
        <v>13703.1481703101</v>
      </c>
      <c r="Q18" s="78">
        <v>585.879531774961</v>
      </c>
      <c r="R18" s="78">
        <v>4369.97730362877</v>
      </c>
      <c r="S18" s="78">
        <v>1996.50681804963</v>
      </c>
      <c r="T18" s="78">
        <v>2909.92612903567</v>
      </c>
      <c r="U18" s="78">
        <v>3681.13022689772</v>
      </c>
      <c r="V18" s="78">
        <v>46668.8293166007</v>
      </c>
      <c r="W18" s="78">
        <v>20228.2493495939</v>
      </c>
      <c r="X18" s="79">
        <v>-17664.1689484989</v>
      </c>
      <c r="Y18" s="78">
        <v>0</v>
      </c>
      <c r="Z18" s="78">
        <v>825.931630849263</v>
      </c>
      <c r="AA18" s="78">
        <v>8527.31025364076</v>
      </c>
      <c r="AB18" s="79">
        <v>0</v>
      </c>
      <c r="AC18" s="78">
        <v>0</v>
      </c>
      <c r="AD18" s="79">
        <v>8625.27323977843</v>
      </c>
      <c r="AE18" s="78">
        <v>2782.14517112327</v>
      </c>
    </row>
    <row r="19" ht="15" spans="1:31">
      <c r="A19" s="75"/>
      <c r="B19" s="76" t="s">
        <v>411</v>
      </c>
      <c r="C19" s="77">
        <v>175927662.032149</v>
      </c>
      <c r="D19" s="78">
        <f t="shared" si="1"/>
        <v>13356408.8804318</v>
      </c>
      <c r="E19" s="78">
        <f t="shared" si="0"/>
        <v>11639080.3572128</v>
      </c>
      <c r="F19" s="78">
        <v>1819136.43610908</v>
      </c>
      <c r="G19" s="78">
        <v>1388390.84097301</v>
      </c>
      <c r="H19" s="78">
        <v>546416.360129361</v>
      </c>
      <c r="I19" s="78">
        <v>424776.686598403</v>
      </c>
      <c r="J19" s="78">
        <v>1246549.50827658</v>
      </c>
      <c r="K19" s="78">
        <v>1268451.01280174</v>
      </c>
      <c r="L19" s="78">
        <v>1217536.82896846</v>
      </c>
      <c r="M19" s="78">
        <v>1321294.18478876</v>
      </c>
      <c r="N19" s="78">
        <v>3318878.54488755</v>
      </c>
      <c r="O19" s="78">
        <v>2709111.90052439</v>
      </c>
      <c r="P19" s="78">
        <v>181327.799398186</v>
      </c>
      <c r="Q19" s="78">
        <v>222460.560150477</v>
      </c>
      <c r="R19" s="78">
        <v>1279906.3928994</v>
      </c>
      <c r="S19" s="78">
        <v>1410361.10900596</v>
      </c>
      <c r="T19" s="78">
        <v>72559.4133149279</v>
      </c>
      <c r="U19" s="78">
        <v>78292.55152921</v>
      </c>
      <c r="V19" s="78">
        <v>1077648.54454001</v>
      </c>
      <c r="W19" s="78">
        <v>994696.021676202</v>
      </c>
      <c r="X19" s="79">
        <v>47899.402624517</v>
      </c>
      <c r="Y19" s="78">
        <v>31898.1411187992</v>
      </c>
      <c r="Z19" s="78">
        <v>246875.297159827</v>
      </c>
      <c r="AA19" s="78">
        <v>271801.690214389</v>
      </c>
      <c r="AB19" s="79">
        <v>171453.212874453</v>
      </c>
      <c r="AC19" s="78">
        <v>63164.761512266</v>
      </c>
      <c r="AD19" s="79">
        <v>2130221.13924941</v>
      </c>
      <c r="AE19" s="78">
        <v>1454380.89631915</v>
      </c>
    </row>
    <row r="20" ht="15" spans="1:31">
      <c r="A20" s="75"/>
      <c r="B20" s="76" t="s">
        <v>412</v>
      </c>
      <c r="C20" s="77">
        <v>109158710.962192</v>
      </c>
      <c r="D20" s="78">
        <f t="shared" si="1"/>
        <v>5806605.00723812</v>
      </c>
      <c r="E20" s="78">
        <f t="shared" si="0"/>
        <v>4453103.59656121</v>
      </c>
      <c r="F20" s="78">
        <v>165838.56953785</v>
      </c>
      <c r="G20" s="78">
        <v>226984.189535956</v>
      </c>
      <c r="H20" s="78">
        <v>86040.9992495244</v>
      </c>
      <c r="I20" s="78">
        <v>42421.0054885883</v>
      </c>
      <c r="J20" s="78">
        <v>180381.731901398</v>
      </c>
      <c r="K20" s="78">
        <v>130539.114667745</v>
      </c>
      <c r="L20" s="78">
        <v>705171.388644782</v>
      </c>
      <c r="M20" s="78">
        <v>432730.26406985</v>
      </c>
      <c r="N20" s="78">
        <v>2397573.37988658</v>
      </c>
      <c r="O20" s="78">
        <v>1886044.44229877</v>
      </c>
      <c r="P20" s="78">
        <v>103643.886687952</v>
      </c>
      <c r="Q20" s="78">
        <v>79371.3277924229</v>
      </c>
      <c r="R20" s="78">
        <v>558736.692114113</v>
      </c>
      <c r="S20" s="78">
        <v>636293.490732141</v>
      </c>
      <c r="T20" s="78">
        <v>81747.8753257727</v>
      </c>
      <c r="U20" s="78">
        <v>50534.9344583739</v>
      </c>
      <c r="V20" s="78">
        <v>362071.964749734</v>
      </c>
      <c r="W20" s="78">
        <v>421827.186487252</v>
      </c>
      <c r="X20" s="79">
        <v>7630.22840184296</v>
      </c>
      <c r="Y20" s="78">
        <v>0</v>
      </c>
      <c r="Z20" s="78">
        <v>66224.7862003858</v>
      </c>
      <c r="AA20" s="78">
        <v>116463.467156705</v>
      </c>
      <c r="AB20" s="79">
        <v>24348.6530357933</v>
      </c>
      <c r="AC20" s="78">
        <v>41737.3055983342</v>
      </c>
      <c r="AD20" s="79">
        <v>1067194.85150239</v>
      </c>
      <c r="AE20" s="78">
        <v>388156.868275076</v>
      </c>
    </row>
    <row r="21" ht="15" spans="1:31">
      <c r="A21" s="75"/>
      <c r="B21" s="76" t="s">
        <v>413</v>
      </c>
      <c r="C21" s="77">
        <v>0</v>
      </c>
      <c r="D21" s="78">
        <f t="shared" si="1"/>
        <v>0</v>
      </c>
      <c r="E21" s="78">
        <f t="shared" si="0"/>
        <v>0</v>
      </c>
      <c r="F21" s="78">
        <v>0</v>
      </c>
      <c r="G21" s="78">
        <v>0</v>
      </c>
      <c r="H21" s="78">
        <v>0</v>
      </c>
      <c r="I21" s="78">
        <v>0</v>
      </c>
      <c r="J21" s="78">
        <v>0</v>
      </c>
      <c r="K21" s="78">
        <v>0</v>
      </c>
      <c r="L21" s="78">
        <v>0</v>
      </c>
      <c r="M21" s="78">
        <v>0</v>
      </c>
      <c r="N21" s="78">
        <v>0</v>
      </c>
      <c r="O21" s="78">
        <v>0</v>
      </c>
      <c r="P21" s="78">
        <v>0</v>
      </c>
      <c r="Q21" s="78">
        <v>0</v>
      </c>
      <c r="R21" s="78">
        <v>0</v>
      </c>
      <c r="S21" s="78">
        <v>0</v>
      </c>
      <c r="T21" s="78">
        <v>0</v>
      </c>
      <c r="U21" s="78">
        <v>0</v>
      </c>
      <c r="V21" s="78">
        <v>0</v>
      </c>
      <c r="W21" s="78">
        <v>0</v>
      </c>
      <c r="X21" s="79">
        <v>0</v>
      </c>
      <c r="Y21" s="78">
        <v>0</v>
      </c>
      <c r="Z21" s="78">
        <v>0</v>
      </c>
      <c r="AA21" s="78">
        <v>0</v>
      </c>
      <c r="AB21" s="79">
        <v>0</v>
      </c>
      <c r="AC21" s="78">
        <v>0</v>
      </c>
      <c r="AD21" s="79">
        <v>0</v>
      </c>
      <c r="AE21" s="78">
        <v>0</v>
      </c>
    </row>
    <row r="22" ht="15" spans="1:31">
      <c r="A22" s="75"/>
      <c r="B22" s="76" t="s">
        <v>414</v>
      </c>
      <c r="C22" s="77">
        <v>3653851.03765908</v>
      </c>
      <c r="D22" s="78">
        <f t="shared" si="1"/>
        <v>276218.524794119</v>
      </c>
      <c r="E22" s="78">
        <f t="shared" si="0"/>
        <v>132433.368649962</v>
      </c>
      <c r="F22" s="78">
        <v>6527.92965371769</v>
      </c>
      <c r="G22" s="78">
        <v>4246.71240006265</v>
      </c>
      <c r="H22" s="78">
        <v>4811.96926712953</v>
      </c>
      <c r="I22" s="78">
        <v>2664.89319099752</v>
      </c>
      <c r="J22" s="78">
        <v>20464.8079212676</v>
      </c>
      <c r="K22" s="78">
        <v>9863.11978060817</v>
      </c>
      <c r="L22" s="78">
        <v>20599.5149233838</v>
      </c>
      <c r="M22" s="78">
        <v>8796.20813302714</v>
      </c>
      <c r="N22" s="78">
        <v>99145.3833498044</v>
      </c>
      <c r="O22" s="78">
        <v>42033.3162040733</v>
      </c>
      <c r="P22" s="78">
        <v>1060.84975182363</v>
      </c>
      <c r="Q22" s="78">
        <v>223.4643962225</v>
      </c>
      <c r="R22" s="78">
        <v>19501.9495600925</v>
      </c>
      <c r="S22" s="78">
        <v>14833.1573817702</v>
      </c>
      <c r="T22" s="78">
        <v>5208.08367227126</v>
      </c>
      <c r="U22" s="78">
        <v>3689.61685179498</v>
      </c>
      <c r="V22" s="78">
        <v>20882.8019103222</v>
      </c>
      <c r="W22" s="78">
        <v>8845.92465136926</v>
      </c>
      <c r="X22" s="79">
        <v>0</v>
      </c>
      <c r="Y22" s="78">
        <v>0</v>
      </c>
      <c r="Z22" s="78">
        <v>4849.37188169297</v>
      </c>
      <c r="AA22" s="78">
        <v>5274.2407541793</v>
      </c>
      <c r="AB22" s="79">
        <v>0</v>
      </c>
      <c r="AC22" s="78">
        <v>0</v>
      </c>
      <c r="AD22" s="79">
        <v>73165.8629026137</v>
      </c>
      <c r="AE22" s="78">
        <v>31962.7149058566</v>
      </c>
    </row>
    <row r="23" ht="15" spans="1:31">
      <c r="A23" s="75"/>
      <c r="B23" s="76" t="s">
        <v>415</v>
      </c>
      <c r="C23" s="77">
        <v>0</v>
      </c>
      <c r="D23" s="78">
        <f t="shared" ref="D23" si="4">F23+H23+J23+L23+N23+P23+R23+T23+V23+X23+Z23+AD23+AB23</f>
        <v>16089.8992011099</v>
      </c>
      <c r="E23" s="78">
        <f t="shared" ref="E23" si="5">G23+I23+K23+M23+O23+Q23+S23+U23+W23+Y23+AA23+AE23+AC23</f>
        <v>10516.10757637</v>
      </c>
      <c r="F23" s="78">
        <v>0</v>
      </c>
      <c r="G23" s="78">
        <v>0</v>
      </c>
      <c r="H23" s="78">
        <v>0</v>
      </c>
      <c r="I23" s="78">
        <v>0</v>
      </c>
      <c r="J23" s="78">
        <v>0</v>
      </c>
      <c r="K23" s="78">
        <v>0</v>
      </c>
      <c r="L23" s="78">
        <v>0</v>
      </c>
      <c r="M23" s="78">
        <v>0</v>
      </c>
      <c r="N23" s="78">
        <v>16089.8992011099</v>
      </c>
      <c r="O23" s="78">
        <v>10516.10757637</v>
      </c>
      <c r="P23" s="78">
        <v>0</v>
      </c>
      <c r="Q23" s="78">
        <v>0</v>
      </c>
      <c r="R23" s="78">
        <v>0</v>
      </c>
      <c r="S23" s="78">
        <v>0</v>
      </c>
      <c r="T23" s="78">
        <v>0</v>
      </c>
      <c r="U23" s="78">
        <v>0</v>
      </c>
      <c r="V23" s="78">
        <v>0</v>
      </c>
      <c r="W23" s="78">
        <v>0</v>
      </c>
      <c r="X23" s="79">
        <v>0</v>
      </c>
      <c r="Y23" s="78">
        <v>0</v>
      </c>
      <c r="Z23" s="78">
        <v>0</v>
      </c>
      <c r="AA23" s="78">
        <v>0</v>
      </c>
      <c r="AB23" s="79">
        <v>0</v>
      </c>
      <c r="AC23" s="78">
        <v>0</v>
      </c>
      <c r="AD23" s="79">
        <v>0</v>
      </c>
      <c r="AE23" s="78">
        <v>0</v>
      </c>
    </row>
    <row r="24" ht="15" spans="1:31">
      <c r="A24" s="75"/>
      <c r="B24" s="76" t="s">
        <v>416</v>
      </c>
      <c r="C24" s="77"/>
      <c r="D24" s="78">
        <f t="shared" ref="D24" si="6">F24+H24+J24+L24+N24+P24+R24+T24+V24+X24+Z24+AD24+AB24</f>
        <v>4079314.09821961</v>
      </c>
      <c r="E24" s="78">
        <f t="shared" ref="E24" si="7">G24+I24+K24+M24+O24+Q24+S24+U24+W24+Y24+AA24+AE24+AC24</f>
        <v>2602895.58708904</v>
      </c>
      <c r="F24" s="78">
        <v>504770.45975519</v>
      </c>
      <c r="G24" s="78">
        <v>414317.182440284</v>
      </c>
      <c r="H24" s="78">
        <v>4831.1965687794</v>
      </c>
      <c r="I24" s="78">
        <v>999.361030213887</v>
      </c>
      <c r="J24" s="78">
        <v>1664.83506246248</v>
      </c>
      <c r="K24" s="78">
        <v>630.555226057003</v>
      </c>
      <c r="L24" s="78">
        <v>428624.874923152</v>
      </c>
      <c r="M24" s="78">
        <v>268917.863340017</v>
      </c>
      <c r="N24" s="78">
        <v>1588049.9054077</v>
      </c>
      <c r="O24" s="78">
        <v>1100965.7477494</v>
      </c>
      <c r="P24" s="78">
        <v>29908.709996767</v>
      </c>
      <c r="Q24" s="78">
        <v>24844.3369520766</v>
      </c>
      <c r="R24" s="78">
        <v>569528.66673368</v>
      </c>
      <c r="S24" s="78">
        <v>302759.472744545</v>
      </c>
      <c r="T24" s="78">
        <v>56368.9905941472</v>
      </c>
      <c r="U24" s="78">
        <v>62935.6538633304</v>
      </c>
      <c r="V24" s="78">
        <v>353491.416879527</v>
      </c>
      <c r="W24" s="78">
        <v>243256.069679457</v>
      </c>
      <c r="X24" s="79">
        <v>38490.5474757743</v>
      </c>
      <c r="Y24" s="78">
        <v>0</v>
      </c>
      <c r="Z24" s="78">
        <v>75593.0517017439</v>
      </c>
      <c r="AA24" s="78">
        <v>82165.7948708855</v>
      </c>
      <c r="AB24" s="79">
        <v>0</v>
      </c>
      <c r="AC24" s="78">
        <v>0</v>
      </c>
      <c r="AD24" s="79">
        <v>427991.443120682</v>
      </c>
      <c r="AE24" s="78">
        <v>101103.549192776</v>
      </c>
    </row>
    <row r="25" ht="15" spans="1:31">
      <c r="A25" s="75"/>
      <c r="B25" s="76" t="s">
        <v>417</v>
      </c>
      <c r="C25" s="77">
        <v>97291310.6689264</v>
      </c>
      <c r="D25" s="78">
        <f t="shared" si="1"/>
        <v>6297758.21901033</v>
      </c>
      <c r="E25" s="78">
        <f t="shared" si="0"/>
        <v>4758214.75582531</v>
      </c>
      <c r="F25" s="78">
        <v>669967.797879904</v>
      </c>
      <c r="G25" s="78">
        <v>426167.587412751</v>
      </c>
      <c r="H25" s="78">
        <v>172100.93693188</v>
      </c>
      <c r="I25" s="78">
        <v>108727.660651846</v>
      </c>
      <c r="J25" s="78">
        <v>189804.878156876</v>
      </c>
      <c r="K25" s="78">
        <v>128516.027166531</v>
      </c>
      <c r="L25" s="78">
        <v>1772062.00520672</v>
      </c>
      <c r="M25" s="78">
        <v>1642970.20551407</v>
      </c>
      <c r="N25" s="78">
        <v>1055202.42885815</v>
      </c>
      <c r="O25" s="78">
        <v>953917.914407109</v>
      </c>
      <c r="P25" s="78">
        <v>48468.8042517363</v>
      </c>
      <c r="Q25" s="78">
        <v>31224.2067470069</v>
      </c>
      <c r="R25" s="78">
        <v>234395.495290547</v>
      </c>
      <c r="S25" s="78">
        <v>195418.679534924</v>
      </c>
      <c r="T25" s="78">
        <v>29884.0456435155</v>
      </c>
      <c r="U25" s="78">
        <v>31194.4389489457</v>
      </c>
      <c r="V25" s="78">
        <v>329505.315438897</v>
      </c>
      <c r="W25" s="78">
        <v>223807.499715473</v>
      </c>
      <c r="X25" s="79">
        <v>25608.3883979078</v>
      </c>
      <c r="Y25" s="78">
        <v>0</v>
      </c>
      <c r="Z25" s="78">
        <v>55243.939558274</v>
      </c>
      <c r="AA25" s="78">
        <v>48215.8778992935</v>
      </c>
      <c r="AB25" s="79">
        <v>8739.28085392448</v>
      </c>
      <c r="AC25" s="78">
        <v>0</v>
      </c>
      <c r="AD25" s="79">
        <v>1706774.902542</v>
      </c>
      <c r="AE25" s="78">
        <v>968054.657827362</v>
      </c>
    </row>
    <row r="26" s="56" customFormat="1" ht="16.5" spans="1:31">
      <c r="A26" s="80" t="s">
        <v>418</v>
      </c>
      <c r="B26" s="81"/>
      <c r="C26" s="82">
        <v>630686873.418649</v>
      </c>
      <c r="D26" s="83">
        <f t="shared" si="1"/>
        <v>48563978.6135088</v>
      </c>
      <c r="E26" s="83">
        <f t="shared" si="0"/>
        <v>36307068.113281</v>
      </c>
      <c r="F26" s="83">
        <v>5348480.98759782</v>
      </c>
      <c r="G26" s="83">
        <v>3773665.36864084</v>
      </c>
      <c r="H26" s="83">
        <v>1879668.37050577</v>
      </c>
      <c r="I26" s="83">
        <v>1272037.26335534</v>
      </c>
      <c r="J26" s="83">
        <v>3065988.84875656</v>
      </c>
      <c r="K26" s="83">
        <v>2501161.85179277</v>
      </c>
      <c r="L26" s="83">
        <v>5479181.6093069</v>
      </c>
      <c r="M26" s="83">
        <v>4850263.0780457</v>
      </c>
      <c r="N26" s="83">
        <v>13814706.5549044</v>
      </c>
      <c r="O26" s="83">
        <v>11054834.5504033</v>
      </c>
      <c r="P26" s="83">
        <v>714873.144227391</v>
      </c>
      <c r="Q26" s="83">
        <v>575590.201635011</v>
      </c>
      <c r="R26" s="83">
        <v>3727136.0071669</v>
      </c>
      <c r="S26" s="83">
        <v>3419245.6348444</v>
      </c>
      <c r="T26" s="83">
        <v>417777.706960054</v>
      </c>
      <c r="U26" s="83">
        <v>344374.205314771</v>
      </c>
      <c r="V26" s="83">
        <v>3290228.04338949</v>
      </c>
      <c r="W26" s="83">
        <v>2663477.86721189</v>
      </c>
      <c r="X26" s="84">
        <v>203192.925500227</v>
      </c>
      <c r="Y26" s="83">
        <v>35477.8430904713</v>
      </c>
      <c r="Z26" s="83">
        <v>714847.377288373</v>
      </c>
      <c r="AA26" s="83">
        <v>824689.8421665</v>
      </c>
      <c r="AB26" s="84">
        <v>340000</v>
      </c>
      <c r="AC26" s="83">
        <v>122070.147278919</v>
      </c>
      <c r="AD26" s="84">
        <v>9567897.03790488</v>
      </c>
      <c r="AE26" s="83">
        <v>4870180.25950109</v>
      </c>
    </row>
    <row r="27" ht="15" spans="1:31">
      <c r="A27" s="70" t="s">
        <v>28</v>
      </c>
      <c r="B27" s="71" t="s">
        <v>419</v>
      </c>
      <c r="C27" s="72">
        <v>531805722.999694</v>
      </c>
      <c r="D27" s="73">
        <f t="shared" si="1"/>
        <v>87082084.644199</v>
      </c>
      <c r="E27" s="73">
        <f t="shared" si="0"/>
        <v>88375588.2458715</v>
      </c>
      <c r="F27" s="73">
        <v>5091513.82875277</v>
      </c>
      <c r="G27" s="73">
        <v>5068351.53456237</v>
      </c>
      <c r="H27" s="73">
        <v>5906138.26340006</v>
      </c>
      <c r="I27" s="73">
        <v>6414194.31479297</v>
      </c>
      <c r="J27" s="73">
        <v>7216782.28215832</v>
      </c>
      <c r="K27" s="73">
        <v>5255590.64374114</v>
      </c>
      <c r="L27" s="73">
        <v>6400363.71285173</v>
      </c>
      <c r="M27" s="73">
        <v>9513980.63154589</v>
      </c>
      <c r="N27" s="73">
        <v>17358973.9962494</v>
      </c>
      <c r="O27" s="73">
        <v>20435759.7642018</v>
      </c>
      <c r="P27" s="73">
        <v>2129031.04864263</v>
      </c>
      <c r="Q27" s="73">
        <v>876157.888477817</v>
      </c>
      <c r="R27" s="73">
        <v>9301383.47344419</v>
      </c>
      <c r="S27" s="73">
        <v>11270926.0457075</v>
      </c>
      <c r="T27" s="73">
        <v>651080.914545052</v>
      </c>
      <c r="U27" s="73">
        <v>818020.405295685</v>
      </c>
      <c r="V27" s="73">
        <v>4410375.5692695</v>
      </c>
      <c r="W27" s="73">
        <v>4983747.69479577</v>
      </c>
      <c r="X27" s="74">
        <v>228922.64725333</v>
      </c>
      <c r="Y27" s="73">
        <v>66272.8022037611</v>
      </c>
      <c r="Z27" s="73">
        <v>502494.707588416</v>
      </c>
      <c r="AA27" s="73">
        <v>752186.224057387</v>
      </c>
      <c r="AB27" s="74">
        <v>150354.982045943</v>
      </c>
      <c r="AC27" s="73">
        <v>491818.970565907</v>
      </c>
      <c r="AD27" s="74">
        <v>27734669.2179977</v>
      </c>
      <c r="AE27" s="73">
        <v>22428581.3259237</v>
      </c>
    </row>
    <row r="28" ht="15" spans="1:31">
      <c r="A28" s="75"/>
      <c r="B28" s="76" t="s">
        <v>420</v>
      </c>
      <c r="C28" s="77">
        <v>4880368742.92626</v>
      </c>
      <c r="D28" s="78">
        <f t="shared" si="1"/>
        <v>335887473.768413</v>
      </c>
      <c r="E28" s="78">
        <f t="shared" si="0"/>
        <v>266618032.200103</v>
      </c>
      <c r="F28" s="78">
        <v>49953421.292542</v>
      </c>
      <c r="G28" s="78">
        <v>37183516.0039355</v>
      </c>
      <c r="H28" s="78">
        <v>19287044.7924743</v>
      </c>
      <c r="I28" s="78">
        <v>16046949.3703886</v>
      </c>
      <c r="J28" s="78">
        <v>20259890.7567817</v>
      </c>
      <c r="K28" s="78">
        <v>17002064.8496368</v>
      </c>
      <c r="L28" s="78">
        <v>21203135.5490845</v>
      </c>
      <c r="M28" s="78">
        <v>18746586.7011298</v>
      </c>
      <c r="N28" s="78">
        <v>69931898.1028818</v>
      </c>
      <c r="O28" s="78">
        <v>54278773.5670927</v>
      </c>
      <c r="P28" s="78">
        <v>7922485.42257088</v>
      </c>
      <c r="Q28" s="78">
        <v>2015361.58230796</v>
      </c>
      <c r="R28" s="78">
        <v>21639850.5601789</v>
      </c>
      <c r="S28" s="78">
        <v>21203997.0672781</v>
      </c>
      <c r="T28" s="78">
        <v>3021587.63340581</v>
      </c>
      <c r="U28" s="78">
        <v>2435681.1037289</v>
      </c>
      <c r="V28" s="78">
        <v>23845737.0224192</v>
      </c>
      <c r="W28" s="78">
        <v>17803450.5635686</v>
      </c>
      <c r="X28" s="79">
        <v>3207213.10400236</v>
      </c>
      <c r="Y28" s="78">
        <v>319313.276793267</v>
      </c>
      <c r="Z28" s="78">
        <v>3467700.29553927</v>
      </c>
      <c r="AA28" s="78">
        <v>5395492.46396114</v>
      </c>
      <c r="AB28" s="79">
        <v>275634.404018211</v>
      </c>
      <c r="AC28" s="78">
        <v>289567.164826584</v>
      </c>
      <c r="AD28" s="79">
        <v>91871874.8325141</v>
      </c>
      <c r="AE28" s="78">
        <v>73897278.4854549</v>
      </c>
    </row>
    <row r="29" s="56" customFormat="1" ht="16.5" spans="1:31">
      <c r="A29" s="80" t="s">
        <v>421</v>
      </c>
      <c r="B29" s="81"/>
      <c r="C29" s="82">
        <v>5412174465.92595</v>
      </c>
      <c r="D29" s="83">
        <f t="shared" si="1"/>
        <v>422969558.412612</v>
      </c>
      <c r="E29" s="83">
        <f t="shared" si="0"/>
        <v>354993620.445974</v>
      </c>
      <c r="F29" s="83">
        <v>55044935.1212948</v>
      </c>
      <c r="G29" s="83">
        <v>42251867.5384979</v>
      </c>
      <c r="H29" s="83">
        <v>25193183.0558744</v>
      </c>
      <c r="I29" s="83">
        <v>22461143.6851816</v>
      </c>
      <c r="J29" s="83">
        <v>27476673.03894</v>
      </c>
      <c r="K29" s="83">
        <v>22257655.493378</v>
      </c>
      <c r="L29" s="83">
        <v>27603499.2619362</v>
      </c>
      <c r="M29" s="83">
        <v>28260567.3326757</v>
      </c>
      <c r="N29" s="83">
        <v>87290872.0991313</v>
      </c>
      <c r="O29" s="83">
        <v>74714533.3312945</v>
      </c>
      <c r="P29" s="83">
        <v>10051516.4712135</v>
      </c>
      <c r="Q29" s="83">
        <v>2891519.47078577</v>
      </c>
      <c r="R29" s="83">
        <v>30941234.0336231</v>
      </c>
      <c r="S29" s="83">
        <v>32474923.1129856</v>
      </c>
      <c r="T29" s="83">
        <v>3672668.54795086</v>
      </c>
      <c r="U29" s="83">
        <v>3253701.50902459</v>
      </c>
      <c r="V29" s="83">
        <v>28256112.5916887</v>
      </c>
      <c r="W29" s="83">
        <v>22787198.2583644</v>
      </c>
      <c r="X29" s="84">
        <v>3436135.75125569</v>
      </c>
      <c r="Y29" s="83">
        <v>385586.078997028</v>
      </c>
      <c r="Z29" s="83">
        <v>3970195.00312769</v>
      </c>
      <c r="AA29" s="83">
        <v>6147678.68801853</v>
      </c>
      <c r="AB29" s="84">
        <v>425989.386064154</v>
      </c>
      <c r="AC29" s="83">
        <v>781386.135392491</v>
      </c>
      <c r="AD29" s="84">
        <v>119606544.050512</v>
      </c>
      <c r="AE29" s="83">
        <v>96325859.8113786</v>
      </c>
    </row>
    <row r="30" ht="15" spans="1:31">
      <c r="A30" s="70" t="s">
        <v>29</v>
      </c>
      <c r="B30" s="71" t="s">
        <v>422</v>
      </c>
      <c r="C30" s="72">
        <v>597297946.710939</v>
      </c>
      <c r="D30" s="73">
        <f t="shared" si="1"/>
        <v>24648675.9664823</v>
      </c>
      <c r="E30" s="73">
        <f t="shared" si="0"/>
        <v>14994072.9091506</v>
      </c>
      <c r="F30" s="73">
        <v>1486019.22819062</v>
      </c>
      <c r="G30" s="73">
        <v>884170.950375338</v>
      </c>
      <c r="H30" s="73">
        <v>874744.593154602</v>
      </c>
      <c r="I30" s="73">
        <v>407237.034514791</v>
      </c>
      <c r="J30" s="73">
        <v>1217204.65369985</v>
      </c>
      <c r="K30" s="73">
        <v>815285.561020206</v>
      </c>
      <c r="L30" s="73">
        <v>1334798.56080494</v>
      </c>
      <c r="M30" s="73">
        <v>732081.622549267</v>
      </c>
      <c r="N30" s="73">
        <v>9157553.89211311</v>
      </c>
      <c r="O30" s="73">
        <v>5876870.17368367</v>
      </c>
      <c r="P30" s="73">
        <v>342461.092256811</v>
      </c>
      <c r="Q30" s="73">
        <v>122190.233635623</v>
      </c>
      <c r="R30" s="73">
        <v>875938.495831945</v>
      </c>
      <c r="S30" s="73">
        <v>670754.382780129</v>
      </c>
      <c r="T30" s="73">
        <v>89221.8037817605</v>
      </c>
      <c r="U30" s="73">
        <v>152808.518923405</v>
      </c>
      <c r="V30" s="73">
        <v>1366027.24599815</v>
      </c>
      <c r="W30" s="73">
        <v>776207.932307221</v>
      </c>
      <c r="X30" s="74">
        <v>104856.449523685</v>
      </c>
      <c r="Y30" s="73">
        <v>0</v>
      </c>
      <c r="Z30" s="73">
        <v>777755.402055623</v>
      </c>
      <c r="AA30" s="73">
        <v>774949.272099995</v>
      </c>
      <c r="AB30" s="74">
        <v>90165.1663961261</v>
      </c>
      <c r="AC30" s="73">
        <v>0</v>
      </c>
      <c r="AD30" s="74">
        <v>6931929.38267513</v>
      </c>
      <c r="AE30" s="73">
        <v>3781517.22726097</v>
      </c>
    </row>
    <row r="31" ht="15" spans="1:31">
      <c r="A31" s="75"/>
      <c r="B31" s="76" t="s">
        <v>423</v>
      </c>
      <c r="C31" s="77">
        <v>1219903.04173241</v>
      </c>
      <c r="D31" s="78">
        <f t="shared" si="1"/>
        <v>-2169.11706354455</v>
      </c>
      <c r="E31" s="78">
        <f t="shared" si="0"/>
        <v>0</v>
      </c>
      <c r="F31" s="78">
        <v>0</v>
      </c>
      <c r="G31" s="78">
        <v>0</v>
      </c>
      <c r="H31" s="78">
        <v>0</v>
      </c>
      <c r="I31" s="78">
        <v>0</v>
      </c>
      <c r="J31" s="78">
        <v>0</v>
      </c>
      <c r="K31" s="78">
        <v>0</v>
      </c>
      <c r="L31" s="78">
        <v>0</v>
      </c>
      <c r="M31" s="78">
        <v>0</v>
      </c>
      <c r="N31" s="78">
        <v>0</v>
      </c>
      <c r="O31" s="78">
        <v>0</v>
      </c>
      <c r="P31" s="78">
        <v>0</v>
      </c>
      <c r="Q31" s="78">
        <v>0</v>
      </c>
      <c r="R31" s="78">
        <v>-2169.11706354455</v>
      </c>
      <c r="S31" s="78">
        <v>0</v>
      </c>
      <c r="T31" s="78">
        <v>0</v>
      </c>
      <c r="U31" s="78">
        <v>0</v>
      </c>
      <c r="V31" s="78">
        <v>0</v>
      </c>
      <c r="W31" s="78">
        <v>0</v>
      </c>
      <c r="X31" s="79">
        <v>0</v>
      </c>
      <c r="Y31" s="78">
        <v>0</v>
      </c>
      <c r="Z31" s="78">
        <v>0</v>
      </c>
      <c r="AA31" s="78">
        <v>0</v>
      </c>
      <c r="AB31" s="79">
        <v>0</v>
      </c>
      <c r="AC31" s="78">
        <v>0</v>
      </c>
      <c r="AD31" s="79">
        <v>0</v>
      </c>
      <c r="AE31" s="78">
        <v>0</v>
      </c>
    </row>
    <row r="32" ht="15" spans="1:31">
      <c r="A32" s="75"/>
      <c r="B32" s="76" t="s">
        <v>424</v>
      </c>
      <c r="C32" s="77">
        <v>1021897.57630449</v>
      </c>
      <c r="D32" s="78">
        <f t="shared" si="1"/>
        <v>22252.1385623794</v>
      </c>
      <c r="E32" s="78">
        <f t="shared" si="0"/>
        <v>31659.524076141</v>
      </c>
      <c r="F32" s="78">
        <v>0</v>
      </c>
      <c r="G32" s="78">
        <v>0</v>
      </c>
      <c r="H32" s="78">
        <v>0</v>
      </c>
      <c r="I32" s="78">
        <v>0</v>
      </c>
      <c r="J32" s="78">
        <v>0</v>
      </c>
      <c r="K32" s="78">
        <v>0</v>
      </c>
      <c r="L32" s="78">
        <v>0</v>
      </c>
      <c r="M32" s="78">
        <v>0</v>
      </c>
      <c r="N32" s="78">
        <v>13461.8632212533</v>
      </c>
      <c r="O32" s="78">
        <v>6034.60253539251</v>
      </c>
      <c r="P32" s="78">
        <v>0</v>
      </c>
      <c r="Q32" s="78">
        <v>21289.2870312127</v>
      </c>
      <c r="R32" s="78">
        <v>0</v>
      </c>
      <c r="S32" s="78">
        <v>4335.63450953575</v>
      </c>
      <c r="T32" s="78">
        <v>0</v>
      </c>
      <c r="U32" s="78">
        <v>0</v>
      </c>
      <c r="V32" s="78">
        <v>0</v>
      </c>
      <c r="W32" s="78">
        <v>0</v>
      </c>
      <c r="X32" s="79">
        <v>0</v>
      </c>
      <c r="Y32" s="78">
        <v>0</v>
      </c>
      <c r="Z32" s="78">
        <v>8790.27534112608</v>
      </c>
      <c r="AA32" s="78">
        <v>0</v>
      </c>
      <c r="AB32" s="79">
        <v>0</v>
      </c>
      <c r="AC32" s="78">
        <v>0</v>
      </c>
      <c r="AD32" s="79">
        <v>0</v>
      </c>
      <c r="AE32" s="78">
        <v>0</v>
      </c>
    </row>
    <row r="33" s="56" customFormat="1" ht="16.5" spans="1:31">
      <c r="A33" s="80" t="s">
        <v>425</v>
      </c>
      <c r="B33" s="81"/>
      <c r="C33" s="82">
        <v>599539747.328976</v>
      </c>
      <c r="D33" s="83">
        <f t="shared" si="1"/>
        <v>24668758.9879812</v>
      </c>
      <c r="E33" s="83">
        <f t="shared" si="0"/>
        <v>15025732.4332268</v>
      </c>
      <c r="F33" s="83">
        <v>1486019.22819062</v>
      </c>
      <c r="G33" s="83">
        <v>884170.950375338</v>
      </c>
      <c r="H33" s="83">
        <v>874744.593154602</v>
      </c>
      <c r="I33" s="83">
        <v>407237.034514791</v>
      </c>
      <c r="J33" s="83">
        <v>1217204.65369985</v>
      </c>
      <c r="K33" s="83">
        <v>815285.561020206</v>
      </c>
      <c r="L33" s="83">
        <v>1334798.56080494</v>
      </c>
      <c r="M33" s="83">
        <v>732081.622549267</v>
      </c>
      <c r="N33" s="83">
        <v>9171015.75533436</v>
      </c>
      <c r="O33" s="83">
        <v>5882904.77621907</v>
      </c>
      <c r="P33" s="83">
        <v>342461.092256811</v>
      </c>
      <c r="Q33" s="83">
        <v>143479.520666836</v>
      </c>
      <c r="R33" s="83">
        <v>873769.3787684</v>
      </c>
      <c r="S33" s="83">
        <v>675090.017289665</v>
      </c>
      <c r="T33" s="83">
        <v>89221.8037817605</v>
      </c>
      <c r="U33" s="83">
        <v>152808.518923405</v>
      </c>
      <c r="V33" s="83">
        <v>1366027.24599815</v>
      </c>
      <c r="W33" s="83">
        <v>776207.932307221</v>
      </c>
      <c r="X33" s="84">
        <v>104856.449523685</v>
      </c>
      <c r="Y33" s="83">
        <v>0</v>
      </c>
      <c r="Z33" s="83">
        <v>786545.67739675</v>
      </c>
      <c r="AA33" s="83">
        <v>774949.272099995</v>
      </c>
      <c r="AB33" s="84">
        <v>90165.1663961261</v>
      </c>
      <c r="AC33" s="83">
        <v>0</v>
      </c>
      <c r="AD33" s="84">
        <v>6931929.38267513</v>
      </c>
      <c r="AE33" s="83">
        <v>3781517.22726097</v>
      </c>
    </row>
    <row r="34" ht="15" spans="1:31">
      <c r="A34" s="70" t="s">
        <v>38</v>
      </c>
      <c r="B34" s="71" t="s">
        <v>426</v>
      </c>
      <c r="C34" s="72">
        <v>12323.6049349666</v>
      </c>
      <c r="D34" s="73">
        <f t="shared" si="1"/>
        <v>261509.205206207</v>
      </c>
      <c r="E34" s="73">
        <f t="shared" si="0"/>
        <v>110389.839040185</v>
      </c>
      <c r="F34" s="73">
        <v>0</v>
      </c>
      <c r="G34" s="73">
        <v>0</v>
      </c>
      <c r="H34" s="73">
        <v>0</v>
      </c>
      <c r="I34" s="73">
        <v>0</v>
      </c>
      <c r="J34" s="73">
        <v>0</v>
      </c>
      <c r="K34" s="73">
        <v>0</v>
      </c>
      <c r="L34" s="73">
        <v>52591.3891362654</v>
      </c>
      <c r="M34" s="73">
        <v>4824.24021242944</v>
      </c>
      <c r="N34" s="73">
        <v>208917.816069941</v>
      </c>
      <c r="O34" s="73">
        <v>105565.598827756</v>
      </c>
      <c r="P34" s="73">
        <v>0</v>
      </c>
      <c r="Q34" s="73">
        <v>0</v>
      </c>
      <c r="R34" s="73">
        <v>0</v>
      </c>
      <c r="S34" s="73">
        <v>0</v>
      </c>
      <c r="T34" s="73">
        <v>0</v>
      </c>
      <c r="U34" s="73">
        <v>0</v>
      </c>
      <c r="V34" s="73">
        <v>0</v>
      </c>
      <c r="W34" s="73">
        <v>0</v>
      </c>
      <c r="X34" s="74">
        <v>0</v>
      </c>
      <c r="Y34" s="73">
        <v>0</v>
      </c>
      <c r="Z34" s="73">
        <v>0</v>
      </c>
      <c r="AA34" s="73">
        <v>0</v>
      </c>
      <c r="AB34" s="74">
        <v>0</v>
      </c>
      <c r="AC34" s="73">
        <v>0</v>
      </c>
      <c r="AD34" s="74">
        <v>0</v>
      </c>
      <c r="AE34" s="73">
        <v>0</v>
      </c>
    </row>
    <row r="35" s="56" customFormat="1" ht="16.5" spans="1:31">
      <c r="A35" s="80" t="s">
        <v>427</v>
      </c>
      <c r="B35" s="81"/>
      <c r="C35" s="82">
        <v>12323.6049349666</v>
      </c>
      <c r="D35" s="83">
        <f t="shared" si="1"/>
        <v>261509.205206207</v>
      </c>
      <c r="E35" s="83">
        <f t="shared" si="0"/>
        <v>110389.839040185</v>
      </c>
      <c r="F35" s="83">
        <v>0</v>
      </c>
      <c r="G35" s="83">
        <v>0</v>
      </c>
      <c r="H35" s="83">
        <v>0</v>
      </c>
      <c r="I35" s="83">
        <v>0</v>
      </c>
      <c r="J35" s="83">
        <v>0</v>
      </c>
      <c r="K35" s="83">
        <v>0</v>
      </c>
      <c r="L35" s="83">
        <v>52591.3891362654</v>
      </c>
      <c r="M35" s="83">
        <v>4824.24021242944</v>
      </c>
      <c r="N35" s="83">
        <v>208917.816069941</v>
      </c>
      <c r="O35" s="83">
        <v>105565.598827756</v>
      </c>
      <c r="P35" s="83">
        <v>0</v>
      </c>
      <c r="Q35" s="83">
        <v>0</v>
      </c>
      <c r="R35" s="83">
        <v>0</v>
      </c>
      <c r="S35" s="83">
        <v>0</v>
      </c>
      <c r="T35" s="83">
        <v>0</v>
      </c>
      <c r="U35" s="83">
        <v>0</v>
      </c>
      <c r="V35" s="83">
        <v>0</v>
      </c>
      <c r="W35" s="83">
        <v>0</v>
      </c>
      <c r="X35" s="84">
        <v>0</v>
      </c>
      <c r="Y35" s="83">
        <v>0</v>
      </c>
      <c r="Z35" s="83">
        <v>0</v>
      </c>
      <c r="AA35" s="83">
        <v>0</v>
      </c>
      <c r="AB35" s="84">
        <v>0</v>
      </c>
      <c r="AC35" s="83">
        <v>0</v>
      </c>
      <c r="AD35" s="84">
        <v>0</v>
      </c>
      <c r="AE35" s="83">
        <v>0</v>
      </c>
    </row>
    <row r="36" ht="15" spans="1:31">
      <c r="A36" s="70" t="s">
        <v>41</v>
      </c>
      <c r="B36" s="71" t="s">
        <v>428</v>
      </c>
      <c r="C36" s="72">
        <v>5292846.48085975</v>
      </c>
      <c r="D36" s="73">
        <f t="shared" si="1"/>
        <v>337263.907866645</v>
      </c>
      <c r="E36" s="73">
        <f t="shared" si="0"/>
        <v>98671.2982454525</v>
      </c>
      <c r="F36" s="73">
        <v>758.251679466903</v>
      </c>
      <c r="G36" s="73">
        <v>3807.37535296064</v>
      </c>
      <c r="H36" s="73">
        <v>0</v>
      </c>
      <c r="I36" s="73">
        <v>0</v>
      </c>
      <c r="J36" s="73">
        <v>7457.15998029215</v>
      </c>
      <c r="K36" s="73">
        <v>7325.67298543323</v>
      </c>
      <c r="L36" s="73">
        <v>0</v>
      </c>
      <c r="M36" s="73">
        <v>0</v>
      </c>
      <c r="N36" s="73">
        <v>7027.22152595588</v>
      </c>
      <c r="O36" s="73">
        <v>6378.99465913541</v>
      </c>
      <c r="P36" s="73">
        <v>1168.88923974548</v>
      </c>
      <c r="Q36" s="73">
        <v>765.934057867332</v>
      </c>
      <c r="R36" s="73">
        <v>0</v>
      </c>
      <c r="S36" s="73">
        <v>450.835490869612</v>
      </c>
      <c r="T36" s="73">
        <v>9598.22926969398</v>
      </c>
      <c r="U36" s="73">
        <v>4483.39552896046</v>
      </c>
      <c r="V36" s="73">
        <v>26071.1745727145</v>
      </c>
      <c r="W36" s="73">
        <v>16402.481709318</v>
      </c>
      <c r="X36" s="74">
        <v>0</v>
      </c>
      <c r="Y36" s="73">
        <v>0</v>
      </c>
      <c r="Z36" s="73">
        <v>42476.5392865269</v>
      </c>
      <c r="AA36" s="73">
        <v>0</v>
      </c>
      <c r="AB36" s="74">
        <v>0</v>
      </c>
      <c r="AC36" s="73">
        <v>0</v>
      </c>
      <c r="AD36" s="74">
        <v>242706.44231225</v>
      </c>
      <c r="AE36" s="73">
        <v>59056.6084609078</v>
      </c>
    </row>
    <row r="37" ht="15" spans="1:31">
      <c r="A37" s="75"/>
      <c r="B37" s="76" t="s">
        <v>429</v>
      </c>
      <c r="C37" s="77">
        <v>123331.221705066</v>
      </c>
      <c r="D37" s="78">
        <f t="shared" si="1"/>
        <v>24008.8692139572</v>
      </c>
      <c r="E37" s="78">
        <f t="shared" si="0"/>
        <v>55661.8491567486</v>
      </c>
      <c r="F37" s="78">
        <v>0</v>
      </c>
      <c r="G37" s="78">
        <v>0</v>
      </c>
      <c r="H37" s="78">
        <v>0</v>
      </c>
      <c r="I37" s="78">
        <v>0</v>
      </c>
      <c r="J37" s="78">
        <v>0</v>
      </c>
      <c r="K37" s="78">
        <v>0</v>
      </c>
      <c r="L37" s="78">
        <v>0</v>
      </c>
      <c r="M37" s="78">
        <v>0</v>
      </c>
      <c r="N37" s="78">
        <v>15279.1917827795</v>
      </c>
      <c r="O37" s="78">
        <v>151.086667738495</v>
      </c>
      <c r="P37" s="78">
        <v>8729.67743117771</v>
      </c>
      <c r="Q37" s="78">
        <v>6498.154452044</v>
      </c>
      <c r="R37" s="78">
        <v>0</v>
      </c>
      <c r="S37" s="78">
        <v>0</v>
      </c>
      <c r="T37" s="78">
        <v>0</v>
      </c>
      <c r="U37" s="78">
        <v>13325.3698673279</v>
      </c>
      <c r="V37" s="78">
        <v>0</v>
      </c>
      <c r="W37" s="78">
        <v>35687.2381696382</v>
      </c>
      <c r="X37" s="79">
        <v>0</v>
      </c>
      <c r="Y37" s="78">
        <v>0</v>
      </c>
      <c r="Z37" s="78">
        <v>0</v>
      </c>
      <c r="AA37" s="78">
        <v>0</v>
      </c>
      <c r="AB37" s="79">
        <v>0</v>
      </c>
      <c r="AC37" s="78">
        <v>0</v>
      </c>
      <c r="AD37" s="79">
        <v>0</v>
      </c>
      <c r="AE37" s="78">
        <v>0</v>
      </c>
    </row>
    <row r="38" s="56" customFormat="1" ht="16.5" spans="1:31">
      <c r="A38" s="80" t="s">
        <v>430</v>
      </c>
      <c r="B38" s="81"/>
      <c r="C38" s="82">
        <v>5416177.70256481</v>
      </c>
      <c r="D38" s="83">
        <f t="shared" si="1"/>
        <v>361272.777080603</v>
      </c>
      <c r="E38" s="83">
        <f t="shared" si="0"/>
        <v>154333.147402201</v>
      </c>
      <c r="F38" s="83">
        <v>758.251679466903</v>
      </c>
      <c r="G38" s="83">
        <v>3807.37535296064</v>
      </c>
      <c r="H38" s="83">
        <v>0</v>
      </c>
      <c r="I38" s="83">
        <v>0</v>
      </c>
      <c r="J38" s="83">
        <v>7457.15998029215</v>
      </c>
      <c r="K38" s="83">
        <v>7325.67298543323</v>
      </c>
      <c r="L38" s="83">
        <v>0</v>
      </c>
      <c r="M38" s="83">
        <v>0</v>
      </c>
      <c r="N38" s="83">
        <v>22306.4133087353</v>
      </c>
      <c r="O38" s="83">
        <v>6530.0813268739</v>
      </c>
      <c r="P38" s="83">
        <v>9898.56667092319</v>
      </c>
      <c r="Q38" s="83">
        <v>7264.08850991134</v>
      </c>
      <c r="R38" s="83">
        <v>0</v>
      </c>
      <c r="S38" s="83">
        <v>450.835490869612</v>
      </c>
      <c r="T38" s="83">
        <v>9598.22926969398</v>
      </c>
      <c r="U38" s="83">
        <v>17808.7653962883</v>
      </c>
      <c r="V38" s="83">
        <v>26071.1745727145</v>
      </c>
      <c r="W38" s="83">
        <v>52089.7198789562</v>
      </c>
      <c r="X38" s="84">
        <v>0</v>
      </c>
      <c r="Y38" s="83">
        <v>0</v>
      </c>
      <c r="Z38" s="83">
        <v>42476.5392865269</v>
      </c>
      <c r="AA38" s="83">
        <v>0</v>
      </c>
      <c r="AB38" s="84">
        <v>0</v>
      </c>
      <c r="AC38" s="83">
        <v>0</v>
      </c>
      <c r="AD38" s="84">
        <v>242706.44231225</v>
      </c>
      <c r="AE38" s="83">
        <v>59056.6084609078</v>
      </c>
    </row>
    <row r="39" s="56" customFormat="1" ht="16.5" spans="1:31">
      <c r="A39" s="85" t="s">
        <v>379</v>
      </c>
      <c r="B39" s="86"/>
      <c r="C39" s="87">
        <v>8851685255.23082</v>
      </c>
      <c r="D39" s="88">
        <f t="shared" si="1"/>
        <v>653770119.82635</v>
      </c>
      <c r="E39" s="88">
        <f t="shared" si="0"/>
        <v>529824191.339228</v>
      </c>
      <c r="F39" s="88">
        <f>F14+F26+F29+F33+F35+F38</f>
        <v>79955293.2448997</v>
      </c>
      <c r="G39" s="88">
        <f>G14+G26+G29+G33+G35+G38</f>
        <v>60923596.5328595</v>
      </c>
      <c r="H39" s="88">
        <f>H14+H26+H29+H33+H35+H38</f>
        <v>39379620.7889332</v>
      </c>
      <c r="I39" s="88">
        <f>I14+I26+I29+I33+I35+I38</f>
        <v>35648457.630716</v>
      </c>
      <c r="J39" s="88">
        <f>J14+J26+J29+J33+J35+J38</f>
        <v>39935148.9284327</v>
      </c>
      <c r="K39" s="88">
        <f>K14+K26+K29+K33+K35+K38</f>
        <v>31907336.1697675</v>
      </c>
      <c r="L39" s="88">
        <f>L14+L26+L29+L33+L35+L38</f>
        <v>46911128.9300087</v>
      </c>
      <c r="M39" s="88">
        <f>M14+M26+M29+M33+M35+M38</f>
        <v>43349302.4272304</v>
      </c>
      <c r="N39" s="88">
        <f>N14+N26+N29+N33+N35+N38</f>
        <v>136460878.67108</v>
      </c>
      <c r="O39" s="88">
        <f>O14+O26+O29+O33+O35+O38</f>
        <v>115116029.2126</v>
      </c>
      <c r="P39" s="88">
        <f>P14+P26+P29+P33+P35+P38</f>
        <v>14456559.3026676</v>
      </c>
      <c r="Q39" s="88">
        <f>Q14+Q26+Q29+Q33+Q35+Q38</f>
        <v>5557545.59560494</v>
      </c>
      <c r="R39" s="88">
        <f>R14+R26+R29+R33+R35+R38</f>
        <v>47609717.1153917</v>
      </c>
      <c r="S39" s="88">
        <f>S14+S26+S29+S33+S35+S38</f>
        <v>48241280.7041352</v>
      </c>
      <c r="T39" s="88">
        <f>T14+T26+T29+T33+T35+T38</f>
        <v>6288939.05583066</v>
      </c>
      <c r="U39" s="88">
        <f>U14+U26+U29+U33+U35+U38</f>
        <v>6058570.11944554</v>
      </c>
      <c r="V39" s="88">
        <f>V14+V26+V29+V33+V35+V38</f>
        <v>55452634.6674159</v>
      </c>
      <c r="W39" s="88">
        <f>W14+W26+W29+W33+W35+W38</f>
        <v>39637998.5851425</v>
      </c>
      <c r="X39" s="89">
        <f>X14+X26+X29+X33+X35+X38</f>
        <v>4311390.30535561</v>
      </c>
      <c r="Y39" s="88">
        <f>Y14+Y26+Y29+Y33+Y35+Y38</f>
        <v>799825.716330824</v>
      </c>
      <c r="Z39" s="88">
        <f>Z14+Z26+Z29+Z33+Z35+Z38</f>
        <v>8856057.51430491</v>
      </c>
      <c r="AA39" s="88">
        <f>AA14+AA26+AA29+AA33+AA35+AA38</f>
        <v>12735807.340686</v>
      </c>
      <c r="AB39" s="89">
        <f>AB14+AB26+AB29+AB33+AB35+AB38</f>
        <v>999950.974765941</v>
      </c>
      <c r="AC39" s="88">
        <f>AC14+AC26+AC29+AC33+AC35+AC38</f>
        <v>1027432.16276598</v>
      </c>
      <c r="AD39" s="89">
        <f>AD14+AD26+AD29+AD33+AD35+AD38</f>
        <v>173152800.327263</v>
      </c>
      <c r="AE39" s="88">
        <f>AE14+AE26+AE29+AE33+AE35+AE38</f>
        <v>128821009.141943</v>
      </c>
    </row>
    <row r="40" ht="16.5" spans="1:31">
      <c r="D40" s="90"/>
      <c r="E40" s="90"/>
      <c r="Z40" s="91"/>
      <c r="AA40" s="91"/>
      <c r="AD40" s="92"/>
      <c r="AE40" s="91"/>
    </row>
    <row r="41" ht="16.5" spans="1:31">
      <c r="A41" s="93" t="s">
        <v>393</v>
      </c>
      <c r="B41" s="93"/>
      <c r="C41" s="94"/>
      <c r="D41" s="60" t="s">
        <v>2</v>
      </c>
      <c r="E41" s="60"/>
      <c r="F41" s="61" t="s">
        <v>3</v>
      </c>
      <c r="G41" s="61"/>
      <c r="H41" s="61" t="s">
        <v>4</v>
      </c>
      <c r="I41" s="61"/>
      <c r="J41" s="61" t="s">
        <v>5</v>
      </c>
      <c r="K41" s="61"/>
      <c r="L41" s="61" t="s">
        <v>6</v>
      </c>
      <c r="M41" s="61"/>
      <c r="N41" s="61" t="s">
        <v>7</v>
      </c>
      <c r="O41" s="61"/>
      <c r="P41" s="61" t="s">
        <v>8</v>
      </c>
      <c r="Q41" s="61"/>
      <c r="R41" s="61" t="s">
        <v>9</v>
      </c>
      <c r="S41" s="61"/>
      <c r="T41" s="61" t="s">
        <v>10</v>
      </c>
      <c r="U41" s="61"/>
      <c r="V41" s="61" t="s">
        <v>11</v>
      </c>
      <c r="W41" s="61"/>
      <c r="X41" s="62" t="s">
        <v>299</v>
      </c>
      <c r="Y41" s="61"/>
      <c r="Z41" s="61" t="s">
        <v>300</v>
      </c>
      <c r="AA41" s="61"/>
      <c r="AB41" s="62" t="s">
        <v>301</v>
      </c>
      <c r="AC41" s="61"/>
      <c r="AD41" s="62" t="s">
        <v>302</v>
      </c>
      <c r="AE41" s="61"/>
    </row>
    <row r="42" s="55" customFormat="1" ht="16.5" spans="1:31">
      <c r="A42" s="95" t="s">
        <v>19</v>
      </c>
      <c r="B42" s="96" t="s">
        <v>394</v>
      </c>
      <c r="C42" s="97" t="s">
        <v>381</v>
      </c>
      <c r="D42" s="66">
        <v>46023</v>
      </c>
      <c r="E42" s="66">
        <v>46054</v>
      </c>
      <c r="F42" s="67">
        <v>46023</v>
      </c>
      <c r="G42" s="67">
        <v>46054</v>
      </c>
      <c r="H42" s="67">
        <v>46023</v>
      </c>
      <c r="I42" s="67">
        <v>46054</v>
      </c>
      <c r="J42" s="67">
        <v>46023</v>
      </c>
      <c r="K42" s="67">
        <v>46054</v>
      </c>
      <c r="L42" s="67">
        <v>46023</v>
      </c>
      <c r="M42" s="67">
        <v>46054</v>
      </c>
      <c r="N42" s="67">
        <v>46023</v>
      </c>
      <c r="O42" s="67">
        <v>46054</v>
      </c>
      <c r="P42" s="67">
        <v>46023</v>
      </c>
      <c r="Q42" s="67">
        <v>46054</v>
      </c>
      <c r="R42" s="67">
        <v>46023</v>
      </c>
      <c r="S42" s="67">
        <v>46054</v>
      </c>
      <c r="T42" s="67">
        <v>46023</v>
      </c>
      <c r="U42" s="67">
        <v>46054</v>
      </c>
      <c r="V42" s="67">
        <v>46023</v>
      </c>
      <c r="W42" s="67">
        <v>46054</v>
      </c>
      <c r="X42" s="68">
        <v>46023</v>
      </c>
      <c r="Y42" s="69">
        <v>46054</v>
      </c>
      <c r="Z42" s="68">
        <v>46023</v>
      </c>
      <c r="AA42" s="69">
        <v>46054</v>
      </c>
      <c r="AB42" s="68">
        <v>46023</v>
      </c>
      <c r="AC42" s="69">
        <v>46054</v>
      </c>
      <c r="AD42" s="68">
        <v>46023</v>
      </c>
      <c r="AE42" s="69">
        <v>46054</v>
      </c>
    </row>
    <row r="43" customHeight="1" spans="1:31">
      <c r="A43" s="98" t="s">
        <v>26</v>
      </c>
      <c r="B43" s="99" t="s">
        <v>395</v>
      </c>
      <c r="C43" s="100" t="e">
        <f>#REF!/C3-1</f>
        <v>#REF!</v>
      </c>
      <c r="D43" s="101">
        <f>D3/D$39</f>
        <v>0.00311502616819494</v>
      </c>
      <c r="E43" s="101">
        <f>E3/E$39</f>
        <v>0.00311266185577132</v>
      </c>
      <c r="F43" s="101">
        <f>F3/F$39</f>
        <v>0.00228377495401224</v>
      </c>
      <c r="G43" s="101">
        <f>G3/G$39</f>
        <v>0.00230339810989025</v>
      </c>
      <c r="H43" s="101">
        <f>H3/H$39</f>
        <v>0.00377855444882094</v>
      </c>
      <c r="I43" s="101">
        <f>I3/I$39</f>
        <v>0.00318507228178301</v>
      </c>
      <c r="J43" s="101">
        <f>J3/J$39</f>
        <v>0.00380941628846334</v>
      </c>
      <c r="K43" s="101">
        <f>K3/K$39</f>
        <v>0.0028012476133943</v>
      </c>
      <c r="L43" s="101">
        <f>L3/L$39</f>
        <v>0.0063069007242085</v>
      </c>
      <c r="M43" s="101">
        <f>M3/M$39</f>
        <v>0.00361538485314789</v>
      </c>
      <c r="N43" s="101">
        <f>N3/N$39</f>
        <v>0.00541403181514898</v>
      </c>
      <c r="O43" s="101">
        <f>O3/O$39</f>
        <v>0.00586491197140981</v>
      </c>
      <c r="P43" s="101">
        <f>P3/P$39</f>
        <v>0.00183315609842474</v>
      </c>
      <c r="Q43" s="101">
        <f>Q3/Q$39</f>
        <v>0.00463818947806785</v>
      </c>
      <c r="R43" s="101">
        <f>R3/R$39</f>
        <v>0.00248606355035927</v>
      </c>
      <c r="S43" s="101">
        <f>S3/S$39</f>
        <v>0.00180504889572223</v>
      </c>
      <c r="T43" s="101">
        <f>T3/T$39</f>
        <v>0.00282277236185501</v>
      </c>
      <c r="U43" s="101">
        <f>U3/U$39</f>
        <v>0.00187421927659149</v>
      </c>
      <c r="V43" s="101">
        <f>V3/V$39</f>
        <v>0.00337730997965939</v>
      </c>
      <c r="W43" s="101">
        <f>W3/W$39</f>
        <v>0.00505686066980323</v>
      </c>
      <c r="X43" s="102">
        <f>X3/X$39</f>
        <v>0.001691593178686</v>
      </c>
      <c r="Y43" s="101">
        <f>Y3/Y$39</f>
        <v>0</v>
      </c>
      <c r="Z43" s="101">
        <f>Z3/Z$39</f>
        <v>0.0125981558178844</v>
      </c>
      <c r="AA43" s="101">
        <f>AA3/AA$39</f>
        <v>0.008862748460559</v>
      </c>
      <c r="AB43" s="102"/>
      <c r="AC43" s="101"/>
      <c r="AD43" s="102">
        <f>AD3/AD$39</f>
        <v>0.00028621028500557</v>
      </c>
      <c r="AE43" s="101">
        <f>AE3/AE$39</f>
        <v>0.000283425810216993</v>
      </c>
    </row>
    <row r="44" customHeight="1" spans="1:31">
      <c r="A44" s="103"/>
      <c r="B44" s="104" t="s">
        <v>396</v>
      </c>
      <c r="C44" s="105" t="e">
        <f>#REF!/C4-1</f>
        <v>#REF!</v>
      </c>
      <c r="D44" s="106">
        <f>D4/D$39</f>
        <v>0.00457962343797661</v>
      </c>
      <c r="E44" s="106">
        <f>E4/E$39</f>
        <v>1.00889983137393e-5</v>
      </c>
      <c r="F44" s="106">
        <f>F4/F$39</f>
        <v>0.00561432886899246</v>
      </c>
      <c r="G44" s="106">
        <f>G4/G$39</f>
        <v>0</v>
      </c>
      <c r="H44" s="106">
        <f>H4/H$39</f>
        <v>0.0127477650352747</v>
      </c>
      <c r="I44" s="106">
        <f>I4/I$39</f>
        <v>1.0679480998726e-5</v>
      </c>
      <c r="J44" s="106">
        <f>J4/J$39</f>
        <v>0.00479451804033442</v>
      </c>
      <c r="K44" s="106">
        <f>K4/K$39</f>
        <v>1.14991134700974e-5</v>
      </c>
      <c r="L44" s="106">
        <f>L4/L$39</f>
        <v>0.00513833103591789</v>
      </c>
      <c r="M44" s="106">
        <f>M4/M$39</f>
        <v>1.99896563494432e-5</v>
      </c>
      <c r="N44" s="106">
        <f>N4/N$39</f>
        <v>0.00461965151730989</v>
      </c>
      <c r="O44" s="106">
        <f>O4/O$39</f>
        <v>1.4591656738294e-5</v>
      </c>
      <c r="P44" s="106">
        <f>P4/P$39</f>
        <v>0.00478926048395134</v>
      </c>
      <c r="Q44" s="106">
        <f>Q4/Q$39</f>
        <v>0</v>
      </c>
      <c r="R44" s="106">
        <f>R4/R$39</f>
        <v>0.0063945741922115</v>
      </c>
      <c r="S44" s="106">
        <f>S4/S$39</f>
        <v>1.86908591268377e-5</v>
      </c>
      <c r="T44" s="106">
        <f>T4/T$39</f>
        <v>0.00759924943024314</v>
      </c>
      <c r="U44" s="106">
        <f>U4/U$39</f>
        <v>0</v>
      </c>
      <c r="V44" s="106">
        <f>V4/V$39</f>
        <v>0.00853200450779051</v>
      </c>
      <c r="W44" s="106">
        <f>W4/W$39</f>
        <v>0</v>
      </c>
      <c r="X44" s="107">
        <f>X4/X$39</f>
        <v>0.00207139032821712</v>
      </c>
      <c r="Y44" s="106">
        <f>Y4/Y$39</f>
        <v>0</v>
      </c>
      <c r="Z44" s="106">
        <f>Z4/Z$39</f>
        <v>0.008616622934348</v>
      </c>
      <c r="AA44" s="106">
        <f>AA4/AA$39</f>
        <v>0</v>
      </c>
      <c r="AB44" s="107"/>
      <c r="AC44" s="106"/>
      <c r="AD44" s="107">
        <f>AD4/AD$39</f>
        <v>2.15861538115133e-6</v>
      </c>
      <c r="AE44" s="106">
        <f>AE4/AE$39</f>
        <v>8.92587359794431e-6</v>
      </c>
    </row>
    <row r="45" customHeight="1" spans="1:31">
      <c r="A45" s="103"/>
      <c r="B45" s="104" t="s">
        <v>397</v>
      </c>
      <c r="C45" s="105" t="e">
        <f>#REF!/C5-1</f>
        <v>#REF!</v>
      </c>
      <c r="D45" s="106">
        <f>D5/D$39</f>
        <v>0.00501021151803171</v>
      </c>
      <c r="E45" s="106">
        <f>E5/E$39</f>
        <v>0.00745352673340742</v>
      </c>
      <c r="F45" s="106">
        <f>F5/F$39</f>
        <v>0.00129854363110556</v>
      </c>
      <c r="G45" s="106">
        <f>G5/G$39</f>
        <v>0.0025381424954635</v>
      </c>
      <c r="H45" s="106">
        <f>H5/H$39</f>
        <v>0.00252715457309367</v>
      </c>
      <c r="I45" s="106">
        <f>I5/I$39</f>
        <v>0.0034460004233107</v>
      </c>
      <c r="J45" s="106">
        <f>J5/J$39</f>
        <v>0.00333854572228256</v>
      </c>
      <c r="K45" s="106">
        <f>K5/K$39</f>
        <v>0.00176543358461648</v>
      </c>
      <c r="L45" s="106">
        <f>L5/L$39</f>
        <v>0.00944083653785174</v>
      </c>
      <c r="M45" s="106">
        <f>M5/M$39</f>
        <v>0.00394933629086478</v>
      </c>
      <c r="N45" s="106">
        <f>N5/N$39</f>
        <v>0.0075006760147576</v>
      </c>
      <c r="O45" s="106">
        <f>O5/O$39</f>
        <v>0.00547224225666094</v>
      </c>
      <c r="P45" s="106">
        <f>P5/P$39</f>
        <v>0.000476136115479388</v>
      </c>
      <c r="Q45" s="106">
        <f>Q5/Q$39</f>
        <v>0.0149637649241772</v>
      </c>
      <c r="R45" s="106">
        <f>R5/R$39</f>
        <v>0.00237325159103811</v>
      </c>
      <c r="S45" s="106">
        <f>S5/S$39</f>
        <v>0.00277900486775222</v>
      </c>
      <c r="T45" s="106">
        <f>T5/T$39</f>
        <v>0.000528076002479104</v>
      </c>
      <c r="U45" s="106">
        <f>U5/U$39</f>
        <v>0.000991893604305108</v>
      </c>
      <c r="V45" s="106">
        <f>V5/V$39</f>
        <v>0.00123469817393968</v>
      </c>
      <c r="W45" s="106">
        <f>W5/W$39</f>
        <v>0.00389068042335932</v>
      </c>
      <c r="X45" s="107">
        <f>X5/X$39</f>
        <v>0.00250828381825185</v>
      </c>
      <c r="Y45" s="106">
        <f>Y5/Y$39</f>
        <v>0.020557370954049</v>
      </c>
      <c r="Z45" s="106">
        <f>Z5/Z$39</f>
        <v>0.0153890421238274</v>
      </c>
      <c r="AA45" s="106">
        <f>AA5/AA$39</f>
        <v>0.0082713643674034</v>
      </c>
      <c r="AB45" s="107"/>
      <c r="AC45" s="106"/>
      <c r="AD45" s="107">
        <f>AD5/AD$39</f>
        <v>0.00654720242698237</v>
      </c>
      <c r="AE45" s="106">
        <f>AE5/AE$39</f>
        <v>0.0179696599626606</v>
      </c>
    </row>
    <row r="46" customHeight="1" spans="1:31">
      <c r="A46" s="103"/>
      <c r="B46" s="104" t="s">
        <v>398</v>
      </c>
      <c r="C46" s="105" t="e">
        <f>#REF!/C6-1</f>
        <v>#REF!</v>
      </c>
      <c r="D46" s="106">
        <f>D6/D$39</f>
        <v>0.0132001028158001</v>
      </c>
      <c r="E46" s="106">
        <f>E6/E$39</f>
        <v>0.0163171607869841</v>
      </c>
      <c r="F46" s="106">
        <f>F6/F$39</f>
        <v>0.00352236931923718</v>
      </c>
      <c r="G46" s="106">
        <f>G6/G$39</f>
        <v>0.00505954254198673</v>
      </c>
      <c r="H46" s="106">
        <f>H6/H$39</f>
        <v>0.00320556203700139</v>
      </c>
      <c r="I46" s="106">
        <f>I6/I$39</f>
        <v>0.00645512783553836</v>
      </c>
      <c r="J46" s="106">
        <f>J6/J$39</f>
        <v>0.00458128288573976</v>
      </c>
      <c r="K46" s="106">
        <f>K6/K$39</f>
        <v>0.013179855517879</v>
      </c>
      <c r="L46" s="106">
        <f>L6/L$39</f>
        <v>0.0135776901362934</v>
      </c>
      <c r="M46" s="106">
        <f>M6/M$39</f>
        <v>0.0110001096347478</v>
      </c>
      <c r="N46" s="106">
        <f>N6/N$39</f>
        <v>0.0156304139922923</v>
      </c>
      <c r="O46" s="106">
        <f>O6/O$39</f>
        <v>0.0341383080538705</v>
      </c>
      <c r="P46" s="106">
        <f>P6/P$39</f>
        <v>0.0139414495918159</v>
      </c>
      <c r="Q46" s="106">
        <f>Q6/Q$39</f>
        <v>0.020064954586265</v>
      </c>
      <c r="R46" s="106">
        <f>R6/R$39</f>
        <v>0.00759942043781923</v>
      </c>
      <c r="S46" s="106">
        <f>S6/S$39</f>
        <v>0.00708005067356417</v>
      </c>
      <c r="T46" s="106">
        <f>T6/T$39</f>
        <v>0.00528244765206114</v>
      </c>
      <c r="U46" s="106">
        <f>U6/U$39</f>
        <v>0.01145676107395</v>
      </c>
      <c r="V46" s="106">
        <f>V6/V$39</f>
        <v>0.00581176009482405</v>
      </c>
      <c r="W46" s="106">
        <f>W6/W$39</f>
        <v>0.008383963531077</v>
      </c>
      <c r="X46" s="107">
        <f>X6/X$39</f>
        <v>0</v>
      </c>
      <c r="Y46" s="106">
        <f>Y6/Y$39</f>
        <v>0.0113102964620543</v>
      </c>
      <c r="Z46" s="106">
        <f>Z6/Z$39</f>
        <v>0.0195128835152895</v>
      </c>
      <c r="AA46" s="106">
        <f>AA6/AA$39</f>
        <v>0.0162993889685404</v>
      </c>
      <c r="AB46" s="107"/>
      <c r="AC46" s="106"/>
      <c r="AD46" s="107">
        <f>AD6/AD$39</f>
        <v>0.0241259201050242</v>
      </c>
      <c r="AE46" s="106">
        <f>AE6/AE$39</f>
        <v>0.0170468094057619</v>
      </c>
    </row>
    <row r="47" customHeight="1" spans="1:31">
      <c r="A47" s="103"/>
      <c r="B47" s="104" t="s">
        <v>399</v>
      </c>
      <c r="C47" s="105" t="e">
        <f>#REF!/C7-1</f>
        <v>#REF!</v>
      </c>
      <c r="D47" s="106">
        <f>D7/D$39</f>
        <v>0.000524205342980729</v>
      </c>
      <c r="E47" s="106">
        <f>E7/E$39</f>
        <v>0.000520170310433582</v>
      </c>
      <c r="F47" s="106">
        <f>F7/F$39</f>
        <v>7.84396347143689e-5</v>
      </c>
      <c r="G47" s="106">
        <f>G7/G$39</f>
        <v>0.000130284651218342</v>
      </c>
      <c r="H47" s="106">
        <f>H7/H$39</f>
        <v>0</v>
      </c>
      <c r="I47" s="106">
        <f>I7/I$39</f>
        <v>0</v>
      </c>
      <c r="J47" s="106">
        <f>J7/J$39</f>
        <v>0.000306119753187637</v>
      </c>
      <c r="K47" s="106">
        <f>K7/K$39</f>
        <v>0.000220437221484863</v>
      </c>
      <c r="L47" s="106">
        <f>L7/L$39</f>
        <v>0.000167796735986611</v>
      </c>
      <c r="M47" s="106">
        <f>M7/M$39</f>
        <v>0.000105670646690038</v>
      </c>
      <c r="N47" s="106">
        <f>N7/N$39</f>
        <v>0.00101890714651166</v>
      </c>
      <c r="O47" s="106">
        <f>O7/O$39</f>
        <v>0.00113181952633854</v>
      </c>
      <c r="P47" s="106">
        <f>P7/P$39</f>
        <v>0.00156444630382932</v>
      </c>
      <c r="Q47" s="106">
        <f>Q7/Q$39</f>
        <v>0.00148767679398696</v>
      </c>
      <c r="R47" s="106">
        <f>R7/R$39</f>
        <v>0.000242929456925354</v>
      </c>
      <c r="S47" s="106">
        <f>S7/S$39</f>
        <v>0.000308399175592822</v>
      </c>
      <c r="T47" s="106">
        <f>T7/T$39</f>
        <v>0</v>
      </c>
      <c r="U47" s="106">
        <f>U7/U$39</f>
        <v>0</v>
      </c>
      <c r="V47" s="106">
        <f>V7/V$39</f>
        <v>0.0012801734631097</v>
      </c>
      <c r="W47" s="106">
        <f>W7/W$39</f>
        <v>0.00100251598659294</v>
      </c>
      <c r="X47" s="107">
        <f>X7/X$39</f>
        <v>0</v>
      </c>
      <c r="Y47" s="106">
        <f>Y7/Y$39</f>
        <v>0</v>
      </c>
      <c r="Z47" s="106">
        <f>Z7/Z$39</f>
        <v>0.00048789208445765</v>
      </c>
      <c r="AA47" s="106">
        <f>AA7/AA$39</f>
        <v>0.00164047409061503</v>
      </c>
      <c r="AB47" s="107"/>
      <c r="AC47" s="106"/>
      <c r="AD47" s="107">
        <f>AD7/AD$39</f>
        <v>0.000391611246320645</v>
      </c>
      <c r="AE47" s="106">
        <f>AE7/AE$39</f>
        <v>0.000325883408253309</v>
      </c>
    </row>
    <row r="48" customHeight="1" spans="1:31">
      <c r="A48" s="103"/>
      <c r="B48" s="104" t="s">
        <v>400</v>
      </c>
      <c r="C48" s="105" t="e">
        <f>#REF!/C8-1</f>
        <v>#REF!</v>
      </c>
      <c r="D48" s="106">
        <f>D8/D$39</f>
        <v>0.00470731710548022</v>
      </c>
      <c r="E48" s="106">
        <f>E8/E$39</f>
        <v>0.00414226660193161</v>
      </c>
      <c r="F48" s="106">
        <f>F8/F$39</f>
        <v>0.00224697652065991</v>
      </c>
      <c r="G48" s="106">
        <f>G8/G$39</f>
        <v>0.00170040496259799</v>
      </c>
      <c r="H48" s="106">
        <f>H8/H$39</f>
        <v>0.00101017979656535</v>
      </c>
      <c r="I48" s="106">
        <f>I8/I$39</f>
        <v>0.000975570858605088</v>
      </c>
      <c r="J48" s="106">
        <f>J8/J$39</f>
        <v>0.00658664956782566</v>
      </c>
      <c r="K48" s="106">
        <f>K8/K$39</f>
        <v>0.0136381154013477</v>
      </c>
      <c r="L48" s="106">
        <f>L8/L$39</f>
        <v>0.00562687727253826</v>
      </c>
      <c r="M48" s="106">
        <f>M8/M$39</f>
        <v>0.0014392995748252</v>
      </c>
      <c r="N48" s="106">
        <f>N8/N$39</f>
        <v>0.00417753909608029</v>
      </c>
      <c r="O48" s="106">
        <f>O8/O$39</f>
        <v>0.00332836739576045</v>
      </c>
      <c r="P48" s="106">
        <f>P8/P$39</f>
        <v>0.00181827418959943</v>
      </c>
      <c r="Q48" s="106">
        <f>Q8/Q$39</f>
        <v>0.00288710132238513</v>
      </c>
      <c r="R48" s="106">
        <f>R8/R$39</f>
        <v>0.00366058065481512</v>
      </c>
      <c r="S48" s="106">
        <f>S8/S$39</f>
        <v>0.00357604067870397</v>
      </c>
      <c r="T48" s="106">
        <f>T8/T$39</f>
        <v>0.00196097681092357</v>
      </c>
      <c r="U48" s="106">
        <f>U8/U$39</f>
        <v>0.00207955040358846</v>
      </c>
      <c r="V48" s="106">
        <f>V8/V$39</f>
        <v>0.00283241469989839</v>
      </c>
      <c r="W48" s="106">
        <f>W8/W$39</f>
        <v>0.00504395274654082</v>
      </c>
      <c r="X48" s="107">
        <f>X8/X$39</f>
        <v>0.00114924132793868</v>
      </c>
      <c r="Y48" s="106">
        <f>Y8/Y$39</f>
        <v>0.00175609803721366</v>
      </c>
      <c r="Z48" s="106">
        <f>Z8/Z$39</f>
        <v>0.00738334131237063</v>
      </c>
      <c r="AA48" s="106">
        <f>AA8/AA$39</f>
        <v>0.0106661942202423</v>
      </c>
      <c r="AB48" s="107"/>
      <c r="AC48" s="106"/>
      <c r="AD48" s="107">
        <f>AD8/AD$39</f>
        <v>0.00762729685419644</v>
      </c>
      <c r="AE48" s="106">
        <f>AE8/AE$39</f>
        <v>0.00494691999900627</v>
      </c>
    </row>
    <row r="49" customHeight="1" spans="1:31">
      <c r="A49" s="103"/>
      <c r="B49" s="104" t="s">
        <v>401</v>
      </c>
      <c r="C49" s="105" t="e">
        <f>#REF!/C9-1</f>
        <v>#REF!</v>
      </c>
      <c r="D49" s="106">
        <f>D9/D$39</f>
        <v>0.201833891575098</v>
      </c>
      <c r="E49" s="106">
        <f>E9/E$39</f>
        <v>0.194135102253981</v>
      </c>
      <c r="F49" s="106">
        <f>F9/F$39</f>
        <v>0.211009329838146</v>
      </c>
      <c r="G49" s="106">
        <f>G9/G$39</f>
        <v>0.218208191127126</v>
      </c>
      <c r="H49" s="106">
        <f>H9/H$39</f>
        <v>0.251910365307786</v>
      </c>
      <c r="I49" s="106">
        <f>I9/I$39</f>
        <v>0.293819230644707</v>
      </c>
      <c r="J49" s="106">
        <f>J9/J$39</f>
        <v>0.172442168218886</v>
      </c>
      <c r="K49" s="106">
        <f>K9/K$39</f>
        <v>0.153357634102401</v>
      </c>
      <c r="L49" s="106">
        <f>L9/L$39</f>
        <v>0.21722808359168</v>
      </c>
      <c r="M49" s="106">
        <f>M9/M$39</f>
        <v>0.192130497544794</v>
      </c>
      <c r="N49" s="106">
        <f>N9/N$39</f>
        <v>0.144304269517989</v>
      </c>
      <c r="O49" s="106">
        <f>O9/O$39</f>
        <v>0.144274350391903</v>
      </c>
      <c r="P49" s="106">
        <f>P9/P$39</f>
        <v>0.206462784509291</v>
      </c>
      <c r="Q49" s="106">
        <f>Q9/Q$39</f>
        <v>0.295486384670236</v>
      </c>
      <c r="R49" s="106">
        <f>R9/R$39</f>
        <v>0.221751411817261</v>
      </c>
      <c r="S49" s="106">
        <f>S9/S$39</f>
        <v>0.220785729594818</v>
      </c>
      <c r="T49" s="106">
        <f>T9/T$39</f>
        <v>0.303220393167956</v>
      </c>
      <c r="U49" s="106">
        <f>U9/U$39</f>
        <v>0.35285110048867</v>
      </c>
      <c r="V49" s="106">
        <f>V9/V$39</f>
        <v>0.372591155596417</v>
      </c>
      <c r="W49" s="106">
        <f>W9/W$39</f>
        <v>0.301971858051844</v>
      </c>
      <c r="X49" s="107">
        <f>X9/X$39</f>
        <v>0.124139182978496</v>
      </c>
      <c r="Y49" s="106">
        <f>Y9/Y$39</f>
        <v>0.439931643568642</v>
      </c>
      <c r="Z49" s="106">
        <f>Z9/Z$39</f>
        <v>0.30234203816326</v>
      </c>
      <c r="AA49" s="106">
        <f>AA9/AA$39</f>
        <v>0.331578521561675</v>
      </c>
      <c r="AB49" s="107"/>
      <c r="AC49" s="106"/>
      <c r="AD49" s="107">
        <f>AD9/AD$39</f>
        <v>0.167053536247678</v>
      </c>
      <c r="AE49" s="106">
        <f>AE9/AE$39</f>
        <v>0.141063434841889</v>
      </c>
    </row>
    <row r="50" customHeight="1" spans="1:31">
      <c r="A50" s="103"/>
      <c r="B50" s="104" t="s">
        <v>402</v>
      </c>
      <c r="C50" s="105" t="e">
        <f>#REF!/C10-1</f>
        <v>#REF!</v>
      </c>
      <c r="D50" s="106">
        <f>D10/D$39</f>
        <v>0.000683593889634036</v>
      </c>
      <c r="E50" s="106">
        <f>E10/E$39</f>
        <v>7.6087265111484e-5</v>
      </c>
      <c r="F50" s="106">
        <f>F10/F$39</f>
        <v>0</v>
      </c>
      <c r="G50" s="106">
        <f>G10/G$39</f>
        <v>0</v>
      </c>
      <c r="H50" s="106">
        <f>H10/H$39</f>
        <v>0</v>
      </c>
      <c r="I50" s="106">
        <f>I10/I$39</f>
        <v>0</v>
      </c>
      <c r="J50" s="106">
        <f>J10/J$39</f>
        <v>0</v>
      </c>
      <c r="K50" s="106">
        <f>K10/K$39</f>
        <v>0</v>
      </c>
      <c r="L50" s="106">
        <f>L10/L$39</f>
        <v>1.58337679925236e-5</v>
      </c>
      <c r="M50" s="106">
        <f>M10/M$39</f>
        <v>0.000109007992379827</v>
      </c>
      <c r="N50" s="106">
        <f>N10/N$39</f>
        <v>0.00017421546432295</v>
      </c>
      <c r="O50" s="106">
        <f>O10/O$39</f>
        <v>0</v>
      </c>
      <c r="P50" s="106">
        <f>P10/P$39</f>
        <v>0</v>
      </c>
      <c r="Q50" s="106">
        <f>Q10/Q$39</f>
        <v>0.00135508798773212</v>
      </c>
      <c r="R50" s="106">
        <f>R10/R$39</f>
        <v>0.00113923188234877</v>
      </c>
      <c r="S50" s="106">
        <f>S10/S$39</f>
        <v>0.000581586760047164</v>
      </c>
      <c r="T50" s="106">
        <f>T10/T$39</f>
        <v>0</v>
      </c>
      <c r="U50" s="106">
        <f>U10/U$39</f>
        <v>0</v>
      </c>
      <c r="V50" s="106">
        <f>V10/V$39</f>
        <v>0.000162845296163963</v>
      </c>
      <c r="W50" s="106">
        <f>W10/W$39</f>
        <v>0</v>
      </c>
      <c r="X50" s="107">
        <f>X10/X$39</f>
        <v>0</v>
      </c>
      <c r="Y50" s="106">
        <f>Y10/Y$39</f>
        <v>0</v>
      </c>
      <c r="Z50" s="106">
        <f>Z10/Z$39</f>
        <v>0</v>
      </c>
      <c r="AA50" s="106">
        <f>AA10/AA$39</f>
        <v>-1.12183278959447e-11</v>
      </c>
      <c r="AB50" s="107"/>
      <c r="AC50" s="106"/>
      <c r="AD50" s="107">
        <f>AD10/AD$39</f>
        <v>0.00207405352281656</v>
      </c>
      <c r="AE50" s="106">
        <f>AE10/AE$39</f>
        <v>0</v>
      </c>
    </row>
    <row r="51" customHeight="1" spans="1:31">
      <c r="A51" s="103"/>
      <c r="B51" s="104" t="s">
        <v>403</v>
      </c>
      <c r="C51" s="105" t="e">
        <f>#REF!/C11-1</f>
        <v>#REF!</v>
      </c>
      <c r="D51" s="106">
        <f>D11/D$39</f>
        <v>0.00637004195839749</v>
      </c>
      <c r="E51" s="106">
        <f>E11/E$39</f>
        <v>0.00678837335305677</v>
      </c>
      <c r="F51" s="106">
        <f>F11/F$39</f>
        <v>0</v>
      </c>
      <c r="G51" s="106">
        <f>G11/G$39</f>
        <v>0</v>
      </c>
      <c r="H51" s="106">
        <f>H11/H$39</f>
        <v>0.0151234877586681</v>
      </c>
      <c r="I51" s="106">
        <f>I11/I$39</f>
        <v>0.0149284462594499</v>
      </c>
      <c r="J51" s="106">
        <f>J11/J$39</f>
        <v>0.00866852544382237</v>
      </c>
      <c r="K51" s="106">
        <f>K11/K$39</f>
        <v>0.0132844962846485</v>
      </c>
      <c r="L51" s="106">
        <f>L11/L$39</f>
        <v>0.00762313900744386</v>
      </c>
      <c r="M51" s="106">
        <f>M11/M$39</f>
        <v>0.00676468526711985</v>
      </c>
      <c r="N51" s="106">
        <f>N11/N$39</f>
        <v>0.00725209318126841</v>
      </c>
      <c r="O51" s="106">
        <f>O11/O$39</f>
        <v>0.00853603371916998</v>
      </c>
      <c r="P51" s="106">
        <f>P11/P$39</f>
        <v>0</v>
      </c>
      <c r="Q51" s="106">
        <f>Q11/Q$39</f>
        <v>0.00813643542344449</v>
      </c>
      <c r="R51" s="106">
        <f>R11/R$39</f>
        <v>0.00781709536563204</v>
      </c>
      <c r="S51" s="106">
        <f>S11/S$39</f>
        <v>0.00499138004685392</v>
      </c>
      <c r="T51" s="106">
        <f>T11/T$39</f>
        <v>0.0124536493939606</v>
      </c>
      <c r="U51" s="106">
        <f>U11/U$39</f>
        <v>0.00870316718438785</v>
      </c>
      <c r="V51" s="106">
        <f>V11/V$39</f>
        <v>0.0100978692591641</v>
      </c>
      <c r="W51" s="106">
        <f>W11/W$39</f>
        <v>0.0115675128854614</v>
      </c>
      <c r="X51" s="107">
        <f>X11/X$39</f>
        <v>0</v>
      </c>
      <c r="Y51" s="106">
        <f>Y11/Y$39</f>
        <v>0</v>
      </c>
      <c r="Z51" s="106">
        <f>Z11/Z$39</f>
        <v>0.0110380472131989</v>
      </c>
      <c r="AA51" s="106">
        <f>AA11/AA$39</f>
        <v>0.0143713995125057</v>
      </c>
      <c r="AB51" s="107"/>
      <c r="AC51" s="106"/>
      <c r="AD51" s="107">
        <f>AD11/AD$39</f>
        <v>0.0044317676867606</v>
      </c>
      <c r="AE51" s="106">
        <f>AE11/AE$39</f>
        <v>0.00298425231566945</v>
      </c>
    </row>
    <row r="52" customHeight="1" spans="1:31">
      <c r="A52" s="103"/>
      <c r="B52" s="104" t="s">
        <v>404</v>
      </c>
      <c r="C52" s="105" t="e">
        <f>#REF!/C12-1</f>
        <v>#REF!</v>
      </c>
      <c r="D52" s="106">
        <f>D12/D$39</f>
        <v>0</v>
      </c>
      <c r="E52" s="106">
        <f>E12/E$39</f>
        <v>0</v>
      </c>
      <c r="F52" s="106">
        <f>F12/F$39</f>
        <v>0</v>
      </c>
      <c r="G52" s="106">
        <f>G12/G$39</f>
        <v>0</v>
      </c>
      <c r="H52" s="106">
        <f>H12/H$39</f>
        <v>0</v>
      </c>
      <c r="I52" s="106">
        <f>I12/I$39</f>
        <v>0</v>
      </c>
      <c r="J52" s="106">
        <f>J12/J$39</f>
        <v>0</v>
      </c>
      <c r="K52" s="106">
        <f>K12/K$39</f>
        <v>0</v>
      </c>
      <c r="L52" s="106">
        <f>L12/L$39</f>
        <v>0</v>
      </c>
      <c r="M52" s="106">
        <f>M12/M$39</f>
        <v>0</v>
      </c>
      <c r="N52" s="106">
        <f>N12/N$39</f>
        <v>0</v>
      </c>
      <c r="O52" s="106">
        <f>O12/O$39</f>
        <v>0</v>
      </c>
      <c r="P52" s="106">
        <f>P12/P$39</f>
        <v>0</v>
      </c>
      <c r="Q52" s="106">
        <f>Q12/Q$39</f>
        <v>0</v>
      </c>
      <c r="R52" s="106">
        <f>R12/R$39</f>
        <v>0</v>
      </c>
      <c r="S52" s="106">
        <f>S12/S$39</f>
        <v>0</v>
      </c>
      <c r="T52" s="106">
        <f>T12/T$39</f>
        <v>0</v>
      </c>
      <c r="U52" s="106">
        <f>U12/U$39</f>
        <v>0</v>
      </c>
      <c r="V52" s="106">
        <f>V12/V$39</f>
        <v>0</v>
      </c>
      <c r="W52" s="106">
        <f>W12/W$39</f>
        <v>0</v>
      </c>
      <c r="X52" s="107">
        <f>X12/X$39</f>
        <v>0</v>
      </c>
      <c r="Y52" s="106">
        <f>Y12/Y$39</f>
        <v>0</v>
      </c>
      <c r="Z52" s="106">
        <f>Z12/Z$39</f>
        <v>0</v>
      </c>
      <c r="AA52" s="106">
        <f>AA12/AA$39</f>
        <v>0</v>
      </c>
      <c r="AB52" s="107"/>
      <c r="AC52" s="106"/>
      <c r="AD52" s="107">
        <f>AD12/AD$39</f>
        <v>0</v>
      </c>
      <c r="AE52" s="106">
        <f>AE12/AE$39</f>
        <v>0</v>
      </c>
    </row>
    <row r="53" customHeight="1" spans="1:31">
      <c r="A53" s="103"/>
      <c r="B53" s="104" t="s">
        <v>405</v>
      </c>
      <c r="C53" s="105" t="e">
        <f>#REF!/C13-1</f>
        <v>#REF!</v>
      </c>
      <c r="D53" s="106">
        <f>D13/D$39</f>
        <v>3.74956860377734e-5</v>
      </c>
      <c r="E53" s="106">
        <f>E13/E$39</f>
        <v>3.68997801447442e-5</v>
      </c>
      <c r="F53" s="106">
        <f>F13/F$39</f>
        <v>1.13158861953875e-5</v>
      </c>
      <c r="G53" s="106">
        <f>G13/G$39</f>
        <v>2.15961196867149e-5</v>
      </c>
      <c r="H53" s="106">
        <f>H13/H$39</f>
        <v>0</v>
      </c>
      <c r="I53" s="106">
        <f>I13/I$39</f>
        <v>0</v>
      </c>
      <c r="J53" s="106">
        <f>J13/J$39</f>
        <v>0</v>
      </c>
      <c r="K53" s="106">
        <f>K13/K$39</f>
        <v>0</v>
      </c>
      <c r="L53" s="106">
        <f>L13/L$39</f>
        <v>7.9344085634294e-5</v>
      </c>
      <c r="M53" s="106">
        <f>M13/M$39</f>
        <v>5.21558407699692e-5</v>
      </c>
      <c r="N53" s="106">
        <f>N13/N$39</f>
        <v>9.50183225917259e-5</v>
      </c>
      <c r="O53" s="106">
        <f>O13/O$39</f>
        <v>9.26269536666275e-5</v>
      </c>
      <c r="P53" s="106">
        <f>P13/P$39</f>
        <v>0</v>
      </c>
      <c r="Q53" s="106">
        <f>Q13/Q$39</f>
        <v>0</v>
      </c>
      <c r="R53" s="106">
        <f>R13/R$39</f>
        <v>4.23748625766353e-6</v>
      </c>
      <c r="S53" s="106">
        <f>S13/S$39</f>
        <v>1.56366061498955e-5</v>
      </c>
      <c r="T53" s="106">
        <f>T13/T$39</f>
        <v>0</v>
      </c>
      <c r="U53" s="106">
        <f>U13/U$39</f>
        <v>0</v>
      </c>
      <c r="V53" s="106">
        <f>V13/V$39</f>
        <v>8.7450021168455e-5</v>
      </c>
      <c r="W53" s="106">
        <f>W13/W$39</f>
        <v>0.000108370530071884</v>
      </c>
      <c r="X53" s="107">
        <f>X13/X$39</f>
        <v>0</v>
      </c>
      <c r="Y53" s="106">
        <f>Y13/Y$39</f>
        <v>0</v>
      </c>
      <c r="Z53" s="106">
        <f>Z13/Z$39</f>
        <v>0</v>
      </c>
      <c r="AA53" s="106">
        <f>AA13/AA$39</f>
        <v>0</v>
      </c>
      <c r="AB53" s="107"/>
      <c r="AC53" s="106"/>
      <c r="AD53" s="107">
        <f>AD13/AD$39</f>
        <v>1.07957256943704e-5</v>
      </c>
      <c r="AE53" s="106">
        <f>AE13/AE$39</f>
        <v>2.02603326748448e-6</v>
      </c>
    </row>
    <row r="54" s="56" customFormat="1" ht="16.5" spans="1:31">
      <c r="A54" s="80" t="s">
        <v>406</v>
      </c>
      <c r="B54" s="108"/>
      <c r="C54" s="109" t="e">
        <f>#REF!/C14-1</f>
        <v>#REF!</v>
      </c>
      <c r="D54" s="110">
        <f>D14/D$39</f>
        <v>0.240061509497631</v>
      </c>
      <c r="E54" s="110">
        <f>E14/E$39</f>
        <v>0.232592337939136</v>
      </c>
      <c r="F54" s="110">
        <f>F14/F$39</f>
        <v>0.226065078653063</v>
      </c>
      <c r="G54" s="110">
        <f>G14/G$39</f>
        <v>0.229961560007969</v>
      </c>
      <c r="H54" s="110">
        <f>H14/H$39</f>
        <v>0.29030306895721</v>
      </c>
      <c r="I54" s="110">
        <f>I14/I$39</f>
        <v>0.322820127784393</v>
      </c>
      <c r="J54" s="110">
        <f>J14/J$39</f>
        <v>0.204527225920542</v>
      </c>
      <c r="K54" s="110">
        <f>K14/K$39</f>
        <v>0.198258718839242</v>
      </c>
      <c r="L54" s="110">
        <f>L14/L$39</f>
        <v>0.265204832895547</v>
      </c>
      <c r="M54" s="110">
        <f>M14/M$39</f>
        <v>0.219186137301689</v>
      </c>
      <c r="N54" s="110">
        <f>N14/N$39</f>
        <v>0.190186816068273</v>
      </c>
      <c r="O54" s="110">
        <f>O14/O$39</f>
        <v>0.202853251925518</v>
      </c>
      <c r="P54" s="110">
        <f>P14/P$39</f>
        <v>0.230885507292391</v>
      </c>
      <c r="Q54" s="110">
        <f>Q14/Q$39</f>
        <v>0.349019595186294</v>
      </c>
      <c r="R54" s="110">
        <f>R14/R$39</f>
        <v>0.253468796434668</v>
      </c>
      <c r="S54" s="110">
        <f>S14/S$39</f>
        <v>0.241941568158331</v>
      </c>
      <c r="T54" s="110">
        <f>T14/T$39</f>
        <v>0.333867564819479</v>
      </c>
      <c r="U54" s="110">
        <f>U14/U$39</f>
        <v>0.377956692031493</v>
      </c>
      <c r="V54" s="110">
        <f>V14/V$39</f>
        <v>0.406007681092135</v>
      </c>
      <c r="W54" s="110">
        <f>W14/W$39</f>
        <v>0.33702571482475</v>
      </c>
      <c r="X54" s="111">
        <f>X14/X$39</f>
        <v>0.131559691631589</v>
      </c>
      <c r="Y54" s="110">
        <f>Y14/Y$39</f>
        <v>0.473555409021959</v>
      </c>
      <c r="Z54" s="110">
        <f>Z14/Z$39</f>
        <v>0.377368023164636</v>
      </c>
      <c r="AA54" s="110">
        <f>AA14/AA$39</f>
        <v>0.391690091170322</v>
      </c>
      <c r="AB54" s="111"/>
      <c r="AC54" s="110"/>
      <c r="AD54" s="111">
        <f>AD14/AD$39</f>
        <v>0.21255055271586</v>
      </c>
      <c r="AE54" s="110">
        <f>AE14/AE$39</f>
        <v>0.184631337650323</v>
      </c>
    </row>
    <row r="55" customHeight="1" spans="1:31">
      <c r="A55" s="98" t="s">
        <v>27</v>
      </c>
      <c r="B55" s="99" t="s">
        <v>407</v>
      </c>
      <c r="C55" s="100" t="e">
        <f>#REF!/C15-1</f>
        <v>#REF!</v>
      </c>
      <c r="D55" s="101">
        <f>D15/D$39</f>
        <v>0.00211942861853054</v>
      </c>
      <c r="E55" s="101">
        <f>E15/E$39</f>
        <v>0.00158595251668173</v>
      </c>
      <c r="F55" s="101">
        <f>F15/F$39</f>
        <v>0.00186642873683839</v>
      </c>
      <c r="G55" s="101">
        <f>G15/G$39</f>
        <v>0.001908116554491</v>
      </c>
      <c r="H55" s="101">
        <f>H15/H$39</f>
        <v>0.00123448432861504</v>
      </c>
      <c r="I55" s="101">
        <f>I15/I$39</f>
        <v>0.00068935442709079</v>
      </c>
      <c r="J55" s="101">
        <f>J15/J$39</f>
        <v>0.00382042526827225</v>
      </c>
      <c r="K55" s="101">
        <f>K15/K$39</f>
        <v>0.00219884397524731</v>
      </c>
      <c r="L55" s="101">
        <f>L15/L$39</f>
        <v>0.000578870785087808</v>
      </c>
      <c r="M55" s="101">
        <f>M15/M$39</f>
        <v>0.000282299837434086</v>
      </c>
      <c r="N55" s="101">
        <f>N15/N$39</f>
        <v>0.0037034670647482</v>
      </c>
      <c r="O55" s="101">
        <f>O15/O$39</f>
        <v>0.00319345018738586</v>
      </c>
      <c r="P55" s="101">
        <f>P15/P$39</f>
        <v>0.00252726024647266</v>
      </c>
      <c r="Q55" s="101">
        <f>Q15/Q$39</f>
        <v>0.00255526478628733</v>
      </c>
      <c r="R55" s="101">
        <f>R15/R$39</f>
        <v>0.000965065270604595</v>
      </c>
      <c r="S55" s="101">
        <f>S15/S$39</f>
        <v>0.000526471376781434</v>
      </c>
      <c r="T55" s="101">
        <f>T15/T$39</f>
        <v>0.00259850976292366</v>
      </c>
      <c r="U55" s="101">
        <f>U15/U$39</f>
        <v>0.00230364141370508</v>
      </c>
      <c r="V55" s="101">
        <f>V15/V$39</f>
        <v>0.00198077667954045</v>
      </c>
      <c r="W55" s="101">
        <f>W15/W$39</f>
        <v>0.00129408786702663</v>
      </c>
      <c r="X55" s="102">
        <f>X15/X$39</f>
        <v>0.0111109808217018</v>
      </c>
      <c r="Y55" s="101">
        <f>Y15/Y$39</f>
        <v>0</v>
      </c>
      <c r="Z55" s="101">
        <f>Z15/Z$39</f>
        <v>0.00414042745279404</v>
      </c>
      <c r="AA55" s="101">
        <f>AA15/AA$39</f>
        <v>0.00176974731362029</v>
      </c>
      <c r="AB55" s="102"/>
      <c r="AC55" s="101"/>
      <c r="AD55" s="102">
        <f>AD15/AD$39</f>
        <v>0.00120954931140572</v>
      </c>
      <c r="AE55" s="101">
        <f>AE15/AE$39</f>
        <v>0.000947427475929339</v>
      </c>
    </row>
    <row r="56" customHeight="1" spans="1:31">
      <c r="A56" s="103"/>
      <c r="B56" s="104" t="s">
        <v>408</v>
      </c>
      <c r="C56" s="105" t="e">
        <f>#REF!/C16-1</f>
        <v>#REF!</v>
      </c>
      <c r="D56" s="106">
        <f>D16/D$39</f>
        <v>0.0229097946760055</v>
      </c>
      <c r="E56" s="106">
        <f>E16/E$39</f>
        <v>0.0195588009025398</v>
      </c>
      <c r="F56" s="106">
        <f>F16/F$39</f>
        <v>0.0245012992574176</v>
      </c>
      <c r="G56" s="106">
        <f>G16/G$39</f>
        <v>0.0189439120029971</v>
      </c>
      <c r="H56" s="106">
        <f>H16/H$39</f>
        <v>0.024608140326611</v>
      </c>
      <c r="I56" s="106">
        <f>I16/I$39</f>
        <v>0.0176590269116749</v>
      </c>
      <c r="J56" s="106">
        <f>J16/J$39</f>
        <v>0.0301725522560879</v>
      </c>
      <c r="K56" s="106">
        <f>K16/K$39</f>
        <v>0.0270582571109929</v>
      </c>
      <c r="L56" s="106">
        <f>L16/L$39</f>
        <v>0.0257931844246224</v>
      </c>
      <c r="M56" s="106">
        <f>M16/M$39</f>
        <v>0.0240565612256674</v>
      </c>
      <c r="N56" s="106">
        <f>N16/N$39</f>
        <v>0.0220188898252545</v>
      </c>
      <c r="O56" s="106">
        <f>O16/O$39</f>
        <v>0.0254153529370227</v>
      </c>
      <c r="P56" s="106">
        <f>P16/P$39</f>
        <v>0.020521459982512</v>
      </c>
      <c r="Q56" s="106">
        <f>Q16/Q$39</f>
        <v>0.0360292852518892</v>
      </c>
      <c r="R56" s="106">
        <f>R16/R$39</f>
        <v>0.0198299540473137</v>
      </c>
      <c r="S56" s="106">
        <f>S16/S$39</f>
        <v>0.0158924911720307</v>
      </c>
      <c r="T56" s="106">
        <f>T16/T$39</f>
        <v>0.0226611096190723</v>
      </c>
      <c r="U56" s="106">
        <f>U16/U$39</f>
        <v>0.0155697923805784</v>
      </c>
      <c r="V56" s="106">
        <f>V16/V$39</f>
        <v>0.0169028654004723</v>
      </c>
      <c r="W56" s="106">
        <f>W16/W$39</f>
        <v>0.016078195394392</v>
      </c>
      <c r="X56" s="107">
        <f>X16/X$39</f>
        <v>0.0123683426399058</v>
      </c>
      <c r="Y56" s="106">
        <f>Y16/Y$39</f>
        <v>0.00447560249512093</v>
      </c>
      <c r="Z56" s="106">
        <f>Z16/Z$39</f>
        <v>0.0223507514374966</v>
      </c>
      <c r="AA56" s="106">
        <f>AA16/AA$39</f>
        <v>0.0190868369707177</v>
      </c>
      <c r="AB56" s="107"/>
      <c r="AC56" s="106"/>
      <c r="AD56" s="107">
        <f>AD16/AD$39</f>
        <v>0.0226546002825916</v>
      </c>
      <c r="AE56" s="106">
        <f>AE16/AE$39</f>
        <v>0.0138548071115749</v>
      </c>
    </row>
    <row r="57" customHeight="1" spans="1:31">
      <c r="A57" s="103"/>
      <c r="B57" s="104" t="s">
        <v>409</v>
      </c>
      <c r="C57" s="105" t="e">
        <f>#REF!/C17-1</f>
        <v>#REF!</v>
      </c>
      <c r="D57" s="106">
        <f>D17/D$39</f>
        <v>0.00077128423093505</v>
      </c>
      <c r="E57" s="106">
        <f>E17/E$39</f>
        <v>0.000660760882644926</v>
      </c>
      <c r="F57" s="106">
        <f>F17/F$39</f>
        <v>0.00053329880896264</v>
      </c>
      <c r="G57" s="106">
        <f>G17/G$39</f>
        <v>0.000434718012837787</v>
      </c>
      <c r="H57" s="106">
        <f>H17/H$39</f>
        <v>0.00100214654759861</v>
      </c>
      <c r="I57" s="106">
        <f>I17/I$39</f>
        <v>0.000825521857306527</v>
      </c>
      <c r="J57" s="106">
        <f>J17/J$39</f>
        <v>0.00162945034150465</v>
      </c>
      <c r="K57" s="106">
        <f>K17/K$39</f>
        <v>0.000824762027351248</v>
      </c>
      <c r="L57" s="106">
        <f>L17/L$39</f>
        <v>0.000991386421407258</v>
      </c>
      <c r="M57" s="106">
        <f>M17/M$39</f>
        <v>0.000635846829984522</v>
      </c>
      <c r="N57" s="106">
        <f>N17/N$39</f>
        <v>0.000885901589601085</v>
      </c>
      <c r="O57" s="106">
        <f>O17/O$39</f>
        <v>0.000528584381061849</v>
      </c>
      <c r="P57" s="106">
        <f>P17/P$39</f>
        <v>0.000245892197118365</v>
      </c>
      <c r="Q57" s="106">
        <f>Q17/Q$39</f>
        <v>0.000439947797081003</v>
      </c>
      <c r="R57" s="106">
        <f>R17/R$39</f>
        <v>0.00148397954054218</v>
      </c>
      <c r="S57" s="106">
        <f>S17/S$39</f>
        <v>0.0013579954031666</v>
      </c>
      <c r="T57" s="106">
        <f>T17/T$39</f>
        <v>0.00162875889281123</v>
      </c>
      <c r="U57" s="106">
        <f>U17/U$39</f>
        <v>0.000950459828764194</v>
      </c>
      <c r="V57" s="106">
        <f>V17/V$39</f>
        <v>0.000952370710931206</v>
      </c>
      <c r="W57" s="106">
        <f>W17/W$39</f>
        <v>0.00156956401777182</v>
      </c>
      <c r="X57" s="107">
        <f>X17/X$39</f>
        <v>0</v>
      </c>
      <c r="Y57" s="106">
        <f>Y17/Y$39</f>
        <v>0</v>
      </c>
      <c r="Z57" s="106">
        <f>Z17/Z$39</f>
        <v>0.00345837809115103</v>
      </c>
      <c r="AA57" s="106">
        <f>AA17/AA$39</f>
        <v>0.00208985744486502</v>
      </c>
      <c r="AB57" s="107"/>
      <c r="AC57" s="106"/>
      <c r="AD57" s="107">
        <f>AD17/AD$39</f>
        <v>0.000125780441768787</v>
      </c>
      <c r="AE57" s="106">
        <f>AE17/AE$39</f>
        <v>0.000131194677050313</v>
      </c>
    </row>
    <row r="58" customHeight="1" spans="1:31">
      <c r="A58" s="103"/>
      <c r="B58" s="104" t="s">
        <v>410</v>
      </c>
      <c r="C58" s="105" t="e">
        <f>#REF!/C18-1</f>
        <v>#REF!</v>
      </c>
      <c r="D58" s="106">
        <f>D18/D$39</f>
        <v>0.00285112921434983</v>
      </c>
      <c r="E58" s="106">
        <f>E18/E$39</f>
        <v>0.00218513117665991</v>
      </c>
      <c r="F58" s="106">
        <f>F18/F$39</f>
        <v>0.000392223038014262</v>
      </c>
      <c r="G58" s="106">
        <f>G18/G$39</f>
        <v>0.000274010355281714</v>
      </c>
      <c r="H58" s="106">
        <f>H18/H$39</f>
        <v>0.000211530686667566</v>
      </c>
      <c r="I58" s="106">
        <f>I18/I$39</f>
        <v>0.000250433855712396</v>
      </c>
      <c r="J58" s="106">
        <f>J18/J$39</f>
        <v>0.000113587291997879</v>
      </c>
      <c r="K58" s="106">
        <f>K18/K$39</f>
        <v>0.000104361678896573</v>
      </c>
      <c r="L58" s="106">
        <f>L18/L$39</f>
        <v>0.00109861048944631</v>
      </c>
      <c r="M58" s="106">
        <f>M18/M$39</f>
        <v>0.00214347593866883</v>
      </c>
      <c r="N58" s="106">
        <f>N18/N$39</f>
        <v>0.0125221286710189</v>
      </c>
      <c r="O58" s="106">
        <f>O18/O$39</f>
        <v>0.00867007641951689</v>
      </c>
      <c r="P58" s="106">
        <f>P18/P$39</f>
        <v>0.000947884478140073</v>
      </c>
      <c r="Q58" s="106">
        <f>Q18/Q$39</f>
        <v>0.00010542055331733</v>
      </c>
      <c r="R58" s="106">
        <f>R18/R$39</f>
        <v>9.1787508273516e-5</v>
      </c>
      <c r="S58" s="106">
        <f>S18/S$39</f>
        <v>4.13858585200972e-5</v>
      </c>
      <c r="T58" s="106">
        <f>T18/T$39</f>
        <v>0.000462705410754107</v>
      </c>
      <c r="U58" s="106">
        <f>U18/U$39</f>
        <v>0.000607590595523982</v>
      </c>
      <c r="V58" s="106">
        <f>V18/V$39</f>
        <v>0.00084159805204032</v>
      </c>
      <c r="W58" s="106">
        <f>W18/W$39</f>
        <v>0.000510324690237415</v>
      </c>
      <c r="X58" s="107">
        <f>X18/X$39</f>
        <v>-0.00409709344258544</v>
      </c>
      <c r="Y58" s="106">
        <f>Y18/Y$39</f>
        <v>0</v>
      </c>
      <c r="Z58" s="106">
        <f>Z18/Z$39</f>
        <v>9.32617735956618e-5</v>
      </c>
      <c r="AA58" s="106">
        <f>AA18/AA$39</f>
        <v>0.00066955396116894</v>
      </c>
      <c r="AB58" s="107"/>
      <c r="AC58" s="106"/>
      <c r="AD58" s="107">
        <f>AD18/AD$39</f>
        <v>4.98130739062636e-5</v>
      </c>
      <c r="AE58" s="106">
        <f>AE18/AE$39</f>
        <v>2.15969832068132e-5</v>
      </c>
    </row>
    <row r="59" customHeight="1" spans="1:31">
      <c r="A59" s="103"/>
      <c r="B59" s="104" t="s">
        <v>411</v>
      </c>
      <c r="C59" s="105" t="e">
        <f>#REF!/C19-1</f>
        <v>#REF!</v>
      </c>
      <c r="D59" s="106">
        <f>D19/D$39</f>
        <v>0.020429824605596</v>
      </c>
      <c r="E59" s="106">
        <f>E19/E$39</f>
        <v>0.0219678160179754</v>
      </c>
      <c r="F59" s="106">
        <f>F19/F$39</f>
        <v>0.0227519200078116</v>
      </c>
      <c r="G59" s="106">
        <f>G19/G$39</f>
        <v>0.0227890492352036</v>
      </c>
      <c r="H59" s="106">
        <f>H19/H$39</f>
        <v>0.0138756125422853</v>
      </c>
      <c r="I59" s="106">
        <f>I19/I$39</f>
        <v>0.0119157100988403</v>
      </c>
      <c r="J59" s="106">
        <f>J19/J$39</f>
        <v>0.0312143447996277</v>
      </c>
      <c r="K59" s="106">
        <f>K19/K$39</f>
        <v>0.0397542121991246</v>
      </c>
      <c r="L59" s="106">
        <f>L19/L$39</f>
        <v>0.0259541148708023</v>
      </c>
      <c r="M59" s="106">
        <f>M19/M$39</f>
        <v>0.030480171786081</v>
      </c>
      <c r="N59" s="106">
        <f>N19/N$39</f>
        <v>0.0243210990373823</v>
      </c>
      <c r="O59" s="106">
        <f>O19/O$39</f>
        <v>0.0235337504173385</v>
      </c>
      <c r="P59" s="106">
        <f>P19/P$39</f>
        <v>0.0125429430061361</v>
      </c>
      <c r="Q59" s="106">
        <f>Q19/Q$39</f>
        <v>0.0400285623075059</v>
      </c>
      <c r="R59" s="106">
        <f>R19/R$39</f>
        <v>0.026883301780544</v>
      </c>
      <c r="S59" s="106">
        <f>S19/S$39</f>
        <v>0.0292355652341764</v>
      </c>
      <c r="T59" s="106">
        <f>T19/T$39</f>
        <v>0.0115376238616362</v>
      </c>
      <c r="U59" s="106">
        <f>U19/U$39</f>
        <v>0.0129226120991689</v>
      </c>
      <c r="V59" s="106">
        <f>V19/V$39</f>
        <v>0.0194336761635104</v>
      </c>
      <c r="W59" s="106">
        <f>W19/W$39</f>
        <v>0.0250945067153074</v>
      </c>
      <c r="X59" s="107">
        <f>X19/X$39</f>
        <v>0.0111099666771102</v>
      </c>
      <c r="Y59" s="106">
        <f>Y19/Y$39</f>
        <v>0.0398813647367216</v>
      </c>
      <c r="Z59" s="106">
        <f>Z19/Z$39</f>
        <v>0.0278764333633852</v>
      </c>
      <c r="AA59" s="106">
        <f>AA19/AA$39</f>
        <v>0.021341535950068</v>
      </c>
      <c r="AB59" s="107"/>
      <c r="AC59" s="106"/>
      <c r="AD59" s="107">
        <f>AD19/AD$39</f>
        <v>0.0123025508985315</v>
      </c>
      <c r="AE59" s="106">
        <f>AE19/AE$39</f>
        <v>0.0112899355936315</v>
      </c>
    </row>
    <row r="60" customHeight="1" spans="1:31">
      <c r="A60" s="103"/>
      <c r="B60" s="104" t="s">
        <v>412</v>
      </c>
      <c r="C60" s="105" t="e">
        <f>#REF!/C20-1</f>
        <v>#REF!</v>
      </c>
      <c r="D60" s="106">
        <f>D20/D$39</f>
        <v>0.00888172284285558</v>
      </c>
      <c r="E60" s="106">
        <f>E20/E$39</f>
        <v>0.00840487027461916</v>
      </c>
      <c r="F60" s="106">
        <f>F20/F$39</f>
        <v>0.00207414122076812</v>
      </c>
      <c r="G60" s="106">
        <f>G20/G$39</f>
        <v>0.00372571880935379</v>
      </c>
      <c r="H60" s="106">
        <f>H20/H$39</f>
        <v>0.00218491182814296</v>
      </c>
      <c r="I60" s="106">
        <f>I20/I$39</f>
        <v>0.00118998151134698</v>
      </c>
      <c r="J60" s="106">
        <f>J20/J$39</f>
        <v>0.00451686638816992</v>
      </c>
      <c r="K60" s="106">
        <f>K20/K$39</f>
        <v>0.00409119438781078</v>
      </c>
      <c r="L60" s="106">
        <f>L20/L$39</f>
        <v>0.0150320703152741</v>
      </c>
      <c r="M60" s="106">
        <f>M20/M$39</f>
        <v>0.00998240432579658</v>
      </c>
      <c r="N60" s="106">
        <f>N20/N$39</f>
        <v>0.0175696756699449</v>
      </c>
      <c r="O60" s="106">
        <f>O20/O$39</f>
        <v>0.0163838559686206</v>
      </c>
      <c r="P60" s="106">
        <f>P20/P$39</f>
        <v>0.00716933293171821</v>
      </c>
      <c r="Q60" s="106">
        <f>Q20/Q$39</f>
        <v>0.0142817231864354</v>
      </c>
      <c r="R60" s="106">
        <f>R20/R$39</f>
        <v>0.0117357700479485</v>
      </c>
      <c r="S60" s="106">
        <f>S20/S$39</f>
        <v>0.0131898134014008</v>
      </c>
      <c r="T60" s="106">
        <f>T20/T$39</f>
        <v>0.0129986750706356</v>
      </c>
      <c r="U60" s="106">
        <f>U20/U$39</f>
        <v>0.00834106620243239</v>
      </c>
      <c r="V60" s="106">
        <f>V20/V$39</f>
        <v>0.0065293915595049</v>
      </c>
      <c r="W60" s="106">
        <f>W20/W$39</f>
        <v>0.0106419900485431</v>
      </c>
      <c r="X60" s="107">
        <f>X20/X$39</f>
        <v>0.00176978372669361</v>
      </c>
      <c r="Y60" s="106">
        <f>Y20/Y$39</f>
        <v>0</v>
      </c>
      <c r="Z60" s="106">
        <f>Z20/Z$39</f>
        <v>0.007477908323587</v>
      </c>
      <c r="AA60" s="106">
        <f>AA20/AA$39</f>
        <v>0.00914456885545444</v>
      </c>
      <c r="AB60" s="107"/>
      <c r="AC60" s="106"/>
      <c r="AD60" s="107">
        <f>AD20/AD$39</f>
        <v>0.00616331268963233</v>
      </c>
      <c r="AE60" s="106">
        <f>AE20/AE$39</f>
        <v>0.00301314879351225</v>
      </c>
    </row>
    <row r="61" customHeight="1" spans="1:31">
      <c r="A61" s="103"/>
      <c r="B61" s="104" t="s">
        <v>413</v>
      </c>
      <c r="C61" s="105" t="e">
        <f>#REF!/C21-1</f>
        <v>#REF!</v>
      </c>
      <c r="D61" s="106">
        <f>D21/D$39</f>
        <v>0</v>
      </c>
      <c r="E61" s="106">
        <f>E21/E$39</f>
        <v>0</v>
      </c>
      <c r="F61" s="106">
        <f>F21/F$39</f>
        <v>0</v>
      </c>
      <c r="G61" s="106">
        <f>G21/G$39</f>
        <v>0</v>
      </c>
      <c r="H61" s="106">
        <f>H21/H$39</f>
        <v>0</v>
      </c>
      <c r="I61" s="106">
        <f>I21/I$39</f>
        <v>0</v>
      </c>
      <c r="J61" s="106">
        <f>J21/J$39</f>
        <v>0</v>
      </c>
      <c r="K61" s="106">
        <f>K21/K$39</f>
        <v>0</v>
      </c>
      <c r="L61" s="106">
        <f>L21/L$39</f>
        <v>0</v>
      </c>
      <c r="M61" s="106">
        <f>M21/M$39</f>
        <v>0</v>
      </c>
      <c r="N61" s="106">
        <f>N21/N$39</f>
        <v>0</v>
      </c>
      <c r="O61" s="106">
        <f>O21/O$39</f>
        <v>0</v>
      </c>
      <c r="P61" s="106">
        <f>P21/P$39</f>
        <v>0</v>
      </c>
      <c r="Q61" s="106">
        <f>Q21/Q$39</f>
        <v>0</v>
      </c>
      <c r="R61" s="106">
        <f>R21/R$39</f>
        <v>0</v>
      </c>
      <c r="S61" s="106">
        <f>S21/S$39</f>
        <v>0</v>
      </c>
      <c r="T61" s="106">
        <f>T21/T$39</f>
        <v>0</v>
      </c>
      <c r="U61" s="106">
        <f>U21/U$39</f>
        <v>0</v>
      </c>
      <c r="V61" s="106">
        <f>V21/V$39</f>
        <v>0</v>
      </c>
      <c r="W61" s="106">
        <f>W21/W$39</f>
        <v>0</v>
      </c>
      <c r="X61" s="107">
        <f>X21/X$39</f>
        <v>0</v>
      </c>
      <c r="Y61" s="106">
        <f>Y21/Y$39</f>
        <v>0</v>
      </c>
      <c r="Z61" s="106">
        <f>Z21/Z$39</f>
        <v>0</v>
      </c>
      <c r="AA61" s="106">
        <f>AA21/AA$39</f>
        <v>0</v>
      </c>
      <c r="AB61" s="107"/>
      <c r="AC61" s="106"/>
      <c r="AD61" s="107">
        <f>AD21/AD$39</f>
        <v>0</v>
      </c>
      <c r="AE61" s="106">
        <f>AE21/AE$39</f>
        <v>0</v>
      </c>
    </row>
    <row r="62" customHeight="1" spans="1:31">
      <c r="A62" s="103"/>
      <c r="B62" s="104" t="s">
        <v>414</v>
      </c>
      <c r="C62" s="105" t="e">
        <f>#REF!/C22-1</f>
        <v>#REF!</v>
      </c>
      <c r="D62" s="106">
        <f>D22/D$39</f>
        <v>0.00042250099295986</v>
      </c>
      <c r="E62" s="106">
        <f>E22/E$39</f>
        <v>0.000249957194886123</v>
      </c>
      <c r="F62" s="106">
        <f>F22/F$39</f>
        <v>8.16447465675964e-5</v>
      </c>
      <c r="G62" s="106">
        <f>G22/G$39</f>
        <v>6.97055433648302e-5</v>
      </c>
      <c r="H62" s="106">
        <f>H22/H$39</f>
        <v>0.000122194403367181</v>
      </c>
      <c r="I62" s="106">
        <f>I22/I$39</f>
        <v>7.47547963674409e-5</v>
      </c>
      <c r="J62" s="106">
        <f>J22/J$39</f>
        <v>0.000512451022980842</v>
      </c>
      <c r="K62" s="106">
        <f>K22/K$39</f>
        <v>0.000309117618848845</v>
      </c>
      <c r="L62" s="106">
        <f>L22/L$39</f>
        <v>0.000439117868046157</v>
      </c>
      <c r="M62" s="106">
        <f>M22/M$39</f>
        <v>0.000202914640847869</v>
      </c>
      <c r="N62" s="106">
        <f>N22/N$39</f>
        <v>0.000726548035710515</v>
      </c>
      <c r="O62" s="106">
        <f>O22/O$39</f>
        <v>0.000365138690863326</v>
      </c>
      <c r="P62" s="106">
        <f>P22/P$39</f>
        <v>7.33818974220149e-5</v>
      </c>
      <c r="Q62" s="106">
        <f>Q22/Q$39</f>
        <v>4.02091880990093e-5</v>
      </c>
      <c r="R62" s="106">
        <f>R22/R$39</f>
        <v>0.000409621202176556</v>
      </c>
      <c r="S62" s="106">
        <f>S22/S$39</f>
        <v>0.000307478515604557</v>
      </c>
      <c r="T62" s="106">
        <f>T22/T$39</f>
        <v>0.000828133907171941</v>
      </c>
      <c r="U62" s="106">
        <f>U22/U$39</f>
        <v>0.000608991359190978</v>
      </c>
      <c r="V62" s="106">
        <f>V22/V$39</f>
        <v>0.000376588092442666</v>
      </c>
      <c r="W62" s="106">
        <f>W22/W$39</f>
        <v>0.00022316779270195</v>
      </c>
      <c r="X62" s="107">
        <f>X22/X$39</f>
        <v>0</v>
      </c>
      <c r="Y62" s="106">
        <f>Y22/Y$39</f>
        <v>0</v>
      </c>
      <c r="Z62" s="106">
        <f>Z22/Z$39</f>
        <v>0.000547576827934997</v>
      </c>
      <c r="AA62" s="106">
        <f>AA22/AA$39</f>
        <v>0.000414126926789332</v>
      </c>
      <c r="AB62" s="107"/>
      <c r="AC62" s="106"/>
      <c r="AD62" s="107">
        <f>AD22/AD$39</f>
        <v>0.000422550849679177</v>
      </c>
      <c r="AE62" s="106">
        <f>AE22/AE$39</f>
        <v>0.0002481172529136</v>
      </c>
    </row>
    <row r="63" customHeight="1" spans="1:31">
      <c r="A63" s="103"/>
      <c r="B63" s="104" t="s">
        <v>415</v>
      </c>
      <c r="C63" s="105" t="e">
        <f>#REF!/C23-1</f>
        <v>#REF!</v>
      </c>
      <c r="D63" s="106">
        <f>D23/D$39</f>
        <v>2.46109430718302e-5</v>
      </c>
      <c r="E63" s="106">
        <f>E23/E$39</f>
        <v>1.98482963750458e-5</v>
      </c>
      <c r="F63" s="106">
        <f>F23/F$39</f>
        <v>0</v>
      </c>
      <c r="G63" s="106">
        <f>G23/G$39</f>
        <v>0</v>
      </c>
      <c r="H63" s="106">
        <f>H23/H$39</f>
        <v>0</v>
      </c>
      <c r="I63" s="106">
        <f>I23/I$39</f>
        <v>0</v>
      </c>
      <c r="J63" s="106">
        <f>J23/J$39</f>
        <v>0</v>
      </c>
      <c r="K63" s="106">
        <f>K23/K$39</f>
        <v>0</v>
      </c>
      <c r="L63" s="106">
        <f>L23/L$39</f>
        <v>0</v>
      </c>
      <c r="M63" s="106">
        <f>M23/M$39</f>
        <v>0</v>
      </c>
      <c r="N63" s="106">
        <f>N23/N$39</f>
        <v>0.000117908512372197</v>
      </c>
      <c r="O63" s="106">
        <f>O23/O$39</f>
        <v>9.13522438908002e-5</v>
      </c>
      <c r="P63" s="106">
        <f>P23/P$39</f>
        <v>0</v>
      </c>
      <c r="Q63" s="106">
        <f>Q23/Q$39</f>
        <v>0</v>
      </c>
      <c r="R63" s="106">
        <f>R23/R$39</f>
        <v>0</v>
      </c>
      <c r="S63" s="106">
        <f>S23/S$39</f>
        <v>0</v>
      </c>
      <c r="T63" s="106">
        <f>T23/T$39</f>
        <v>0</v>
      </c>
      <c r="U63" s="106">
        <f>U23/U$39</f>
        <v>0</v>
      </c>
      <c r="V63" s="106">
        <f>V23/V$39</f>
        <v>0</v>
      </c>
      <c r="W63" s="106">
        <f>W23/W$39</f>
        <v>0</v>
      </c>
      <c r="X63" s="107">
        <f>X23/X$39</f>
        <v>0</v>
      </c>
      <c r="Y63" s="106">
        <f>Y23/Y$39</f>
        <v>0</v>
      </c>
      <c r="Z63" s="106">
        <f>Z23/Z$39</f>
        <v>0</v>
      </c>
      <c r="AA63" s="106">
        <f>AA23/AA$39</f>
        <v>0</v>
      </c>
      <c r="AB63" s="107"/>
      <c r="AC63" s="106"/>
      <c r="AD63" s="107">
        <f>AD23/AD$39</f>
        <v>0</v>
      </c>
      <c r="AE63" s="106">
        <f>AE23/AE$39</f>
        <v>0</v>
      </c>
    </row>
    <row r="64" customHeight="1" spans="1:31">
      <c r="A64" s="103"/>
      <c r="B64" s="104" t="s">
        <v>416</v>
      </c>
      <c r="C64" s="105" t="e">
        <f>#REF!/C24-1</f>
        <v>#REF!</v>
      </c>
      <c r="D64" s="106">
        <f>D24/D$39</f>
        <v>0.00623967656904101</v>
      </c>
      <c r="E64" s="106">
        <f>E24/E$39</f>
        <v>0.00491275338053127</v>
      </c>
      <c r="F64" s="106">
        <f>F24/F$39</f>
        <v>0.00631315875747088</v>
      </c>
      <c r="G64" s="106">
        <f>G24/G$39</f>
        <v>0.00680060282089256</v>
      </c>
      <c r="H64" s="106">
        <f>H24/H$39</f>
        <v>0.000122682658491651</v>
      </c>
      <c r="I64" s="106">
        <f>I24/I$39</f>
        <v>2.80337803269447e-5</v>
      </c>
      <c r="J64" s="106">
        <f>J24/J$39</f>
        <v>4.16884651024092e-5</v>
      </c>
      <c r="K64" s="106">
        <f>K24/K$39</f>
        <v>1.97620767431679e-5</v>
      </c>
      <c r="L64" s="106">
        <f>L24/L$39</f>
        <v>0.00913695501898193</v>
      </c>
      <c r="M64" s="106">
        <f>M24/M$39</f>
        <v>0.00620351074371827</v>
      </c>
      <c r="N64" s="106">
        <f>N24/N$39</f>
        <v>0.0116374005566494</v>
      </c>
      <c r="O64" s="106">
        <f>O24/O$39</f>
        <v>0.00956396563780093</v>
      </c>
      <c r="P64" s="106">
        <f>P24/P$39</f>
        <v>0.00206886779700396</v>
      </c>
      <c r="Q64" s="106">
        <f>Q24/Q$39</f>
        <v>0.00447037932927158</v>
      </c>
      <c r="R64" s="106">
        <f>R24/R$39</f>
        <v>0.0119624459299624</v>
      </c>
      <c r="S64" s="106">
        <f>S24/S$39</f>
        <v>0.00627594185571844</v>
      </c>
      <c r="T64" s="106">
        <f>T24/T$39</f>
        <v>0.00896319555551835</v>
      </c>
      <c r="U64" s="106">
        <f>U24/U$39</f>
        <v>0.0103878724884825</v>
      </c>
      <c r="V64" s="106">
        <f>V24/V$39</f>
        <v>0.00637465503667474</v>
      </c>
      <c r="W64" s="106">
        <f>W24/W$39</f>
        <v>0.00613694127762134</v>
      </c>
      <c r="X64" s="107">
        <f>X24/X$39</f>
        <v>0.00892764160738622</v>
      </c>
      <c r="Y64" s="106">
        <f>Y24/Y$39</f>
        <v>0</v>
      </c>
      <c r="Z64" s="106">
        <f>Z24/Z$39</f>
        <v>0.00853574534488297</v>
      </c>
      <c r="AA64" s="106">
        <f>AA24/AA$39</f>
        <v>0.00645155761805517</v>
      </c>
      <c r="AB64" s="107"/>
      <c r="AC64" s="106"/>
      <c r="AD64" s="107">
        <f>AD24/AD$39</f>
        <v>0.00247175582671356</v>
      </c>
      <c r="AE64" s="106">
        <f>AE24/AE$39</f>
        <v>0.000784837425713484</v>
      </c>
    </row>
    <row r="65" customHeight="1" spans="1:31">
      <c r="A65" s="103"/>
      <c r="B65" s="104" t="s">
        <v>417</v>
      </c>
      <c r="C65" s="105" t="e">
        <f>#REF!/C25-1</f>
        <v>#REF!</v>
      </c>
      <c r="D65" s="106">
        <f>D25/D$39</f>
        <v>0.00963298570556131</v>
      </c>
      <c r="E65" s="106">
        <f>E25/E$39</f>
        <v>0.00898074273241101</v>
      </c>
      <c r="F65" s="106">
        <f>F25/F$39</f>
        <v>0.00837928010379277</v>
      </c>
      <c r="G65" s="106">
        <f>G25/G$39</f>
        <v>0.00699511538493784</v>
      </c>
      <c r="H65" s="106">
        <f>H25/H$39</f>
        <v>0.00437030457592028</v>
      </c>
      <c r="I65" s="106">
        <f>I25/I$39</f>
        <v>0.00304999620960213</v>
      </c>
      <c r="J65" s="106">
        <f>J25/J$39</f>
        <v>0.00475282760299763</v>
      </c>
      <c r="K65" s="106">
        <f>K25/K$39</f>
        <v>0.00402778929844671</v>
      </c>
      <c r="L65" s="106">
        <f>L25/L$39</f>
        <v>0.0377748744407885</v>
      </c>
      <c r="M65" s="106">
        <f>M25/M$39</f>
        <v>0.0379007299661185</v>
      </c>
      <c r="N65" s="106">
        <f>N25/N$39</f>
        <v>0.00773263692227544</v>
      </c>
      <c r="O65" s="106">
        <f>O25/O$39</f>
        <v>0.00828657764632742</v>
      </c>
      <c r="P65" s="106">
        <f>P25/P$39</f>
        <v>0.00335272060501925</v>
      </c>
      <c r="Q65" s="106">
        <f>Q25/Q$39</f>
        <v>0.00561834468289381</v>
      </c>
      <c r="R65" s="106">
        <f>R25/R$39</f>
        <v>0.00492327006947852</v>
      </c>
      <c r="S65" s="106">
        <f>S25/S$39</f>
        <v>0.00405086010741362</v>
      </c>
      <c r="T65" s="106">
        <f>T25/T$39</f>
        <v>0.00475184214351848</v>
      </c>
      <c r="U65" s="106">
        <f>U25/U$39</f>
        <v>0.00514881206851503</v>
      </c>
      <c r="V65" s="106">
        <f>V25/V$39</f>
        <v>0.00594210387685176</v>
      </c>
      <c r="W65" s="106">
        <f>W25/W$39</f>
        <v>0.00564628658620929</v>
      </c>
      <c r="X65" s="107">
        <f>X25/X$39</f>
        <v>0.0059397054277589</v>
      </c>
      <c r="Y65" s="106">
        <f>Y25/Y$39</f>
        <v>0</v>
      </c>
      <c r="Z65" s="106">
        <f>Z25/Z$39</f>
        <v>0.00623798337680624</v>
      </c>
      <c r="AA65" s="106">
        <f>AA25/AA$39</f>
        <v>0.00378585170217379</v>
      </c>
      <c r="AB65" s="107"/>
      <c r="AC65" s="106"/>
      <c r="AD65" s="107">
        <f>AD25/AD$39</f>
        <v>0.00985704475651655</v>
      </c>
      <c r="AE65" s="106">
        <f>AE25/AE$39</f>
        <v>0.00751472655179016</v>
      </c>
    </row>
    <row r="66" s="56" customFormat="1" ht="16.5" spans="1:31">
      <c r="A66" s="80" t="s">
        <v>418</v>
      </c>
      <c r="B66" s="108"/>
      <c r="C66" s="109" t="e">
        <f>#REF!/C26-1</f>
        <v>#REF!</v>
      </c>
      <c r="D66" s="110">
        <f>D26/D$39</f>
        <v>0.0742829583989064</v>
      </c>
      <c r="E66" s="110">
        <f>E26/E$39</f>
        <v>0.0685266333753244</v>
      </c>
      <c r="F66" s="110">
        <f>F26/F$39</f>
        <v>0.0668933946776438</v>
      </c>
      <c r="G66" s="110">
        <f>G26/G$39</f>
        <v>0.0619409487193602</v>
      </c>
      <c r="H66" s="110">
        <f>H26/H$39</f>
        <v>0.0477320078976996</v>
      </c>
      <c r="I66" s="110">
        <f>I26/I$39</f>
        <v>0.0356828134482685</v>
      </c>
      <c r="J66" s="110">
        <f>J26/J$39</f>
        <v>0.0767741934367411</v>
      </c>
      <c r="K66" s="110">
        <f>K26/K$39</f>
        <v>0.0783883003734621</v>
      </c>
      <c r="L66" s="110">
        <f>L26/L$39</f>
        <v>0.116799184634457</v>
      </c>
      <c r="M66" s="110">
        <f>M26/M$39</f>
        <v>0.111887915294317</v>
      </c>
      <c r="N66" s="110">
        <f>N26/N$39</f>
        <v>0.101235655884957</v>
      </c>
      <c r="O66" s="110">
        <f>O26/O$39</f>
        <v>0.0960321045298289</v>
      </c>
      <c r="P66" s="110">
        <f>P26/P$39</f>
        <v>0.0494497431415427</v>
      </c>
      <c r="Q66" s="110">
        <f>Q26/Q$39</f>
        <v>0.103569137082781</v>
      </c>
      <c r="R66" s="110">
        <f>R26/R$39</f>
        <v>0.0782851953968439</v>
      </c>
      <c r="S66" s="110">
        <f>S26/S$39</f>
        <v>0.0708780029248126</v>
      </c>
      <c r="T66" s="110">
        <f>T26/T$39</f>
        <v>0.066430554224042</v>
      </c>
      <c r="U66" s="110">
        <f>U26/U$39</f>
        <v>0.0568408384363614</v>
      </c>
      <c r="V66" s="110">
        <f>V26/V$39</f>
        <v>0.0593340255719687</v>
      </c>
      <c r="W66" s="110">
        <f>W26/W$39</f>
        <v>0.0671950643898109</v>
      </c>
      <c r="X66" s="111">
        <f>X26/X$39</f>
        <v>0.0471293274579712</v>
      </c>
      <c r="Y66" s="110">
        <f>Y26/Y$39</f>
        <v>0.0443569672318425</v>
      </c>
      <c r="Z66" s="110">
        <f>Z26/Z$39</f>
        <v>0.0807184659916337</v>
      </c>
      <c r="AA66" s="110">
        <f>AA26/AA$39</f>
        <v>0.0647536367429127</v>
      </c>
      <c r="AB66" s="111"/>
      <c r="AC66" s="110"/>
      <c r="AD66" s="111">
        <f>AD26/AD$39</f>
        <v>0.0552569581307455</v>
      </c>
      <c r="AE66" s="110">
        <f>AE26/AE$39</f>
        <v>0.0378057918653224</v>
      </c>
    </row>
    <row r="67" customHeight="1" spans="1:31">
      <c r="A67" s="98" t="s">
        <v>28</v>
      </c>
      <c r="B67" s="99" t="s">
        <v>419</v>
      </c>
      <c r="C67" s="100" t="e">
        <f>#REF!/C27-1</f>
        <v>#REF!</v>
      </c>
      <c r="D67" s="101">
        <f>D27/D$39</f>
        <v>0.133199854204608</v>
      </c>
      <c r="E67" s="101">
        <f>E27/E$39</f>
        <v>0.16680172345941</v>
      </c>
      <c r="F67" s="101">
        <f>F27/F$39</f>
        <v>0.0636795091621724</v>
      </c>
      <c r="G67" s="101">
        <f>G27/G$39</f>
        <v>0.0831919292852109</v>
      </c>
      <c r="H67" s="101">
        <f>H27/H$39</f>
        <v>0.149979561638132</v>
      </c>
      <c r="I67" s="101">
        <f>I27/I$39</f>
        <v>0.179929083643335</v>
      </c>
      <c r="J67" s="101">
        <f>J27/J$39</f>
        <v>0.180712542103985</v>
      </c>
      <c r="K67" s="101">
        <f>K27/K$39</f>
        <v>0.164714177823496</v>
      </c>
      <c r="L67" s="101">
        <f>L27/L$39</f>
        <v>0.136435934475187</v>
      </c>
      <c r="M67" s="101">
        <f>M27/M$39</f>
        <v>0.21947251971394</v>
      </c>
      <c r="N67" s="101">
        <f>N27/N$39</f>
        <v>0.127208429003969</v>
      </c>
      <c r="O67" s="101">
        <f>O27/O$39</f>
        <v>0.177523146897816</v>
      </c>
      <c r="P67" s="101">
        <f>P27/P$39</f>
        <v>0.147270937992125</v>
      </c>
      <c r="Q67" s="101">
        <f>Q27/Q$39</f>
        <v>0.157651947861787</v>
      </c>
      <c r="R67" s="101">
        <f>R27/R$39</f>
        <v>0.195367333330303</v>
      </c>
      <c r="S67" s="101">
        <f>S27/S$39</f>
        <v>0.233636542836254</v>
      </c>
      <c r="T67" s="101">
        <f>T27/T$39</f>
        <v>0.103527941480275</v>
      </c>
      <c r="U67" s="101">
        <f>U27/U$39</f>
        <v>0.135018723753015</v>
      </c>
      <c r="V67" s="101">
        <f>V27/V$39</f>
        <v>0.0795341032165789</v>
      </c>
      <c r="W67" s="101">
        <f>W27/W$39</f>
        <v>0.125731567503104</v>
      </c>
      <c r="X67" s="102">
        <f>X27/X$39</f>
        <v>0.0530971753981452</v>
      </c>
      <c r="Y67" s="101">
        <f>Y27/Y$39</f>
        <v>0.0828590539796414</v>
      </c>
      <c r="Z67" s="101">
        <f>Z27/Z$39</f>
        <v>0.0567402263113979</v>
      </c>
      <c r="AA67" s="101">
        <f>AA27/AA$39</f>
        <v>0.0590607414148331</v>
      </c>
      <c r="AB67" s="102"/>
      <c r="AC67" s="101"/>
      <c r="AD67" s="102">
        <f>AD27/AD$39</f>
        <v>0.160174534662902</v>
      </c>
      <c r="AE67" s="101">
        <f>AE27/AE$39</f>
        <v>0.174106548887616</v>
      </c>
    </row>
    <row r="68" customHeight="1" spans="1:31">
      <c r="A68" s="103"/>
      <c r="B68" s="104" t="s">
        <v>420</v>
      </c>
      <c r="C68" s="105" t="e">
        <f>#REF!/C28-1</f>
        <v>#REF!</v>
      </c>
      <c r="D68" s="106">
        <f>D28/D$39</f>
        <v>0.513769998937286</v>
      </c>
      <c r="E68" s="106">
        <f>E28/E$39</f>
        <v>0.503219816230318</v>
      </c>
      <c r="F68" s="106">
        <f>F28/F$39</f>
        <v>0.624766907420836</v>
      </c>
      <c r="G68" s="106">
        <f>G28/G$39</f>
        <v>0.610330284488053</v>
      </c>
      <c r="H68" s="106">
        <f>H28/H$39</f>
        <v>0.489772232593325</v>
      </c>
      <c r="I68" s="106">
        <f>I28/I$39</f>
        <v>0.450144282162772</v>
      </c>
      <c r="J68" s="106">
        <f>J28/J$39</f>
        <v>0.507319774694948</v>
      </c>
      <c r="K68" s="106">
        <f>K28/K$39</f>
        <v>0.53285754596294</v>
      </c>
      <c r="L68" s="106">
        <f>L28/L$39</f>
        <v>0.45198519056575</v>
      </c>
      <c r="M68" s="106">
        <f>M28/M$39</f>
        <v>0.43245417230414</v>
      </c>
      <c r="N68" s="106">
        <f>N28/N$39</f>
        <v>0.512468472897956</v>
      </c>
      <c r="O68" s="106">
        <f>O28/O$39</f>
        <v>0.471513601870759</v>
      </c>
      <c r="P68" s="106">
        <f>P28/P$39</f>
        <v>0.548020124062922</v>
      </c>
      <c r="Q68" s="106">
        <f>Q28/Q$39</f>
        <v>0.362635186277511</v>
      </c>
      <c r="R68" s="106">
        <f>R28/R$39</f>
        <v>0.45452592183504</v>
      </c>
      <c r="S68" s="106">
        <f>S28/S$39</f>
        <v>0.439540508829412</v>
      </c>
      <c r="T68" s="106">
        <f>T28/T$39</f>
        <v>0.480460632005076</v>
      </c>
      <c r="U68" s="106">
        <f>U28/U$39</f>
        <v>0.402022433628582</v>
      </c>
      <c r="V68" s="106">
        <f>V28/V$39</f>
        <v>0.43001991096432</v>
      </c>
      <c r="W68" s="106">
        <f>W28/W$39</f>
        <v>0.449151097407876</v>
      </c>
      <c r="X68" s="107">
        <f>X28/X$39</f>
        <v>0.743893008252665</v>
      </c>
      <c r="Y68" s="106">
        <f>Y28/Y$39</f>
        <v>0.399228569766557</v>
      </c>
      <c r="Z68" s="106">
        <f>Z28/Z$39</f>
        <v>0.391562531062836</v>
      </c>
      <c r="AA68" s="106">
        <f>AA28/AA$39</f>
        <v>0.423647462593489</v>
      </c>
      <c r="AB68" s="107"/>
      <c r="AC68" s="106"/>
      <c r="AD68" s="107">
        <f>AD28/AD$39</f>
        <v>0.530582668365018</v>
      </c>
      <c r="AE68" s="106">
        <f>AE28/AE$39</f>
        <v>0.573643064727356</v>
      </c>
    </row>
    <row r="69" s="56" customFormat="1" ht="16.5" spans="1:31">
      <c r="A69" s="80" t="s">
        <v>421</v>
      </c>
      <c r="B69" s="108"/>
      <c r="C69" s="109" t="e">
        <f>#REF!/C29-1</f>
        <v>#REF!</v>
      </c>
      <c r="D69" s="110">
        <f>D29/D$39</f>
        <v>0.646969853141894</v>
      </c>
      <c r="E69" s="110">
        <f>E29/E$39</f>
        <v>0.670021539689728</v>
      </c>
      <c r="F69" s="110">
        <f>F29/F$39</f>
        <v>0.688446416583008</v>
      </c>
      <c r="G69" s="110">
        <f>G29/G$39</f>
        <v>0.693522213773264</v>
      </c>
      <c r="H69" s="110">
        <f>H29/H$39</f>
        <v>0.639751794231456</v>
      </c>
      <c r="I69" s="110">
        <f>I29/I$39</f>
        <v>0.630073365806107</v>
      </c>
      <c r="J69" s="110">
        <f>J29/J$39</f>
        <v>0.688032316798933</v>
      </c>
      <c r="K69" s="110">
        <f>K29/K$39</f>
        <v>0.697571723786435</v>
      </c>
      <c r="L69" s="110">
        <f>L29/L$39</f>
        <v>0.588421125040937</v>
      </c>
      <c r="M69" s="110">
        <f>M29/M$39</f>
        <v>0.65192669201808</v>
      </c>
      <c r="N69" s="110">
        <f>N29/N$39</f>
        <v>0.639676901901925</v>
      </c>
      <c r="O69" s="110">
        <f>O29/O$39</f>
        <v>0.649036748768575</v>
      </c>
      <c r="P69" s="110">
        <f>P29/P$39</f>
        <v>0.695291062055047</v>
      </c>
      <c r="Q69" s="110">
        <f>Q29/Q$39</f>
        <v>0.520287134139298</v>
      </c>
      <c r="R69" s="110">
        <f>R29/R$39</f>
        <v>0.649893255165343</v>
      </c>
      <c r="S69" s="110">
        <f>S29/S$39</f>
        <v>0.673177051665667</v>
      </c>
      <c r="T69" s="110">
        <f>T29/T$39</f>
        <v>0.583988573485351</v>
      </c>
      <c r="U69" s="110">
        <f>U29/U$39</f>
        <v>0.537041157381597</v>
      </c>
      <c r="V69" s="110">
        <f>V29/V$39</f>
        <v>0.509554014180899</v>
      </c>
      <c r="W69" s="110">
        <f>W29/W$39</f>
        <v>0.57488266491098</v>
      </c>
      <c r="X69" s="111">
        <f>X29/X$39</f>
        <v>0.79699018365081</v>
      </c>
      <c r="Y69" s="110">
        <f>Y29/Y$39</f>
        <v>0.482087623746199</v>
      </c>
      <c r="Z69" s="110">
        <f>Z29/Z$39</f>
        <v>0.448302757374234</v>
      </c>
      <c r="AA69" s="110">
        <f>AA29/AA$39</f>
        <v>0.482708204008322</v>
      </c>
      <c r="AB69" s="111"/>
      <c r="AC69" s="110"/>
      <c r="AD69" s="111">
        <f>AD29/AD$39</f>
        <v>0.69075720302792</v>
      </c>
      <c r="AE69" s="110">
        <f>AE29/AE$39</f>
        <v>0.747749613614972</v>
      </c>
    </row>
    <row r="70" customHeight="1" spans="1:31">
      <c r="A70" s="98" t="s">
        <v>29</v>
      </c>
      <c r="B70" s="99" t="s">
        <v>422</v>
      </c>
      <c r="C70" s="100" t="e">
        <f>#REF!/C30-1</f>
        <v>#REF!</v>
      </c>
      <c r="D70" s="101">
        <f>D30/D$39</f>
        <v>0.0377023593140497</v>
      </c>
      <c r="E70" s="101">
        <f>E30/E$39</f>
        <v>0.0283000911514636</v>
      </c>
      <c r="F70" s="101">
        <f>F30/F$39</f>
        <v>0.0185856266406153</v>
      </c>
      <c r="G70" s="101">
        <f>G30/G$39</f>
        <v>0.0145127832349565</v>
      </c>
      <c r="H70" s="101">
        <f>H30/H$39</f>
        <v>0.0222131289136342</v>
      </c>
      <c r="I70" s="101">
        <f>I30/I$39</f>
        <v>0.0114236929612321</v>
      </c>
      <c r="J70" s="101">
        <f>J30/J$39</f>
        <v>0.0304795321004358</v>
      </c>
      <c r="K70" s="101">
        <f>K30/K$39</f>
        <v>0.0255516648798998</v>
      </c>
      <c r="L70" s="101">
        <f>L30/L$39</f>
        <v>0.0284537718714137</v>
      </c>
      <c r="M70" s="101">
        <f>M30/M$39</f>
        <v>0.0168879677770639</v>
      </c>
      <c r="N70" s="101">
        <f>N30/N$39</f>
        <v>0.0671075401337997</v>
      </c>
      <c r="O70" s="101">
        <f>O30/O$39</f>
        <v>0.0510517102950976</v>
      </c>
      <c r="P70" s="101">
        <f>P30/P$39</f>
        <v>0.0236889764076587</v>
      </c>
      <c r="Q70" s="101">
        <f>Q30/Q$39</f>
        <v>0.0219863663794778</v>
      </c>
      <c r="R70" s="101">
        <f>R30/R$39</f>
        <v>0.0183983133886079</v>
      </c>
      <c r="S70" s="101">
        <f>S30/S$39</f>
        <v>0.0139041578703907</v>
      </c>
      <c r="T70" s="101">
        <f>T30/T$39</f>
        <v>0.0141870994439102</v>
      </c>
      <c r="U70" s="101">
        <f>U30/U$39</f>
        <v>0.0252218784153296</v>
      </c>
      <c r="V70" s="101">
        <f>V30/V$39</f>
        <v>0.0246341270201329</v>
      </c>
      <c r="W70" s="101">
        <f>W30/W$39</f>
        <v>0.0195824199004378</v>
      </c>
      <c r="X70" s="102">
        <f>X30/X$39</f>
        <v>0.0243207972596292</v>
      </c>
      <c r="Y70" s="101">
        <f>Y30/Y$39</f>
        <v>0</v>
      </c>
      <c r="Z70" s="101">
        <f>Z30/Z$39</f>
        <v>0.0878218553571203</v>
      </c>
      <c r="AA70" s="101">
        <f>AA30/AA$39</f>
        <v>0.0608480680784431</v>
      </c>
      <c r="AB70" s="102"/>
      <c r="AC70" s="101"/>
      <c r="AD70" s="102">
        <f>AD30/AD$39</f>
        <v>0.0400335967398369</v>
      </c>
      <c r="AE70" s="101">
        <f>AE30/AE$39</f>
        <v>0.0293548176066084</v>
      </c>
    </row>
    <row r="71" customHeight="1" spans="1:31">
      <c r="A71" s="103"/>
      <c r="B71" s="104" t="s">
        <v>423</v>
      </c>
      <c r="C71" s="105" t="e">
        <f>#REF!/C31-1</f>
        <v>#REF!</v>
      </c>
      <c r="D71" s="106">
        <f>D31/D$39</f>
        <v>-3.31785898095296e-6</v>
      </c>
      <c r="E71" s="106">
        <f>E31/E$39</f>
        <v>0</v>
      </c>
      <c r="F71" s="106">
        <f>F31/F$39</f>
        <v>0</v>
      </c>
      <c r="G71" s="106">
        <f>G31/G$39</f>
        <v>0</v>
      </c>
      <c r="H71" s="106">
        <f>H31/H$39</f>
        <v>0</v>
      </c>
      <c r="I71" s="106">
        <f>I31/I$39</f>
        <v>0</v>
      </c>
      <c r="J71" s="106">
        <f>J31/J$39</f>
        <v>0</v>
      </c>
      <c r="K71" s="106">
        <f>K31/K$39</f>
        <v>0</v>
      </c>
      <c r="L71" s="106">
        <f>L31/L$39</f>
        <v>0</v>
      </c>
      <c r="M71" s="106">
        <f>M31/M$39</f>
        <v>0</v>
      </c>
      <c r="N71" s="106">
        <f>N31/N$39</f>
        <v>0</v>
      </c>
      <c r="O71" s="106">
        <f>O31/O$39</f>
        <v>0</v>
      </c>
      <c r="P71" s="106">
        <f>P31/P$39</f>
        <v>0</v>
      </c>
      <c r="Q71" s="106">
        <f>Q31/Q$39</f>
        <v>0</v>
      </c>
      <c r="R71" s="106">
        <f>R31/R$39</f>
        <v>-4.55603854626411e-5</v>
      </c>
      <c r="S71" s="106">
        <f>S31/S$39</f>
        <v>0</v>
      </c>
      <c r="T71" s="106">
        <f>T31/T$39</f>
        <v>0</v>
      </c>
      <c r="U71" s="106">
        <f>U31/U$39</f>
        <v>0</v>
      </c>
      <c r="V71" s="106">
        <f>V31/V$39</f>
        <v>0</v>
      </c>
      <c r="W71" s="106">
        <f>W31/W$39</f>
        <v>0</v>
      </c>
      <c r="X71" s="107">
        <f>X31/X$39</f>
        <v>0</v>
      </c>
      <c r="Y71" s="106">
        <f>Y31/Y$39</f>
        <v>0</v>
      </c>
      <c r="Z71" s="106">
        <f>Z31/Z$39</f>
        <v>0</v>
      </c>
      <c r="AA71" s="106">
        <f>AA31/AA$39</f>
        <v>0</v>
      </c>
      <c r="AB71" s="107"/>
      <c r="AC71" s="106"/>
      <c r="AD71" s="107">
        <f>AD31/AD$39</f>
        <v>0</v>
      </c>
      <c r="AE71" s="106">
        <f>AE31/AE$39</f>
        <v>0</v>
      </c>
    </row>
    <row r="72" customHeight="1" spans="1:31">
      <c r="A72" s="103"/>
      <c r="B72" s="104" t="s">
        <v>424</v>
      </c>
      <c r="C72" s="105" t="e">
        <f>#REF!/C32-1</f>
        <v>#REF!</v>
      </c>
      <c r="D72" s="106">
        <f>D32/D$39</f>
        <v>3.40366405370283e-5</v>
      </c>
      <c r="E72" s="106">
        <f>E32/E$39</f>
        <v>5.97547726088454e-5</v>
      </c>
      <c r="F72" s="106">
        <f>F32/F$39</f>
        <v>0</v>
      </c>
      <c r="G72" s="106">
        <f>G32/G$39</f>
        <v>0</v>
      </c>
      <c r="H72" s="106">
        <f>H32/H$39</f>
        <v>0</v>
      </c>
      <c r="I72" s="106">
        <f>I32/I$39</f>
        <v>0</v>
      </c>
      <c r="J72" s="106">
        <f>J32/J$39</f>
        <v>0</v>
      </c>
      <c r="K72" s="106">
        <f>K32/K$39</f>
        <v>0</v>
      </c>
      <c r="L72" s="106">
        <f>L32/L$39</f>
        <v>0</v>
      </c>
      <c r="M72" s="106">
        <f>M32/M$39</f>
        <v>0</v>
      </c>
      <c r="N72" s="106">
        <f>N32/N$39</f>
        <v>9.86499819754293e-5</v>
      </c>
      <c r="O72" s="106">
        <f>O32/O$39</f>
        <v>5.24219135829259e-5</v>
      </c>
      <c r="P72" s="106">
        <f>P32/P$39</f>
        <v>0</v>
      </c>
      <c r="Q72" s="106">
        <f>Q32/Q$39</f>
        <v>0.00383069948144894</v>
      </c>
      <c r="R72" s="106">
        <f>R32/R$39</f>
        <v>0</v>
      </c>
      <c r="S72" s="106">
        <f>S32/S$39</f>
        <v>8.98739512353805e-5</v>
      </c>
      <c r="T72" s="106">
        <f>T32/T$39</f>
        <v>0</v>
      </c>
      <c r="U72" s="106">
        <f>U32/U$39</f>
        <v>0</v>
      </c>
      <c r="V72" s="106">
        <f>V32/V$39</f>
        <v>0</v>
      </c>
      <c r="W72" s="106">
        <f>W32/W$39</f>
        <v>0</v>
      </c>
      <c r="X72" s="107">
        <f>X32/X$39</f>
        <v>0</v>
      </c>
      <c r="Y72" s="106">
        <f>Y32/Y$39</f>
        <v>0</v>
      </c>
      <c r="Z72" s="106">
        <f>Z32/Z$39</f>
        <v>0.000992572070238639</v>
      </c>
      <c r="AA72" s="106">
        <f>AA32/AA$39</f>
        <v>0</v>
      </c>
      <c r="AB72" s="107"/>
      <c r="AC72" s="106"/>
      <c r="AD72" s="107">
        <f>AD32/AD$39</f>
        <v>0</v>
      </c>
      <c r="AE72" s="106">
        <f>AE32/AE$39</f>
        <v>0</v>
      </c>
    </row>
    <row r="73" s="56" customFormat="1" ht="16.5" spans="1:31">
      <c r="A73" s="80" t="s">
        <v>425</v>
      </c>
      <c r="B73" s="108"/>
      <c r="C73" s="109" t="e">
        <f>#REF!/C33-1</f>
        <v>#REF!</v>
      </c>
      <c r="D73" s="110">
        <f>D33/D$39</f>
        <v>0.0377330780956058</v>
      </c>
      <c r="E73" s="110">
        <f>E33/E$39</f>
        <v>0.0283598459240724</v>
      </c>
      <c r="F73" s="110">
        <f>F33/F$39</f>
        <v>0.0185856266406153</v>
      </c>
      <c r="G73" s="110">
        <f>G33/G$39</f>
        <v>0.0145127832349565</v>
      </c>
      <c r="H73" s="110">
        <f>H33/H$39</f>
        <v>0.0222131289136342</v>
      </c>
      <c r="I73" s="110">
        <f>I33/I$39</f>
        <v>0.0114236929612321</v>
      </c>
      <c r="J73" s="110">
        <f>J33/J$39</f>
        <v>0.0304795321004358</v>
      </c>
      <c r="K73" s="110">
        <f>K33/K$39</f>
        <v>0.0255516648798998</v>
      </c>
      <c r="L73" s="110">
        <f>L33/L$39</f>
        <v>0.0284537718714137</v>
      </c>
      <c r="M73" s="110">
        <f>M33/M$39</f>
        <v>0.0168879677770639</v>
      </c>
      <c r="N73" s="110">
        <f>N33/N$39</f>
        <v>0.0672061901157752</v>
      </c>
      <c r="O73" s="110">
        <f>O33/O$39</f>
        <v>0.0511041322086806</v>
      </c>
      <c r="P73" s="110">
        <f>P33/P$39</f>
        <v>0.0236889764076587</v>
      </c>
      <c r="Q73" s="110">
        <f>Q33/Q$39</f>
        <v>0.0258170658609267</v>
      </c>
      <c r="R73" s="110">
        <f>R33/R$39</f>
        <v>0.0183527530031452</v>
      </c>
      <c r="S73" s="110">
        <f>S33/S$39</f>
        <v>0.0139940318216261</v>
      </c>
      <c r="T73" s="110">
        <f>T33/T$39</f>
        <v>0.0141870994439102</v>
      </c>
      <c r="U73" s="110">
        <f>U33/U$39</f>
        <v>0.0252218784153296</v>
      </c>
      <c r="V73" s="110">
        <f>V33/V$39</f>
        <v>0.0246341270201329</v>
      </c>
      <c r="W73" s="110">
        <f>W33/W$39</f>
        <v>0.0195824199004378</v>
      </c>
      <c r="X73" s="111">
        <f>X33/X$39</f>
        <v>0.0243207972596292</v>
      </c>
      <c r="Y73" s="110">
        <f>Y33/Y$39</f>
        <v>0</v>
      </c>
      <c r="Z73" s="110">
        <f>Z33/Z$39</f>
        <v>0.0888144274273589</v>
      </c>
      <c r="AA73" s="110">
        <f>AA33/AA$39</f>
        <v>0.0608480680784431</v>
      </c>
      <c r="AB73" s="111"/>
      <c r="AC73" s="110"/>
      <c r="AD73" s="111">
        <f>AD33/AD$39</f>
        <v>0.0400335967398369</v>
      </c>
      <c r="AE73" s="110">
        <f>AE33/AE$39</f>
        <v>0.0293548176066084</v>
      </c>
    </row>
    <row r="74" spans="1:31">
      <c r="A74" s="98" t="s">
        <v>38</v>
      </c>
      <c r="B74" s="99" t="s">
        <v>426</v>
      </c>
      <c r="C74" s="100" t="e">
        <f>#REF!/C34-1</f>
        <v>#REF!</v>
      </c>
      <c r="D74" s="101">
        <f>D34/D$39</f>
        <v>0.000400001770156867</v>
      </c>
      <c r="E74" s="101">
        <f>E34/E$39</f>
        <v>0.000208351828483246</v>
      </c>
      <c r="F74" s="101">
        <f>F34/F$39</f>
        <v>0</v>
      </c>
      <c r="G74" s="101">
        <f>G34/G$39</f>
        <v>0</v>
      </c>
      <c r="H74" s="101">
        <f>H34/H$39</f>
        <v>0</v>
      </c>
      <c r="I74" s="101">
        <f>I34/I$39</f>
        <v>0</v>
      </c>
      <c r="J74" s="101">
        <f>J34/J$39</f>
        <v>0</v>
      </c>
      <c r="K74" s="101">
        <f>K34/K$39</f>
        <v>0</v>
      </c>
      <c r="L74" s="101">
        <f>L34/L$39</f>
        <v>0.00112108555764522</v>
      </c>
      <c r="M74" s="101">
        <f>M34/M$39</f>
        <v>0.000111287608849711</v>
      </c>
      <c r="N74" s="101">
        <f>N34/N$39</f>
        <v>0.0015309722325144</v>
      </c>
      <c r="O74" s="101">
        <f>O34/O$39</f>
        <v>0.000917036485273424</v>
      </c>
      <c r="P74" s="101">
        <f>P34/P$39</f>
        <v>0</v>
      </c>
      <c r="Q74" s="101">
        <f>Q34/Q$39</f>
        <v>0</v>
      </c>
      <c r="R74" s="101">
        <f>R34/R$39</f>
        <v>0</v>
      </c>
      <c r="S74" s="101">
        <f>S34/S$39</f>
        <v>0</v>
      </c>
      <c r="T74" s="101">
        <f>T34/T$39</f>
        <v>0</v>
      </c>
      <c r="U74" s="101">
        <f>U34/U$39</f>
        <v>0</v>
      </c>
      <c r="V74" s="101">
        <f>V34/V$39</f>
        <v>0</v>
      </c>
      <c r="W74" s="101">
        <f>W34/W$39</f>
        <v>0</v>
      </c>
      <c r="X74" s="102">
        <f>X34/X$39</f>
        <v>0</v>
      </c>
      <c r="Y74" s="101">
        <f>Y34/Y$39</f>
        <v>0</v>
      </c>
      <c r="Z74" s="101">
        <f>Z34/Z$39</f>
        <v>0</v>
      </c>
      <c r="AA74" s="101">
        <f>AA34/AA$39</f>
        <v>0</v>
      </c>
      <c r="AB74" s="102"/>
      <c r="AC74" s="101"/>
      <c r="AD74" s="102">
        <f>AD34/AD$39</f>
        <v>0</v>
      </c>
      <c r="AE74" s="101">
        <f>AE34/AE$39</f>
        <v>0</v>
      </c>
    </row>
    <row r="75" s="56" customFormat="1" ht="16.5" spans="1:31">
      <c r="A75" s="80" t="s">
        <v>427</v>
      </c>
      <c r="B75" s="108"/>
      <c r="C75" s="109" t="e">
        <f>#REF!/C35-1</f>
        <v>#REF!</v>
      </c>
      <c r="D75" s="110">
        <f>D35/D$39</f>
        <v>0.000400001770156867</v>
      </c>
      <c r="E75" s="110">
        <f>E35/E$39</f>
        <v>0.000208351828483246</v>
      </c>
      <c r="F75" s="110">
        <f>F35/F$39</f>
        <v>0</v>
      </c>
      <c r="G75" s="110">
        <f>G35/G$39</f>
        <v>0</v>
      </c>
      <c r="H75" s="110">
        <f>H35/H$39</f>
        <v>0</v>
      </c>
      <c r="I75" s="110">
        <f>I35/I$39</f>
        <v>0</v>
      </c>
      <c r="J75" s="110">
        <f>J35/J$39</f>
        <v>0</v>
      </c>
      <c r="K75" s="110">
        <f>K35/K$39</f>
        <v>0</v>
      </c>
      <c r="L75" s="110">
        <f>L35/L$39</f>
        <v>0.00112108555764522</v>
      </c>
      <c r="M75" s="110">
        <f>M35/M$39</f>
        <v>0.000111287608849711</v>
      </c>
      <c r="N75" s="110">
        <f>N35/N$39</f>
        <v>0.0015309722325144</v>
      </c>
      <c r="O75" s="110">
        <f>O35/O$39</f>
        <v>0.000917036485273424</v>
      </c>
      <c r="P75" s="110">
        <f>P35/P$39</f>
        <v>0</v>
      </c>
      <c r="Q75" s="110">
        <f>Q35/Q$39</f>
        <v>0</v>
      </c>
      <c r="R75" s="110">
        <f>R35/R$39</f>
        <v>0</v>
      </c>
      <c r="S75" s="110">
        <f>S35/S$39</f>
        <v>0</v>
      </c>
      <c r="T75" s="110">
        <f>T35/T$39</f>
        <v>0</v>
      </c>
      <c r="U75" s="110">
        <f>U35/U$39</f>
        <v>0</v>
      </c>
      <c r="V75" s="110">
        <f>V35/V$39</f>
        <v>0</v>
      </c>
      <c r="W75" s="110">
        <f>W35/W$39</f>
        <v>0</v>
      </c>
      <c r="X75" s="111">
        <f>X35/X$39</f>
        <v>0</v>
      </c>
      <c r="Y75" s="110">
        <f>Y35/Y$39</f>
        <v>0</v>
      </c>
      <c r="Z75" s="110">
        <f>Z35/Z$39</f>
        <v>0</v>
      </c>
      <c r="AA75" s="110">
        <f>AA35/AA$39</f>
        <v>0</v>
      </c>
      <c r="AB75" s="111"/>
      <c r="AC75" s="110"/>
      <c r="AD75" s="111">
        <f>AD35/AD$39</f>
        <v>0</v>
      </c>
      <c r="AE75" s="110">
        <f>AE35/AE$39</f>
        <v>0</v>
      </c>
    </row>
    <row r="76" customHeight="1" spans="1:31">
      <c r="A76" s="98" t="s">
        <v>41</v>
      </c>
      <c r="B76" s="99" t="s">
        <v>428</v>
      </c>
      <c r="C76" s="100" t="e">
        <f>#REF!/C36-1</f>
        <v>#REF!</v>
      </c>
      <c r="D76" s="101">
        <f>D36/D$39</f>
        <v>0.000515875378269394</v>
      </c>
      <c r="E76" s="101">
        <f>E36/E$39</f>
        <v>0.00018623403736255</v>
      </c>
      <c r="F76" s="101">
        <f>F36/F$39</f>
        <v>9.48344566937438e-6</v>
      </c>
      <c r="G76" s="101">
        <f>G36/G$39</f>
        <v>6.24942644498525e-5</v>
      </c>
      <c r="H76" s="101">
        <f>H36/H$39</f>
        <v>0</v>
      </c>
      <c r="I76" s="101">
        <f>I36/I$39</f>
        <v>0</v>
      </c>
      <c r="J76" s="101">
        <f>J36/J$39</f>
        <v>0.000186731743348598</v>
      </c>
      <c r="K76" s="101">
        <f>K36/K$39</f>
        <v>0.000229592120961021</v>
      </c>
      <c r="L76" s="101">
        <f>L36/L$39</f>
        <v>0</v>
      </c>
      <c r="M76" s="101">
        <f>M36/M$39</f>
        <v>0</v>
      </c>
      <c r="N76" s="101">
        <f>N36/N$39</f>
        <v>5.14962353634993e-5</v>
      </c>
      <c r="O76" s="101">
        <f>O36/O$39</f>
        <v>5.54136092320771e-5</v>
      </c>
      <c r="P76" s="101">
        <f>P36/P$39</f>
        <v>8.08552861903867e-5</v>
      </c>
      <c r="Q76" s="101">
        <f>Q36/Q$39</f>
        <v>0.000137818762741785</v>
      </c>
      <c r="R76" s="101">
        <f>R36/R$39</f>
        <v>0</v>
      </c>
      <c r="S76" s="101">
        <f>S36/S$39</f>
        <v>9.34542956341884e-6</v>
      </c>
      <c r="T76" s="101">
        <f>T36/T$39</f>
        <v>0.00152620802721807</v>
      </c>
      <c r="U76" s="101">
        <f>U36/U$39</f>
        <v>0.00074000885366839</v>
      </c>
      <c r="V76" s="101">
        <f>V36/V$39</f>
        <v>0.000470152134863917</v>
      </c>
      <c r="W76" s="101">
        <f>W36/W$39</f>
        <v>0.000413807010817799</v>
      </c>
      <c r="X76" s="102">
        <f>X36/X$39</f>
        <v>0</v>
      </c>
      <c r="Y76" s="101">
        <f>Y36/Y$39</f>
        <v>0</v>
      </c>
      <c r="Z76" s="101">
        <f>Z36/Z$39</f>
        <v>0.00479632604213737</v>
      </c>
      <c r="AA76" s="101">
        <f>AA36/AA$39</f>
        <v>0</v>
      </c>
      <c r="AB76" s="102"/>
      <c r="AC76" s="101"/>
      <c r="AD76" s="102">
        <f>AD36/AD$39</f>
        <v>0.00140168938563817</v>
      </c>
      <c r="AE76" s="101">
        <f>AE36/AE$39</f>
        <v>0.000458439262774565</v>
      </c>
    </row>
    <row r="77" customHeight="1" spans="1:31">
      <c r="A77" s="103"/>
      <c r="B77" s="104" t="s">
        <v>429</v>
      </c>
      <c r="C77" s="105" t="e">
        <f>#REF!/C37-1</f>
        <v>#REF!</v>
      </c>
      <c r="D77" s="106">
        <f>D37/D$39</f>
        <v>3.67237175359655e-5</v>
      </c>
      <c r="E77" s="106">
        <f>E37/E$39</f>
        <v>0.000105057205893247</v>
      </c>
      <c r="F77" s="106">
        <f>F37/F$39</f>
        <v>0</v>
      </c>
      <c r="G77" s="106">
        <f>G37/G$39</f>
        <v>0</v>
      </c>
      <c r="H77" s="106">
        <f>H37/H$39</f>
        <v>0</v>
      </c>
      <c r="I77" s="106">
        <f>I37/I$39</f>
        <v>0</v>
      </c>
      <c r="J77" s="106">
        <f>J37/J$39</f>
        <v>0</v>
      </c>
      <c r="K77" s="106">
        <f>K37/K$39</f>
        <v>0</v>
      </c>
      <c r="L77" s="106">
        <f>L37/L$39</f>
        <v>0</v>
      </c>
      <c r="M77" s="106">
        <f>M37/M$39</f>
        <v>0</v>
      </c>
      <c r="N77" s="106">
        <f>N37/N$39</f>
        <v>0.000111967561190983</v>
      </c>
      <c r="O77" s="106">
        <f>O37/O$39</f>
        <v>1.3124728916723e-6</v>
      </c>
      <c r="P77" s="106">
        <f>P37/P$39</f>
        <v>0.000603855817169918</v>
      </c>
      <c r="Q77" s="106">
        <f>Q37/Q$39</f>
        <v>0.00116924896795861</v>
      </c>
      <c r="R77" s="106">
        <f>R37/R$39</f>
        <v>0</v>
      </c>
      <c r="S77" s="106">
        <f>S37/S$39</f>
        <v>0</v>
      </c>
      <c r="T77" s="106">
        <f>T37/T$39</f>
        <v>0</v>
      </c>
      <c r="U77" s="106">
        <f>U37/U$39</f>
        <v>0.00219942488155066</v>
      </c>
      <c r="V77" s="106">
        <f>V37/V$39</f>
        <v>0</v>
      </c>
      <c r="W77" s="106">
        <f>W37/W$39</f>
        <v>0.000900328963203881</v>
      </c>
      <c r="X77" s="107">
        <f>X37/X$39</f>
        <v>0</v>
      </c>
      <c r="Y77" s="106">
        <f>Y37/Y$39</f>
        <v>0</v>
      </c>
      <c r="Z77" s="106">
        <f>Z37/Z$39</f>
        <v>0</v>
      </c>
      <c r="AA77" s="106">
        <f>AA37/AA$39</f>
        <v>0</v>
      </c>
      <c r="AB77" s="107"/>
      <c r="AC77" s="106"/>
      <c r="AD77" s="107">
        <f>AD37/AD$39</f>
        <v>0</v>
      </c>
      <c r="AE77" s="106">
        <f>AE37/AE$39</f>
        <v>0</v>
      </c>
    </row>
    <row r="78" s="56" customFormat="1" ht="16.5" spans="1:31">
      <c r="A78" s="80" t="s">
        <v>430</v>
      </c>
      <c r="B78" s="108"/>
      <c r="C78" s="109" t="e">
        <f>#REF!/C38-1</f>
        <v>#REF!</v>
      </c>
      <c r="D78" s="110">
        <f>D38/D$39</f>
        <v>0.00055259909580536</v>
      </c>
      <c r="E78" s="110">
        <f>E38/E$39</f>
        <v>0.000291291243255797</v>
      </c>
      <c r="F78" s="110">
        <f>F38/F$39</f>
        <v>9.48344566937438e-6</v>
      </c>
      <c r="G78" s="110">
        <f>G38/G$39</f>
        <v>6.24942644498525e-5</v>
      </c>
      <c r="H78" s="110">
        <f>H38/H$39</f>
        <v>0</v>
      </c>
      <c r="I78" s="110">
        <f>I38/I$39</f>
        <v>0</v>
      </c>
      <c r="J78" s="110">
        <f>J38/J$39</f>
        <v>0.000186731743348598</v>
      </c>
      <c r="K78" s="110">
        <f>K38/K$39</f>
        <v>0.000229592120961021</v>
      </c>
      <c r="L78" s="110">
        <f>L38/L$39</f>
        <v>0</v>
      </c>
      <c r="M78" s="110">
        <f>M38/M$39</f>
        <v>0</v>
      </c>
      <c r="N78" s="110">
        <f>N38/N$39</f>
        <v>0.000163463796554482</v>
      </c>
      <c r="O78" s="110">
        <f>O38/O$39</f>
        <v>5.67260821237494e-5</v>
      </c>
      <c r="P78" s="110">
        <f>P38/P$39</f>
        <v>0.000684711103360305</v>
      </c>
      <c r="Q78" s="110">
        <f>Q38/Q$39</f>
        <v>0.0013070677307004</v>
      </c>
      <c r="R78" s="110">
        <f>R38/R$39</f>
        <v>0</v>
      </c>
      <c r="S78" s="110">
        <f>S38/S$39</f>
        <v>9.34542956341884e-6</v>
      </c>
      <c r="T78" s="110">
        <f>T38/T$39</f>
        <v>0.00152620802721807</v>
      </c>
      <c r="U78" s="110">
        <f>U38/U$39</f>
        <v>0.00293943373521905</v>
      </c>
      <c r="V78" s="110">
        <f>V38/V$39</f>
        <v>0.000470152134863917</v>
      </c>
      <c r="W78" s="110">
        <f>W38/W$39</f>
        <v>0.00131413597402168</v>
      </c>
      <c r="X78" s="111">
        <f>X38/X$39</f>
        <v>0</v>
      </c>
      <c r="Y78" s="110">
        <f>Y38/Y$39</f>
        <v>0</v>
      </c>
      <c r="Z78" s="110">
        <f>Z38/Z$39</f>
        <v>0.00479632604213737</v>
      </c>
      <c r="AA78" s="110">
        <f>AA38/AA$39</f>
        <v>0</v>
      </c>
      <c r="AB78" s="111"/>
      <c r="AC78" s="110"/>
      <c r="AD78" s="111">
        <f>AD38/AD$39</f>
        <v>0.00140168938563817</v>
      </c>
      <c r="AE78" s="110">
        <f>AE38/AE$39</f>
        <v>0.000458439262774565</v>
      </c>
    </row>
    <row r="79" ht="16.5" spans="1:31">
      <c r="A79" s="112" t="s">
        <v>379</v>
      </c>
      <c r="B79" s="112"/>
      <c r="C79" s="113" t="e">
        <f>#REF!/C39-1</f>
        <v>#REF!</v>
      </c>
      <c r="D79" s="114">
        <f>D39/D$39</f>
        <v>1</v>
      </c>
      <c r="E79" s="114">
        <f>E39/E$39</f>
        <v>1</v>
      </c>
      <c r="F79" s="114">
        <f>F39/F$39</f>
        <v>1</v>
      </c>
      <c r="G79" s="114">
        <f>G39/G$39</f>
        <v>1</v>
      </c>
      <c r="H79" s="114">
        <f>H39/H$39</f>
        <v>1</v>
      </c>
      <c r="I79" s="114">
        <f>I39/I$39</f>
        <v>1</v>
      </c>
      <c r="J79" s="114">
        <f>J39/J$39</f>
        <v>1</v>
      </c>
      <c r="K79" s="114">
        <f>K39/K$39</f>
        <v>1</v>
      </c>
      <c r="L79" s="114">
        <f>L39/L$39</f>
        <v>1</v>
      </c>
      <c r="M79" s="114">
        <f>M39/M$39</f>
        <v>1</v>
      </c>
      <c r="N79" s="114">
        <f>N39/N$39</f>
        <v>1</v>
      </c>
      <c r="O79" s="114">
        <f>O39/O$39</f>
        <v>1</v>
      </c>
      <c r="P79" s="114">
        <f>P39/P$39</f>
        <v>1</v>
      </c>
      <c r="Q79" s="114">
        <f>Q39/Q$39</f>
        <v>1</v>
      </c>
      <c r="R79" s="114">
        <f>R39/R$39</f>
        <v>1</v>
      </c>
      <c r="S79" s="114">
        <f>S39/S$39</f>
        <v>1</v>
      </c>
      <c r="T79" s="114">
        <f>T39/T$39</f>
        <v>1</v>
      </c>
      <c r="U79" s="114">
        <f>U39/U$39</f>
        <v>1</v>
      </c>
      <c r="V79" s="114">
        <f>V39/V$39</f>
        <v>1</v>
      </c>
      <c r="W79" s="114">
        <f>W39/W$39</f>
        <v>1</v>
      </c>
      <c r="X79" s="115">
        <f>X39/X$39</f>
        <v>1</v>
      </c>
      <c r="Y79" s="114">
        <f>Y39/Y$39</f>
        <v>1</v>
      </c>
      <c r="Z79" s="114">
        <f>Z39/Z$39</f>
        <v>1</v>
      </c>
      <c r="AA79" s="114">
        <f>AA39/AA$39</f>
        <v>1</v>
      </c>
      <c r="AB79" s="115"/>
      <c r="AC79" s="114"/>
      <c r="AD79" s="115">
        <f>AD39/AD$39</f>
        <v>1</v>
      </c>
      <c r="AE79" s="114">
        <f>AE39/AE$39</f>
        <v>1</v>
      </c>
    </row>
    <row r="84" spans="4:31">
      <c r="D84" s="116"/>
      <c r="E84" s="90"/>
      <c r="F84" s="90"/>
      <c r="G84" s="90"/>
      <c r="H84" s="90"/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90"/>
      <c r="T84" s="90"/>
      <c r="U84" s="90"/>
      <c r="V84" s="90"/>
      <c r="W84" s="90"/>
      <c r="X84" s="92"/>
      <c r="Y84" s="91"/>
      <c r="Z84" s="91"/>
      <c r="AA84" s="91"/>
      <c r="AB84" s="92"/>
      <c r="AC84" s="91"/>
      <c r="AD84" s="92"/>
      <c r="AE84" s="91"/>
    </row>
  </sheetData>
  <mergeCells count="10">
    <mergeCell ref="A3:A13"/>
    <mergeCell ref="A15:A25"/>
    <mergeCell ref="A27:A28"/>
    <mergeCell ref="A30:A32"/>
    <mergeCell ref="A36:A37"/>
    <mergeCell ref="A43:A53"/>
    <mergeCell ref="A55:A65"/>
    <mergeCell ref="A67:A68"/>
    <mergeCell ref="A70:A72"/>
    <mergeCell ref="A76:A77"/>
  </mergeCells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O83"/>
  <sheetViews>
    <sheetView topLeftCell="B1" workbookViewId="0">
      <selection activeCell="T33" sqref="T33"/>
    </sheetView>
  </sheetViews>
  <sheetFormatPr defaultColWidth="8.73451327433628" defaultRowHeight="15"/>
  <cols>
    <col min="1" max="2" width="8.73451327433628" style="1"/>
    <col min="3" max="3" width="11.2035398230088" style="1" customWidth="1"/>
    <col min="4" max="4" width="10.3362831858407" style="1" customWidth="1"/>
    <col min="5" max="15" width="12.6017699115044" style="1" customWidth="1"/>
    <col min="16" max="16384" width="8.73451327433628" style="1"/>
  </cols>
  <sheetData>
    <row r="2" spans="3:15">
      <c r="C2" s="2" t="s">
        <v>19</v>
      </c>
      <c r="D2" s="3" t="s">
        <v>394</v>
      </c>
      <c r="E2" s="4" t="s">
        <v>431</v>
      </c>
      <c r="F2" s="4" t="s">
        <v>432</v>
      </c>
      <c r="G2" s="5" t="s">
        <v>433</v>
      </c>
      <c r="H2" s="6" t="s">
        <v>3</v>
      </c>
      <c r="I2" s="6" t="s">
        <v>434</v>
      </c>
      <c r="J2" s="6" t="s">
        <v>4</v>
      </c>
      <c r="K2" s="5" t="s">
        <v>435</v>
      </c>
      <c r="L2" s="6" t="s">
        <v>15</v>
      </c>
      <c r="M2" s="5" t="s">
        <v>436</v>
      </c>
      <c r="N2" s="6" t="s">
        <v>9</v>
      </c>
      <c r="O2" s="5" t="s">
        <v>437</v>
      </c>
    </row>
    <row r="3" hidden="1" outlineLevel="1" spans="3:15">
      <c r="C3" s="7"/>
      <c r="D3" s="8" t="s">
        <v>438</v>
      </c>
      <c r="E3" s="9">
        <v>0.467760204774722</v>
      </c>
      <c r="F3" s="10">
        <v>0.404834901186794</v>
      </c>
      <c r="G3" s="10">
        <v>0.390700013054405</v>
      </c>
      <c r="H3" s="10">
        <v>0.496439918910166</v>
      </c>
      <c r="I3" s="10">
        <v>0.23541931207068</v>
      </c>
      <c r="J3" s="10">
        <v>0.384209244886111</v>
      </c>
      <c r="K3" s="10">
        <v>0.540326735784212</v>
      </c>
      <c r="L3" s="10">
        <v>0.491405994951492</v>
      </c>
      <c r="M3" s="10">
        <v>0.384048847611056</v>
      </c>
      <c r="N3" s="9">
        <v>0.483108522572968</v>
      </c>
      <c r="O3" s="10">
        <v>0.47076748861726</v>
      </c>
    </row>
    <row r="4" hidden="1" outlineLevel="1" spans="3:15">
      <c r="C4" s="7"/>
      <c r="D4" s="11" t="s">
        <v>396</v>
      </c>
      <c r="E4" s="12">
        <v>0.0202152692122976</v>
      </c>
      <c r="F4" s="13">
        <v>0.0180609902123444</v>
      </c>
      <c r="G4" s="13">
        <v>0.021211389063273</v>
      </c>
      <c r="H4" s="13">
        <v>0.0289378724198716</v>
      </c>
      <c r="I4" s="13">
        <v>0.0110894204803983</v>
      </c>
      <c r="J4" s="13">
        <v>0.0183589442789263</v>
      </c>
      <c r="K4" s="13">
        <v>0.0163366254785402</v>
      </c>
      <c r="L4" s="13">
        <v>0.0140864632001855</v>
      </c>
      <c r="M4" s="13">
        <v>0.0152302077625789</v>
      </c>
      <c r="N4" s="12">
        <v>0.0129422384677622</v>
      </c>
      <c r="O4" s="13">
        <v>0.0207375613200592</v>
      </c>
    </row>
    <row r="5" hidden="1" outlineLevel="1" spans="3:15">
      <c r="C5" s="7"/>
      <c r="D5" s="8" t="s">
        <v>398</v>
      </c>
      <c r="E5" s="9">
        <v>0.00487098110339623</v>
      </c>
      <c r="F5" s="10">
        <v>0.0160843122265843</v>
      </c>
      <c r="G5" s="10">
        <v>0.0173766709162623</v>
      </c>
      <c r="H5" s="10">
        <v>0.0120403538117791</v>
      </c>
      <c r="I5" s="10">
        <v>0.0166869292776883</v>
      </c>
      <c r="J5" s="10">
        <v>0.0157892097576597</v>
      </c>
      <c r="K5" s="10">
        <v>0.0155731185591708</v>
      </c>
      <c r="L5" s="10">
        <v>0.0108126804847546</v>
      </c>
      <c r="M5" s="10">
        <v>0.0156814989739645</v>
      </c>
      <c r="N5" s="9">
        <v>0.0177944276599262</v>
      </c>
      <c r="O5" s="10">
        <v>0.012387369852383</v>
      </c>
    </row>
    <row r="6" hidden="1" outlineLevel="1" spans="3:15">
      <c r="C6" s="7"/>
      <c r="D6" s="11" t="s">
        <v>395</v>
      </c>
      <c r="E6" s="12">
        <v>0.0212914766400339</v>
      </c>
      <c r="F6" s="13">
        <v>0.0097523752223569</v>
      </c>
      <c r="G6" s="13">
        <v>0.0109180452267765</v>
      </c>
      <c r="H6" s="13">
        <v>0.00202722785139559</v>
      </c>
      <c r="I6" s="13">
        <v>0.0154486904190696</v>
      </c>
      <c r="J6" s="13">
        <v>0.00762457155731052</v>
      </c>
      <c r="K6" s="13">
        <v>0.00471321912091632</v>
      </c>
      <c r="L6" s="13">
        <v>0.00409180329100688</v>
      </c>
      <c r="M6" s="13">
        <v>0.0105769297744975</v>
      </c>
      <c r="N6" s="12">
        <v>0.0101975822563067</v>
      </c>
      <c r="O6" s="13">
        <v>0.00369834552830628</v>
      </c>
    </row>
    <row r="7" hidden="1" outlineLevel="1" spans="3:15">
      <c r="C7" s="7"/>
      <c r="D7" s="8" t="s">
        <v>397</v>
      </c>
      <c r="E7" s="9">
        <v>0.00731579539770157</v>
      </c>
      <c r="F7" s="10">
        <v>0.00903613095926227</v>
      </c>
      <c r="G7" s="10">
        <v>0.00746324513463506</v>
      </c>
      <c r="H7" s="10">
        <v>0.00530532788399559</v>
      </c>
      <c r="I7" s="10">
        <v>0.00530053916825335</v>
      </c>
      <c r="J7" s="10">
        <v>0.00986261506717648</v>
      </c>
      <c r="K7" s="10">
        <v>0.00349420606092608</v>
      </c>
      <c r="L7" s="13">
        <v>0.00286038085063188</v>
      </c>
      <c r="M7" s="10">
        <v>0.0112831854987981</v>
      </c>
      <c r="N7" s="12">
        <v>0.00443685904926885</v>
      </c>
      <c r="O7" s="10">
        <v>0.00891874470109359</v>
      </c>
    </row>
    <row r="8" hidden="1" outlineLevel="1" spans="3:15">
      <c r="C8" s="7"/>
      <c r="D8" s="11" t="s">
        <v>399</v>
      </c>
      <c r="E8" s="12">
        <v>0.0189833466155695</v>
      </c>
      <c r="F8" s="13">
        <v>0.00846215344121163</v>
      </c>
      <c r="G8" s="13">
        <v>0.00776949397682767</v>
      </c>
      <c r="H8" s="13">
        <v>0.00460861177099538</v>
      </c>
      <c r="I8" s="13">
        <v>0.00724168514689059</v>
      </c>
      <c r="J8" s="13">
        <v>0</v>
      </c>
      <c r="K8" s="13">
        <v>0.00181687502150503</v>
      </c>
      <c r="L8" s="10">
        <v>0.000318881734920312</v>
      </c>
      <c r="M8" s="13">
        <v>0.0110638114648782</v>
      </c>
      <c r="N8" s="9">
        <v>0.0206387961472768</v>
      </c>
      <c r="O8" s="13">
        <v>0.002750438032196</v>
      </c>
    </row>
    <row r="9" hidden="1" outlineLevel="1" spans="3:15">
      <c r="C9" s="7"/>
      <c r="D9" s="8" t="s">
        <v>400</v>
      </c>
      <c r="E9" s="9">
        <v>0.00863932654236718</v>
      </c>
      <c r="F9" s="10">
        <v>0.00754658272023249</v>
      </c>
      <c r="G9" s="10">
        <v>0.00974880538979168</v>
      </c>
      <c r="H9" s="10">
        <v>0.00828387991766387</v>
      </c>
      <c r="I9" s="10">
        <v>0.00733406918900873</v>
      </c>
      <c r="J9" s="10">
        <v>0.0144236305217314</v>
      </c>
      <c r="K9" s="10">
        <v>0.00229256313601753</v>
      </c>
      <c r="L9" s="10">
        <v>0.00271460492830515</v>
      </c>
      <c r="M9" s="10">
        <v>0.00667964485584612</v>
      </c>
      <c r="N9" s="9">
        <v>0.00963266842410668</v>
      </c>
      <c r="O9" s="10">
        <v>0.00664024450018982</v>
      </c>
    </row>
    <row r="10" hidden="1" outlineLevel="1" spans="3:15">
      <c r="C10" s="7"/>
      <c r="D10" s="11" t="s">
        <v>402</v>
      </c>
      <c r="E10" s="12">
        <v>0.0133835112531588</v>
      </c>
      <c r="F10" s="13">
        <v>0.00110647642874472</v>
      </c>
      <c r="G10" s="13">
        <v>0.00065721319848878</v>
      </c>
      <c r="H10" s="13">
        <v>4.87028560792629e-5</v>
      </c>
      <c r="I10" s="13">
        <v>2.74661057743851e-5</v>
      </c>
      <c r="J10" s="13">
        <v>0.000334268180316323</v>
      </c>
      <c r="K10" s="13">
        <v>0.000589433779424959</v>
      </c>
      <c r="L10" s="10">
        <v>0.000270555739444661</v>
      </c>
      <c r="M10" s="13">
        <v>0.00171838158923191</v>
      </c>
      <c r="N10" s="12">
        <v>6.13610284665297e-5</v>
      </c>
      <c r="O10" s="13">
        <v>0.000209322633225757</v>
      </c>
    </row>
    <row r="11" hidden="1" outlineLevel="1" spans="3:15">
      <c r="C11" s="7"/>
      <c r="D11" s="8" t="s">
        <v>403</v>
      </c>
      <c r="E11" s="9">
        <v>0.00125424466700966</v>
      </c>
      <c r="F11" s="10">
        <v>0.000575232827854165</v>
      </c>
      <c r="G11" s="10">
        <v>0.000480074477341193</v>
      </c>
      <c r="H11" s="10">
        <v>0.00101957152997298</v>
      </c>
      <c r="I11" s="10">
        <v>0.000838011001987627</v>
      </c>
      <c r="J11" s="10">
        <v>0.000761320047164694</v>
      </c>
      <c r="K11" s="10">
        <v>0.00155009290233438</v>
      </c>
      <c r="L11" s="13">
        <v>0.00223561520527612</v>
      </c>
      <c r="M11" s="10">
        <v>0.000256538119004858</v>
      </c>
      <c r="N11" s="9">
        <v>0.000435589139391628</v>
      </c>
      <c r="O11" s="10">
        <v>0.00204241835122898</v>
      </c>
    </row>
    <row r="12" hidden="1" outlineLevel="1" spans="3:15">
      <c r="C12" s="7"/>
      <c r="D12" s="11" t="s">
        <v>405</v>
      </c>
      <c r="E12" s="12">
        <v>0.00137505213220971</v>
      </c>
      <c r="F12" s="13">
        <v>1.11702684329889e-6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0">
        <v>0</v>
      </c>
      <c r="M12" s="13">
        <v>2.42770127895428e-6</v>
      </c>
      <c r="N12" s="12">
        <v>0</v>
      </c>
      <c r="O12" s="13">
        <v>0</v>
      </c>
    </row>
    <row r="13" collapsed="1" spans="3:15">
      <c r="C13" s="7" t="s">
        <v>26</v>
      </c>
      <c r="D13" s="8" t="s">
        <v>379</v>
      </c>
      <c r="E13" s="14">
        <v>0.565089208338466</v>
      </c>
      <c r="F13" s="15">
        <v>0.475460272252229</v>
      </c>
      <c r="G13" s="15">
        <v>0.466324950437801</v>
      </c>
      <c r="H13" s="15">
        <v>0.558711466951919</v>
      </c>
      <c r="I13" s="15">
        <v>0.299386122859751</v>
      </c>
      <c r="J13" s="15">
        <v>0.451363804296397</v>
      </c>
      <c r="K13" s="15">
        <v>0.586692869843047</v>
      </c>
      <c r="L13" s="15">
        <v>0.528796980386017</v>
      </c>
      <c r="M13" s="15">
        <v>0.456541473351135</v>
      </c>
      <c r="N13" s="14">
        <v>0.559248044745473</v>
      </c>
      <c r="O13" s="15">
        <v>0.528151933535943</v>
      </c>
    </row>
    <row r="14" hidden="1" outlineLevel="1" spans="3:15">
      <c r="C14" s="16"/>
      <c r="D14" s="8" t="s">
        <v>439</v>
      </c>
      <c r="E14" s="9">
        <v>0.216153535238566</v>
      </c>
      <c r="F14" s="10">
        <v>0.246867663734214</v>
      </c>
      <c r="G14" s="10">
        <v>0.23738900298288</v>
      </c>
      <c r="H14" s="10">
        <v>0.185342936270848</v>
      </c>
      <c r="I14" s="10">
        <v>0.386703265031547</v>
      </c>
      <c r="J14" s="10">
        <v>0.33080136988774</v>
      </c>
      <c r="K14" s="10">
        <v>0.302597141402022</v>
      </c>
      <c r="L14" s="13">
        <v>0.355689329185798</v>
      </c>
      <c r="M14" s="10">
        <v>0.249438501173356</v>
      </c>
      <c r="N14" s="9">
        <v>0.245085242453875</v>
      </c>
      <c r="O14" s="10">
        <v>0.225339204246342</v>
      </c>
    </row>
    <row r="15" hidden="1" outlineLevel="1" spans="3:15">
      <c r="C15" s="16"/>
      <c r="D15" s="8" t="s">
        <v>440</v>
      </c>
      <c r="E15" s="12">
        <v>0.0267309088476922</v>
      </c>
      <c r="F15" s="13">
        <v>0.0476431337799932</v>
      </c>
      <c r="G15" s="13">
        <v>0.0490058874106415</v>
      </c>
      <c r="H15" s="13">
        <v>0.0513416591205385</v>
      </c>
      <c r="I15" s="13">
        <v>0.0482035509860251</v>
      </c>
      <c r="J15" s="13">
        <v>0.0487028125998451</v>
      </c>
      <c r="K15" s="13">
        <v>0.0270888263827523</v>
      </c>
      <c r="L15" s="10">
        <v>0.031591112291675</v>
      </c>
      <c r="M15" s="13">
        <v>0.0471141177824308</v>
      </c>
      <c r="N15" s="12">
        <v>0.026565396548075</v>
      </c>
      <c r="O15" s="13">
        <v>0.064004153963849</v>
      </c>
    </row>
    <row r="16" hidden="1" outlineLevel="1" spans="3:15">
      <c r="C16" s="16"/>
      <c r="D16" s="8" t="s">
        <v>441</v>
      </c>
      <c r="E16" s="9">
        <v>0.00672508058109815</v>
      </c>
      <c r="F16" s="10">
        <v>0.00329544628139732</v>
      </c>
      <c r="G16" s="10">
        <v>0.00373637601800284</v>
      </c>
      <c r="H16" s="10">
        <v>0.00237504257143188</v>
      </c>
      <c r="I16" s="10">
        <v>0.00176393322299707</v>
      </c>
      <c r="J16" s="10">
        <v>0.00565600218920789</v>
      </c>
      <c r="K16" s="10">
        <v>0.00125062818366535</v>
      </c>
      <c r="L16" s="13">
        <v>0.00145913819902558</v>
      </c>
      <c r="M16" s="10">
        <v>0.00268043067893159</v>
      </c>
      <c r="N16" s="9">
        <v>0.00201298919670553</v>
      </c>
      <c r="O16" s="10">
        <v>0.00676642565894872</v>
      </c>
    </row>
    <row r="17" hidden="1" outlineLevel="1" spans="3:15">
      <c r="C17" s="16"/>
      <c r="D17" s="8" t="s">
        <v>442</v>
      </c>
      <c r="E17" s="12">
        <v>2.72787496743184e-5</v>
      </c>
      <c r="F17" s="13">
        <v>4.67395496049283e-7</v>
      </c>
      <c r="G17" s="13">
        <v>8.30348595017747e-7</v>
      </c>
      <c r="H17" s="13">
        <v>0</v>
      </c>
      <c r="I17" s="13">
        <v>0</v>
      </c>
      <c r="J17" s="13">
        <v>0</v>
      </c>
      <c r="K17" s="13">
        <v>1.24668813167739e-6</v>
      </c>
      <c r="L17" s="10">
        <v>0</v>
      </c>
      <c r="M17" s="13">
        <v>0</v>
      </c>
      <c r="N17" s="12">
        <v>0</v>
      </c>
      <c r="O17" s="13">
        <v>6.74063727841271e-7</v>
      </c>
    </row>
    <row r="18" collapsed="1" spans="3:15">
      <c r="C18" s="16" t="s">
        <v>28</v>
      </c>
      <c r="D18" s="8" t="s">
        <v>379</v>
      </c>
      <c r="E18" s="14">
        <v>0.24963680341703</v>
      </c>
      <c r="F18" s="15">
        <v>0.297806711191101</v>
      </c>
      <c r="G18" s="15">
        <v>0.290132096760119</v>
      </c>
      <c r="H18" s="15">
        <v>0.239059637962818</v>
      </c>
      <c r="I18" s="15">
        <v>0.436670749240569</v>
      </c>
      <c r="J18" s="15">
        <v>0.385160184676793</v>
      </c>
      <c r="K18" s="15">
        <v>0.330937842656571</v>
      </c>
      <c r="L18" s="15">
        <v>0.388739579676499</v>
      </c>
      <c r="M18" s="15">
        <v>0.299233049634718</v>
      </c>
      <c r="N18" s="14">
        <v>0.273663628198656</v>
      </c>
      <c r="O18" s="15">
        <v>0.296110457932867</v>
      </c>
    </row>
    <row r="19" hidden="1" outlineLevel="1" spans="3:15">
      <c r="C19" s="7"/>
      <c r="D19" s="17" t="s">
        <v>422</v>
      </c>
      <c r="E19" s="9">
        <v>0.106578782535577</v>
      </c>
      <c r="F19" s="10">
        <v>0.153823701174065</v>
      </c>
      <c r="G19" s="10">
        <v>0.188932102395074</v>
      </c>
      <c r="H19" s="10">
        <v>0.166844067270373</v>
      </c>
      <c r="I19" s="10">
        <v>0.230340941696538</v>
      </c>
      <c r="J19" s="10">
        <v>0.112646985267947</v>
      </c>
      <c r="K19" s="10">
        <v>0.0383923968240708</v>
      </c>
      <c r="L19" s="13">
        <v>0.0432529870105342</v>
      </c>
      <c r="M19" s="10">
        <v>0.150168594570533</v>
      </c>
      <c r="N19" s="9">
        <v>0.115207659046074</v>
      </c>
      <c r="O19" s="10">
        <v>0.108738442493402</v>
      </c>
    </row>
    <row r="20" hidden="1" outlineLevel="1" spans="3:15">
      <c r="C20" s="7"/>
      <c r="D20" s="17" t="s">
        <v>424</v>
      </c>
      <c r="E20" s="12">
        <v>0.000247678919374874</v>
      </c>
      <c r="F20" s="13">
        <v>0.000889232124344119</v>
      </c>
      <c r="G20" s="13">
        <v>0.000849239682702549</v>
      </c>
      <c r="H20" s="13">
        <v>0.000528798673582891</v>
      </c>
      <c r="I20" s="13">
        <v>0.00033639388025869</v>
      </c>
      <c r="J20" s="13">
        <v>0.00117522037740709</v>
      </c>
      <c r="K20" s="13">
        <v>0.000726422802840006</v>
      </c>
      <c r="L20" s="10">
        <v>2.90724185896013e-5</v>
      </c>
      <c r="M20" s="13">
        <v>0.00107373824753594</v>
      </c>
      <c r="N20" s="12">
        <v>0</v>
      </c>
      <c r="O20" s="13">
        <v>0.000134761314411343</v>
      </c>
    </row>
    <row r="21" collapsed="1" spans="3:15">
      <c r="C21" s="7" t="s">
        <v>29</v>
      </c>
      <c r="D21" s="8" t="s">
        <v>379</v>
      </c>
      <c r="E21" s="18">
        <v>0.106826461454952</v>
      </c>
      <c r="F21" s="15">
        <v>0.154712933298409</v>
      </c>
      <c r="G21" s="15">
        <v>0.189781342077777</v>
      </c>
      <c r="H21" s="15">
        <v>0.167372865943956</v>
      </c>
      <c r="I21" s="15">
        <v>0.230677335576797</v>
      </c>
      <c r="J21" s="15">
        <v>0.113822205645354</v>
      </c>
      <c r="K21" s="15">
        <v>0.0391188196269108</v>
      </c>
      <c r="L21" s="15">
        <v>0.0432820594291238</v>
      </c>
      <c r="M21" s="15">
        <v>0.151242332818069</v>
      </c>
      <c r="N21" s="18">
        <v>0.115207659046074</v>
      </c>
      <c r="O21" s="15">
        <v>0.108873203807813</v>
      </c>
    </row>
    <row r="22" spans="3:15">
      <c r="C22" s="19" t="s">
        <v>27</v>
      </c>
      <c r="D22" s="20" t="s">
        <v>411</v>
      </c>
      <c r="E22" s="9">
        <v>0.0130801408052198</v>
      </c>
      <c r="F22" s="21">
        <v>0.0144002746661992</v>
      </c>
      <c r="G22" s="21">
        <v>0.0098758925212875</v>
      </c>
      <c r="H22" s="21">
        <v>0.00790258441045196</v>
      </c>
      <c r="I22" s="21">
        <v>0.00719782022418801</v>
      </c>
      <c r="J22" s="21">
        <v>0.0093248746169938</v>
      </c>
      <c r="K22" s="21">
        <v>0.00646010568747035</v>
      </c>
      <c r="L22" s="21">
        <v>0.00756293357130916</v>
      </c>
      <c r="M22" s="21">
        <v>0.0194706422544933</v>
      </c>
      <c r="N22" s="9">
        <v>0.0125536420558205</v>
      </c>
      <c r="O22" s="21">
        <v>0.0146718498516838</v>
      </c>
    </row>
    <row r="23" spans="3:15">
      <c r="C23" s="16"/>
      <c r="D23" s="11" t="s">
        <v>408</v>
      </c>
      <c r="E23" s="12">
        <v>0.0154120872731705</v>
      </c>
      <c r="F23" s="22">
        <v>0.0138371677076814</v>
      </c>
      <c r="G23" s="22">
        <v>0.0111318441601877</v>
      </c>
      <c r="H23" s="22">
        <v>0.00511456431483669</v>
      </c>
      <c r="I23" s="22">
        <v>0.00773160946103816</v>
      </c>
      <c r="J23" s="22">
        <v>0.014904428889475</v>
      </c>
      <c r="K23" s="22">
        <v>0.00638666988694742</v>
      </c>
      <c r="L23" s="22">
        <v>0.00607840197520206</v>
      </c>
      <c r="M23" s="22">
        <v>0.0174303226907367</v>
      </c>
      <c r="N23" s="12">
        <v>0.0120368210509703</v>
      </c>
      <c r="O23" s="22">
        <v>0.0132431589756186</v>
      </c>
    </row>
    <row r="24" spans="3:15">
      <c r="C24" s="16"/>
      <c r="D24" s="8" t="s">
        <v>417</v>
      </c>
      <c r="E24" s="9">
        <v>0.00912663701311487</v>
      </c>
      <c r="F24" s="23">
        <v>0.0136182053456749</v>
      </c>
      <c r="G24" s="23">
        <v>0.0110516420857646</v>
      </c>
      <c r="H24" s="23">
        <v>0.00864363541800788</v>
      </c>
      <c r="I24" s="23">
        <v>0.00244264536952543</v>
      </c>
      <c r="J24" s="23">
        <v>0.00816943481208215</v>
      </c>
      <c r="K24" s="23">
        <v>0.0146159762908938</v>
      </c>
      <c r="L24" s="22">
        <v>0.00684058926966684</v>
      </c>
      <c r="M24" s="23">
        <v>0.015325396977511</v>
      </c>
      <c r="N24" s="12">
        <v>0.010049792774415</v>
      </c>
      <c r="O24" s="23">
        <v>0.0154717518367151</v>
      </c>
    </row>
    <row r="25" spans="3:15">
      <c r="C25" s="16"/>
      <c r="D25" s="11" t="s">
        <v>412</v>
      </c>
      <c r="E25" s="12">
        <v>0.0228094377833333</v>
      </c>
      <c r="F25" s="22">
        <v>0.013206302272127</v>
      </c>
      <c r="G25" s="22">
        <v>0.00941882691939959</v>
      </c>
      <c r="H25" s="22">
        <v>0.00240978272746169</v>
      </c>
      <c r="I25" s="22">
        <v>0.00604381470889377</v>
      </c>
      <c r="J25" s="22">
        <v>0.00359972347166306</v>
      </c>
      <c r="K25" s="22">
        <v>0.0067326652499373</v>
      </c>
      <c r="L25" s="23">
        <v>0.00744443720772592</v>
      </c>
      <c r="M25" s="22">
        <v>0.0179587110809226</v>
      </c>
      <c r="N25" s="9">
        <v>0.00800829981105023</v>
      </c>
      <c r="O25" s="22">
        <v>0.0101816791201296</v>
      </c>
    </row>
    <row r="26" spans="3:15">
      <c r="C26" s="16"/>
      <c r="D26" s="8" t="s">
        <v>407</v>
      </c>
      <c r="E26" s="9">
        <v>0.0134234340123765</v>
      </c>
      <c r="F26" s="23">
        <v>0.0109805225475411</v>
      </c>
      <c r="G26" s="23">
        <v>0.00819082089730317</v>
      </c>
      <c r="H26" s="23">
        <v>0.00584600397865069</v>
      </c>
      <c r="I26" s="23">
        <v>0.00737765412952189</v>
      </c>
      <c r="J26" s="23">
        <v>0.0108769909938446</v>
      </c>
      <c r="K26" s="23">
        <v>0.00611935116936777</v>
      </c>
      <c r="L26" s="22">
        <v>0.00747405574259602</v>
      </c>
      <c r="M26" s="23">
        <v>0.0144490419989299</v>
      </c>
      <c r="N26" s="9">
        <v>0.00609661268231511</v>
      </c>
      <c r="O26" s="23">
        <v>0.00903751987443754</v>
      </c>
    </row>
    <row r="27" spans="3:15">
      <c r="C27" s="16"/>
      <c r="D27" s="11" t="s">
        <v>410</v>
      </c>
      <c r="E27" s="12">
        <v>0.00243937876600786</v>
      </c>
      <c r="F27" s="22">
        <v>0.00306622061211172</v>
      </c>
      <c r="G27" s="22">
        <v>0.00186050365250211</v>
      </c>
      <c r="H27" s="22">
        <v>0.0023869726850179</v>
      </c>
      <c r="I27" s="22">
        <v>0.00174142529683062</v>
      </c>
      <c r="J27" s="22">
        <v>0.00155185432579584</v>
      </c>
      <c r="K27" s="22">
        <v>0.00072697375269279</v>
      </c>
      <c r="L27" s="22">
        <v>0.00116555361322427</v>
      </c>
      <c r="M27" s="22">
        <v>0.00470348987486558</v>
      </c>
      <c r="N27" s="12">
        <v>0.00046127460282012</v>
      </c>
      <c r="O27" s="22">
        <v>0.00162159936063014</v>
      </c>
    </row>
    <row r="28" spans="3:15">
      <c r="C28" s="16"/>
      <c r="D28" s="8" t="s">
        <v>409</v>
      </c>
      <c r="E28" s="9">
        <v>0.00197627819888235</v>
      </c>
      <c r="F28" s="23">
        <v>0.00198427075478237</v>
      </c>
      <c r="G28" s="23">
        <v>0.00136479589064645</v>
      </c>
      <c r="H28" s="23">
        <v>0.00153662517177254</v>
      </c>
      <c r="I28" s="23">
        <v>0.000583931418906849</v>
      </c>
      <c r="J28" s="23">
        <v>0.000776990424116078</v>
      </c>
      <c r="K28" s="23">
        <v>0.00202643024318709</v>
      </c>
      <c r="L28" s="23">
        <v>0.00251845835829857</v>
      </c>
      <c r="M28" s="23">
        <v>0.00244945371143416</v>
      </c>
      <c r="N28" s="9">
        <v>0.00215248675757232</v>
      </c>
      <c r="O28" s="23">
        <v>0.00230404290991201</v>
      </c>
    </row>
    <row r="29" spans="3:15">
      <c r="C29" s="16"/>
      <c r="D29" s="11" t="s">
        <v>413</v>
      </c>
      <c r="E29" s="12">
        <v>2.15648749227465e-6</v>
      </c>
      <c r="F29" s="22">
        <v>7.79110188424448e-5</v>
      </c>
      <c r="G29" s="22">
        <v>7.59863274557024e-9</v>
      </c>
      <c r="H29" s="22">
        <v>0</v>
      </c>
      <c r="I29" s="22">
        <v>0</v>
      </c>
      <c r="J29" s="22">
        <v>0</v>
      </c>
      <c r="K29" s="22">
        <v>1.12022683574823e-6</v>
      </c>
      <c r="L29" s="23">
        <v>6.85804646659232e-7</v>
      </c>
      <c r="M29" s="22">
        <v>0.000169141231288593</v>
      </c>
      <c r="N29" s="12">
        <v>0</v>
      </c>
      <c r="O29" s="22">
        <v>0</v>
      </c>
    </row>
    <row r="30" spans="3:15">
      <c r="C30" s="24"/>
      <c r="D30" s="25" t="s">
        <v>379</v>
      </c>
      <c r="E30" s="26">
        <v>0.0782695503395976</v>
      </c>
      <c r="F30" s="27">
        <v>0.0711708749249602</v>
      </c>
      <c r="G30" s="27">
        <v>0.0528943337257239</v>
      </c>
      <c r="H30" s="28">
        <v>0.0338401687061994</v>
      </c>
      <c r="I30" s="28">
        <v>0.0331189006089047</v>
      </c>
      <c r="J30" s="28">
        <v>0.0492042975339705</v>
      </c>
      <c r="K30" s="27">
        <v>0.0430692925073323</v>
      </c>
      <c r="L30" s="28">
        <v>0.0390851155426695</v>
      </c>
      <c r="M30" s="27">
        <v>0.0919561998201818</v>
      </c>
      <c r="N30" s="29">
        <v>0.0513589297349636</v>
      </c>
      <c r="O30" s="27">
        <v>0.0665316019291269</v>
      </c>
    </row>
    <row r="31" hidden="1" outlineLevel="1" spans="3:15">
      <c r="C31" s="7"/>
      <c r="D31" s="8" t="s">
        <v>428</v>
      </c>
      <c r="E31" s="9">
        <v>0.000855370212432323</v>
      </c>
      <c r="F31" s="10">
        <v>0.000599749383077935</v>
      </c>
      <c r="G31" s="10">
        <v>0.000361726172763306</v>
      </c>
      <c r="H31" s="10">
        <v>0.000411757205175344</v>
      </c>
      <c r="I31" s="10">
        <v>0.000146891713979143</v>
      </c>
      <c r="J31" s="10">
        <v>0.000320067942852077</v>
      </c>
      <c r="K31" s="10">
        <v>0.000138034708785226</v>
      </c>
      <c r="L31" s="13">
        <v>0</v>
      </c>
      <c r="M31" s="10">
        <v>0.000923238106384697</v>
      </c>
      <c r="N31" s="9">
        <v>0.000521738274833199</v>
      </c>
      <c r="O31" s="10">
        <v>0.000312834365486686</v>
      </c>
    </row>
    <row r="32" hidden="1" outlineLevel="1" spans="3:15">
      <c r="C32" s="7"/>
      <c r="D32" s="11" t="s">
        <v>429</v>
      </c>
      <c r="E32" s="12">
        <v>0</v>
      </c>
      <c r="F32" s="13">
        <v>4.61401224182043e-5</v>
      </c>
      <c r="G32" s="13">
        <v>0.000118394678401223</v>
      </c>
      <c r="H32" s="13">
        <v>0.000604103229932622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2">
        <v>0</v>
      </c>
      <c r="O32" s="13">
        <v>0</v>
      </c>
    </row>
    <row r="33" collapsed="1" spans="3:15">
      <c r="C33" s="7" t="s">
        <v>41</v>
      </c>
      <c r="D33" s="8" t="s">
        <v>379</v>
      </c>
      <c r="E33" s="14">
        <v>0</v>
      </c>
      <c r="F33" s="15">
        <v>0.000645889505496139</v>
      </c>
      <c r="G33" s="15">
        <v>0.000480120851164529</v>
      </c>
      <c r="H33" s="15">
        <v>0.00101586043510797</v>
      </c>
      <c r="I33" s="15">
        <v>0.000146891713979143</v>
      </c>
      <c r="J33" s="15">
        <v>0.000320067942852077</v>
      </c>
      <c r="K33" s="15">
        <v>0.000138034708785226</v>
      </c>
      <c r="L33" s="15">
        <v>0</v>
      </c>
      <c r="M33" s="15">
        <v>0.000923238106384697</v>
      </c>
      <c r="N33" s="14">
        <v>0.000521738274833199</v>
      </c>
      <c r="O33" s="15">
        <v>0.000312834365486686</v>
      </c>
    </row>
    <row r="34" hidden="1" outlineLevel="1" spans="3:15">
      <c r="C34" s="16"/>
      <c r="D34" s="8" t="s">
        <v>443</v>
      </c>
      <c r="E34" s="9">
        <v>0</v>
      </c>
      <c r="F34" s="10">
        <v>0.000121191062488554</v>
      </c>
      <c r="G34" s="10">
        <v>0.00030901320844346</v>
      </c>
      <c r="H34" s="10">
        <v>0</v>
      </c>
      <c r="I34" s="10">
        <v>0</v>
      </c>
      <c r="J34" s="10">
        <v>6.49589880319822e-7</v>
      </c>
      <c r="K34" s="10">
        <v>0</v>
      </c>
      <c r="L34" s="10">
        <v>9.62649656899079e-5</v>
      </c>
      <c r="M34" s="10">
        <v>0</v>
      </c>
      <c r="N34" s="9">
        <v>0</v>
      </c>
      <c r="O34" s="10">
        <v>1.00782433324774e-5</v>
      </c>
    </row>
    <row r="35" hidden="1" outlineLevel="1" spans="3:15">
      <c r="C35" s="16"/>
      <c r="D35" s="8" t="s">
        <v>444</v>
      </c>
      <c r="E35" s="12">
        <v>0</v>
      </c>
      <c r="F35" s="13">
        <v>2.89714265012683e-5</v>
      </c>
      <c r="G35" s="13">
        <v>6.41857674395439e-5</v>
      </c>
      <c r="H35" s="13">
        <v>0</v>
      </c>
      <c r="I35" s="13">
        <v>0</v>
      </c>
      <c r="J35" s="13">
        <v>3.08411225415413e-5</v>
      </c>
      <c r="K35" s="13">
        <v>4.31406573524947e-5</v>
      </c>
      <c r="L35" s="13">
        <v>0</v>
      </c>
      <c r="M35" s="13">
        <v>0</v>
      </c>
      <c r="N35" s="12">
        <v>0</v>
      </c>
      <c r="O35" s="13">
        <v>9.89018543018031e-6</v>
      </c>
    </row>
    <row r="36" collapsed="1" spans="3:15">
      <c r="C36" s="16" t="s">
        <v>445</v>
      </c>
      <c r="D36" s="8" t="s">
        <v>379</v>
      </c>
      <c r="E36" s="14">
        <v>0</v>
      </c>
      <c r="F36" s="15">
        <v>0.000150162488989823</v>
      </c>
      <c r="G36" s="15">
        <v>0.000373198975883004</v>
      </c>
      <c r="H36" s="15">
        <v>0</v>
      </c>
      <c r="I36" s="15">
        <v>0</v>
      </c>
      <c r="J36" s="15">
        <v>3.14907124218611e-5</v>
      </c>
      <c r="K36" s="15">
        <v>4.31406573524947e-5</v>
      </c>
      <c r="L36" s="15">
        <v>9.62649656899079e-5</v>
      </c>
      <c r="M36" s="15">
        <v>0</v>
      </c>
      <c r="N36" s="14">
        <v>0</v>
      </c>
      <c r="O36" s="15">
        <v>1.99684287626577e-5</v>
      </c>
    </row>
    <row r="37" hidden="1" outlineLevel="1" spans="3:15">
      <c r="C37" s="7"/>
      <c r="D37" s="8" t="s">
        <v>426</v>
      </c>
      <c r="E37" s="12">
        <v>0.000177976449953882</v>
      </c>
      <c r="F37" s="13">
        <v>5.31563388155814e-5</v>
      </c>
      <c r="G37" s="13">
        <v>1.39571715314823e-5</v>
      </c>
      <c r="H37" s="13">
        <v>0</v>
      </c>
      <c r="I37" s="13">
        <v>0</v>
      </c>
      <c r="J37" s="30">
        <v>9.79491922121692e-5</v>
      </c>
      <c r="K37" s="13">
        <v>0</v>
      </c>
      <c r="L37" s="30">
        <v>0</v>
      </c>
      <c r="M37" s="13">
        <v>0.000103706269510641</v>
      </c>
      <c r="N37" s="9">
        <v>0</v>
      </c>
      <c r="O37" s="13">
        <v>0</v>
      </c>
    </row>
    <row r="38" collapsed="1" spans="3:15">
      <c r="C38" s="7" t="s">
        <v>38</v>
      </c>
      <c r="D38" s="8" t="s">
        <v>379</v>
      </c>
      <c r="E38" s="14">
        <v>0.000177976449953882</v>
      </c>
      <c r="F38" s="15">
        <v>5.31563388155814e-5</v>
      </c>
      <c r="G38" s="15">
        <v>1.39571715314823e-5</v>
      </c>
      <c r="H38" s="15">
        <v>0</v>
      </c>
      <c r="I38" s="15">
        <v>0</v>
      </c>
      <c r="J38" s="15">
        <v>9.79491922121692e-5</v>
      </c>
      <c r="K38" s="15">
        <v>0</v>
      </c>
      <c r="L38" s="15">
        <v>0</v>
      </c>
      <c r="M38" s="15">
        <v>0.000103706269510641</v>
      </c>
      <c r="N38" s="14">
        <v>0</v>
      </c>
      <c r="O38" s="15">
        <v>0</v>
      </c>
    </row>
    <row r="39" ht="15.75" spans="3:15">
      <c r="C39" s="31" t="s">
        <v>379</v>
      </c>
      <c r="D39" s="32"/>
      <c r="E39" s="33">
        <v>1</v>
      </c>
      <c r="F39" s="34">
        <v>1</v>
      </c>
      <c r="G39" s="34">
        <v>1</v>
      </c>
      <c r="H39" s="34">
        <v>1</v>
      </c>
      <c r="I39" s="34">
        <v>1</v>
      </c>
      <c r="J39" s="34">
        <v>1</v>
      </c>
      <c r="K39" s="34">
        <v>1</v>
      </c>
      <c r="L39" s="34">
        <v>1</v>
      </c>
      <c r="M39" s="34">
        <v>1</v>
      </c>
      <c r="N39" s="33">
        <v>1</v>
      </c>
      <c r="O39" s="34">
        <v>1</v>
      </c>
    </row>
    <row r="45" spans="3:15">
      <c r="C45" s="2" t="s">
        <v>19</v>
      </c>
      <c r="D45" s="35" t="s">
        <v>394</v>
      </c>
      <c r="E45" s="4" t="s">
        <v>431</v>
      </c>
      <c r="F45" s="4" t="s">
        <v>432</v>
      </c>
      <c r="G45" s="5" t="s">
        <v>433</v>
      </c>
      <c r="H45" s="6" t="s">
        <v>3</v>
      </c>
      <c r="I45" s="6" t="s">
        <v>434</v>
      </c>
      <c r="J45" s="6" t="s">
        <v>4</v>
      </c>
      <c r="K45" s="5" t="s">
        <v>435</v>
      </c>
      <c r="L45" s="6" t="s">
        <v>15</v>
      </c>
      <c r="M45" s="5" t="s">
        <v>436</v>
      </c>
      <c r="N45" s="6" t="s">
        <v>9</v>
      </c>
      <c r="O45" s="5" t="s">
        <v>437</v>
      </c>
    </row>
    <row r="46" hidden="1" outlineLevel="1" spans="3:15">
      <c r="C46" s="36"/>
      <c r="D46" s="37" t="s">
        <v>438</v>
      </c>
      <c r="E46" s="38">
        <v>0.163096101832293</v>
      </c>
      <c r="F46" s="39">
        <v>0.250838052069972</v>
      </c>
      <c r="G46" s="39">
        <v>0.287121597861774</v>
      </c>
      <c r="H46" s="39">
        <v>0.372140661591884</v>
      </c>
      <c r="I46" s="39">
        <v>0.324990843378672</v>
      </c>
      <c r="J46" s="39">
        <v>0.379758510783938</v>
      </c>
      <c r="K46" s="39">
        <v>0.296171724011716</v>
      </c>
      <c r="L46" s="39">
        <v>0.345733233836342</v>
      </c>
      <c r="M46" s="39">
        <v>0.298500574757684</v>
      </c>
      <c r="N46" s="39">
        <v>0.377475602086826</v>
      </c>
      <c r="O46" s="39">
        <v>0.322065229316029</v>
      </c>
    </row>
    <row r="47" hidden="1" outlineLevel="1" spans="3:15">
      <c r="C47" s="7"/>
      <c r="D47" s="40" t="s">
        <v>398</v>
      </c>
      <c r="E47" s="41">
        <v>0.038693701960636</v>
      </c>
      <c r="F47" s="13">
        <v>0.0743227984571407</v>
      </c>
      <c r="G47" s="13">
        <v>0.0823290103383254</v>
      </c>
      <c r="H47" s="13">
        <v>0.0841323446310716</v>
      </c>
      <c r="I47" s="13">
        <v>0.0945655588262057</v>
      </c>
      <c r="J47" s="13">
        <v>0.0917703091285947</v>
      </c>
      <c r="K47" s="13">
        <v>0.0906279523381969</v>
      </c>
      <c r="L47" s="13">
        <v>0.0944271764036985</v>
      </c>
      <c r="M47" s="13">
        <v>0.0889416677225659</v>
      </c>
      <c r="N47" s="13">
        <v>0.0738134154393817</v>
      </c>
      <c r="O47" s="13">
        <v>0.059207486455565</v>
      </c>
    </row>
    <row r="48" hidden="1" outlineLevel="1" spans="3:15">
      <c r="C48" s="7"/>
      <c r="D48" s="40" t="s">
        <v>397</v>
      </c>
      <c r="E48" s="42">
        <v>0.0508339273541765</v>
      </c>
      <c r="F48" s="10">
        <v>0.0737118185338439</v>
      </c>
      <c r="G48" s="10">
        <v>0.0676399787812662</v>
      </c>
      <c r="H48" s="10">
        <v>0.0363326349886752</v>
      </c>
      <c r="I48" s="10">
        <v>0.0467616297948047</v>
      </c>
      <c r="J48" s="10">
        <v>0.0650818198088219</v>
      </c>
      <c r="K48" s="10">
        <v>0.0379187495832363</v>
      </c>
      <c r="L48" s="10">
        <v>0.0270298277456491</v>
      </c>
      <c r="M48" s="10">
        <v>0.0567128268403446</v>
      </c>
      <c r="N48" s="10">
        <v>0.0322111112894473</v>
      </c>
      <c r="O48" s="10">
        <v>0.0594436358528026</v>
      </c>
    </row>
    <row r="49" hidden="1" outlineLevel="1" spans="3:15">
      <c r="C49" s="7"/>
      <c r="D49" s="40" t="s">
        <v>395</v>
      </c>
      <c r="E49" s="41">
        <v>0.137768870628775</v>
      </c>
      <c r="F49" s="13">
        <v>0.0648151172810761</v>
      </c>
      <c r="G49" s="13">
        <v>0.0326856571849857</v>
      </c>
      <c r="H49" s="13">
        <v>0.00988271082047434</v>
      </c>
      <c r="I49" s="13">
        <v>0.0369034329419037</v>
      </c>
      <c r="J49" s="13">
        <v>0.0415269007634967</v>
      </c>
      <c r="K49" s="13">
        <v>0.06358571953169</v>
      </c>
      <c r="L49" s="13">
        <v>0.0236958149716034</v>
      </c>
      <c r="M49" s="13">
        <v>0.0343217116626884</v>
      </c>
      <c r="N49" s="13">
        <v>0.0346598780713965</v>
      </c>
      <c r="O49" s="13">
        <v>0.0388968755329316</v>
      </c>
    </row>
    <row r="50" hidden="1" outlineLevel="1" spans="3:15">
      <c r="C50" s="7"/>
      <c r="D50" s="40" t="s">
        <v>400</v>
      </c>
      <c r="E50" s="42">
        <v>0.0312046266229496</v>
      </c>
      <c r="F50" s="10">
        <v>0.026674351715963</v>
      </c>
      <c r="G50" s="10">
        <v>0.0244829106215475</v>
      </c>
      <c r="H50" s="10">
        <v>0.0189854019575677</v>
      </c>
      <c r="I50" s="10">
        <v>0.0314325104965117</v>
      </c>
      <c r="J50" s="10">
        <v>0.0238133176084881</v>
      </c>
      <c r="K50" s="10">
        <v>0.0207210774035819</v>
      </c>
      <c r="L50" s="10">
        <v>0.0150445715797223</v>
      </c>
      <c r="M50" s="10">
        <v>0.0267820735443765</v>
      </c>
      <c r="N50" s="10">
        <v>0.0292364456315069</v>
      </c>
      <c r="O50" s="10">
        <v>0.0273545627299762</v>
      </c>
    </row>
    <row r="51" hidden="1" outlineLevel="1" spans="3:15">
      <c r="C51" s="7"/>
      <c r="D51" s="40" t="s">
        <v>396</v>
      </c>
      <c r="E51" s="41">
        <v>0.0172357027975819</v>
      </c>
      <c r="F51" s="13">
        <v>0.0246220000369954</v>
      </c>
      <c r="G51" s="13">
        <v>0.0258903293928074</v>
      </c>
      <c r="H51" s="13">
        <v>0.0337535935828675</v>
      </c>
      <c r="I51" s="13">
        <v>0.0210095350490935</v>
      </c>
      <c r="J51" s="13">
        <v>0.0231957726207475</v>
      </c>
      <c r="K51" s="13">
        <v>0.0173520386262442</v>
      </c>
      <c r="L51" s="13">
        <v>0.0171788414582228</v>
      </c>
      <c r="M51" s="13">
        <v>0.0210581617594667</v>
      </c>
      <c r="N51" s="13">
        <v>0.0238714240011072</v>
      </c>
      <c r="O51" s="13">
        <v>0.0288145222897547</v>
      </c>
    </row>
    <row r="52" hidden="1" outlineLevel="1" spans="3:15">
      <c r="C52" s="7"/>
      <c r="D52" s="40" t="s">
        <v>402</v>
      </c>
      <c r="E52" s="42">
        <v>0</v>
      </c>
      <c r="F52" s="10">
        <v>0.00874300468788287</v>
      </c>
      <c r="G52" s="10">
        <v>0.0068498304024791</v>
      </c>
      <c r="H52" s="10">
        <v>0.000238549618320611</v>
      </c>
      <c r="I52" s="10">
        <v>0.000681017294941346</v>
      </c>
      <c r="J52" s="10">
        <v>0.00439689563536396</v>
      </c>
      <c r="K52" s="10">
        <v>0.00181425462384737</v>
      </c>
      <c r="L52" s="10">
        <v>0.000752905328798186</v>
      </c>
      <c r="M52" s="10">
        <v>0.00568814907087589</v>
      </c>
      <c r="N52" s="10">
        <v>0.000302663438256659</v>
      </c>
      <c r="O52" s="10">
        <v>0.000464525432814635</v>
      </c>
    </row>
    <row r="53" hidden="1" outlineLevel="1" spans="3:15">
      <c r="C53" s="7"/>
      <c r="D53" s="40" t="s">
        <v>399</v>
      </c>
      <c r="E53" s="41">
        <v>0.00648319695217993</v>
      </c>
      <c r="F53" s="13">
        <v>0.00606967440874742</v>
      </c>
      <c r="G53" s="13">
        <v>0.00842671108615194</v>
      </c>
      <c r="H53" s="13">
        <v>0.000743854301761923</v>
      </c>
      <c r="I53" s="13">
        <v>0.0156653269657035</v>
      </c>
      <c r="J53" s="13">
        <v>0</v>
      </c>
      <c r="K53" s="13">
        <v>0.000492040063368627</v>
      </c>
      <c r="L53" s="13">
        <v>0.00049642767709018</v>
      </c>
      <c r="M53" s="13">
        <v>0.00931045754632346</v>
      </c>
      <c r="N53" s="13">
        <v>0.0169154925388079</v>
      </c>
      <c r="O53" s="13">
        <v>0.000364186346786622</v>
      </c>
    </row>
    <row r="54" hidden="1" outlineLevel="1" spans="3:15">
      <c r="C54" s="7"/>
      <c r="D54" s="40" t="s">
        <v>403</v>
      </c>
      <c r="E54" s="42">
        <v>0.00396287098981479</v>
      </c>
      <c r="F54" s="10">
        <v>0.0049714168802138</v>
      </c>
      <c r="G54" s="10">
        <v>0.00424083537094035</v>
      </c>
      <c r="H54" s="10">
        <v>0.00539470028090248</v>
      </c>
      <c r="I54" s="10">
        <v>0.00207578293796031</v>
      </c>
      <c r="J54" s="10">
        <v>0.00618893497846667</v>
      </c>
      <c r="K54" s="10">
        <v>0.00655423299164727</v>
      </c>
      <c r="L54" s="10">
        <v>0.00621736123656666</v>
      </c>
      <c r="M54" s="10">
        <v>0.00303192249464472</v>
      </c>
      <c r="N54" s="10">
        <v>0.00288217536047607</v>
      </c>
      <c r="O54" s="10">
        <v>0.00782997088967095</v>
      </c>
    </row>
    <row r="55" hidden="1" outlineLevel="1" spans="3:15">
      <c r="C55" s="7"/>
      <c r="D55" s="40" t="s">
        <v>405</v>
      </c>
      <c r="E55" s="41">
        <v>0.00204575531219445</v>
      </c>
      <c r="F55" s="13">
        <v>0.000100806451612903</v>
      </c>
      <c r="G55" s="13">
        <v>0</v>
      </c>
      <c r="H55" s="13">
        <v>0</v>
      </c>
      <c r="I55" s="13">
        <v>0</v>
      </c>
      <c r="J55" s="13">
        <v>0</v>
      </c>
      <c r="K55" s="13">
        <v>0</v>
      </c>
      <c r="L55" s="13">
        <v>0</v>
      </c>
      <c r="M55" s="13">
        <v>0.000164473684210526</v>
      </c>
      <c r="N55" s="13">
        <v>0</v>
      </c>
      <c r="O55" s="13">
        <v>0</v>
      </c>
    </row>
    <row r="56" collapsed="1" spans="3:15">
      <c r="C56" s="7" t="s">
        <v>26</v>
      </c>
      <c r="D56" s="40"/>
      <c r="E56" s="43">
        <v>0.451324754450601</v>
      </c>
      <c r="F56" s="15">
        <v>0.534869040523448</v>
      </c>
      <c r="G56" s="15">
        <v>0.539666861040278</v>
      </c>
      <c r="H56" s="15">
        <v>0.561604451773525</v>
      </c>
      <c r="I56" s="15">
        <v>0.574085637685797</v>
      </c>
      <c r="J56" s="15">
        <v>0.635732461327918</v>
      </c>
      <c r="K56" s="15">
        <v>0.535237789173528</v>
      </c>
      <c r="L56" s="15">
        <v>0.530576160237693</v>
      </c>
      <c r="M56" s="15">
        <v>0.54451201908318</v>
      </c>
      <c r="N56" s="15">
        <v>0.591368207857206</v>
      </c>
      <c r="O56" s="15">
        <v>0.544440994846332</v>
      </c>
    </row>
    <row r="57" hidden="1" outlineLevel="1" spans="3:15">
      <c r="C57" s="16"/>
      <c r="D57" s="40" t="s">
        <v>440</v>
      </c>
      <c r="E57" s="42">
        <v>0.0295067296593945</v>
      </c>
      <c r="F57" s="10">
        <v>0.0209760740656897</v>
      </c>
      <c r="G57" s="10">
        <v>0.0232893030961123</v>
      </c>
      <c r="H57" s="10">
        <v>0.0327058950133487</v>
      </c>
      <c r="I57" s="10">
        <v>0.0328485931520962</v>
      </c>
      <c r="J57" s="10">
        <v>0.033214194596067</v>
      </c>
      <c r="K57" s="10">
        <v>0.0257841825959619</v>
      </c>
      <c r="L57" s="10">
        <v>0.0286606998166748</v>
      </c>
      <c r="M57" s="10">
        <v>0.0254428323916945</v>
      </c>
      <c r="N57" s="10">
        <v>0.022087372428649</v>
      </c>
      <c r="O57" s="10">
        <v>0.0223134180671447</v>
      </c>
    </row>
    <row r="58" hidden="1" outlineLevel="1" spans="3:15">
      <c r="C58" s="16"/>
      <c r="D58" s="40" t="s">
        <v>439</v>
      </c>
      <c r="E58" s="41">
        <v>0.0114187488727796</v>
      </c>
      <c r="F58" s="13">
        <v>0.0152608230870609</v>
      </c>
      <c r="G58" s="13">
        <v>0.0162951240563632</v>
      </c>
      <c r="H58" s="13">
        <v>0.0280315866595105</v>
      </c>
      <c r="I58" s="13">
        <v>0.0255615780517922</v>
      </c>
      <c r="J58" s="13">
        <v>0.0245212551776087</v>
      </c>
      <c r="K58" s="13">
        <v>0.0225610381597807</v>
      </c>
      <c r="L58" s="13">
        <v>0.0294350350956951</v>
      </c>
      <c r="M58" s="13">
        <v>0.0207693934591215</v>
      </c>
      <c r="N58" s="13">
        <v>0.0260134172040828</v>
      </c>
      <c r="O58" s="13">
        <v>0.0179431179708671</v>
      </c>
    </row>
    <row r="59" hidden="1" outlineLevel="1" spans="3:15">
      <c r="C59" s="16"/>
      <c r="D59" s="40" t="s">
        <v>441</v>
      </c>
      <c r="E59" s="42">
        <v>0.00928549730402511</v>
      </c>
      <c r="F59" s="10">
        <v>0.00527486874599282</v>
      </c>
      <c r="G59" s="10">
        <v>0.00560337053571071</v>
      </c>
      <c r="H59" s="10">
        <v>0.00510991863206481</v>
      </c>
      <c r="I59" s="10">
        <v>0.00464209522720605</v>
      </c>
      <c r="J59" s="10">
        <v>0.00716323882800588</v>
      </c>
      <c r="K59" s="10">
        <v>0.00291049161763805</v>
      </c>
      <c r="L59" s="10">
        <v>0.00244893420851983</v>
      </c>
      <c r="M59" s="10">
        <v>0.00486105130081674</v>
      </c>
      <c r="N59" s="10">
        <v>0.00458513928103222</v>
      </c>
      <c r="O59" s="10">
        <v>0.00796904425655217</v>
      </c>
    </row>
    <row r="60" hidden="1" outlineLevel="1" spans="3:15">
      <c r="C60" s="16"/>
      <c r="D60" s="40" t="s">
        <v>442</v>
      </c>
      <c r="E60" s="41">
        <v>0.00383127230897515</v>
      </c>
      <c r="F60" s="13">
        <v>0.000695227631545852</v>
      </c>
      <c r="G60" s="13">
        <v>0.000659543298078787</v>
      </c>
      <c r="H60" s="13">
        <v>0</v>
      </c>
      <c r="I60" s="13">
        <v>0</v>
      </c>
      <c r="J60" s="13">
        <v>0</v>
      </c>
      <c r="K60" s="13">
        <v>0.000309405940594059</v>
      </c>
      <c r="L60" s="13">
        <v>0</v>
      </c>
      <c r="M60" s="13">
        <v>0</v>
      </c>
      <c r="N60" s="13">
        <v>0</v>
      </c>
      <c r="O60" s="13">
        <v>0.000141562853907135</v>
      </c>
    </row>
    <row r="61" collapsed="1" spans="3:15">
      <c r="C61" s="16" t="s">
        <v>28</v>
      </c>
      <c r="D61" s="40"/>
      <c r="E61" s="43">
        <v>0.052685928913764</v>
      </c>
      <c r="F61" s="15">
        <v>0.0422069935302893</v>
      </c>
      <c r="G61" s="15">
        <v>0.0458473409862649</v>
      </c>
      <c r="H61" s="15">
        <v>0.065847400304924</v>
      </c>
      <c r="I61" s="15">
        <v>0.0630522664310945</v>
      </c>
      <c r="J61" s="15">
        <v>0.0648986886016815</v>
      </c>
      <c r="K61" s="15">
        <v>0.0515651183139747</v>
      </c>
      <c r="L61" s="15">
        <v>0.0605446691208897</v>
      </c>
      <c r="M61" s="15">
        <v>0.0510732771516328</v>
      </c>
      <c r="N61" s="15">
        <v>0.052685928913764</v>
      </c>
      <c r="O61" s="15">
        <v>0.0483671431484711</v>
      </c>
    </row>
    <row r="62" hidden="1" outlineLevel="1" spans="3:15">
      <c r="C62" s="7"/>
      <c r="D62" s="40" t="s">
        <v>422</v>
      </c>
      <c r="E62" s="42">
        <v>0.025586365721008</v>
      </c>
      <c r="F62" s="10">
        <v>0.054520677015844</v>
      </c>
      <c r="G62" s="10">
        <v>0.0537614335110179</v>
      </c>
      <c r="H62" s="10">
        <v>0.046424615852749</v>
      </c>
      <c r="I62" s="10">
        <v>0.0527517479404765</v>
      </c>
      <c r="J62" s="10">
        <v>0.0662340009620847</v>
      </c>
      <c r="K62" s="10">
        <v>0.0499896400283296</v>
      </c>
      <c r="L62" s="10">
        <v>0.0437811859939847</v>
      </c>
      <c r="M62" s="10">
        <v>0.0544944943858508</v>
      </c>
      <c r="N62" s="10">
        <v>0.0497162374352726</v>
      </c>
      <c r="O62" s="10">
        <v>0.0603965963087393</v>
      </c>
    </row>
    <row r="63" hidden="1" outlineLevel="1" spans="3:15">
      <c r="C63" s="7"/>
      <c r="D63" s="40" t="s">
        <v>424</v>
      </c>
      <c r="E63" s="41">
        <v>0.000810695621506758</v>
      </c>
      <c r="F63" s="13">
        <v>0.0117756970700201</v>
      </c>
      <c r="G63" s="13">
        <v>0.00939307084502025</v>
      </c>
      <c r="H63" s="13">
        <v>0.000694379142330746</v>
      </c>
      <c r="I63" s="13">
        <v>0.00215342350349962</v>
      </c>
      <c r="J63" s="13">
        <v>0.00295413798315583</v>
      </c>
      <c r="K63" s="13">
        <v>0.00367461504521667</v>
      </c>
      <c r="L63" s="13">
        <v>0.000318877551020409</v>
      </c>
      <c r="M63" s="13">
        <v>0.00685388751326914</v>
      </c>
      <c r="N63" s="13">
        <v>0</v>
      </c>
      <c r="O63" s="13">
        <v>0.000633657406864601</v>
      </c>
    </row>
    <row r="64" collapsed="1" spans="3:15">
      <c r="C64" s="7" t="s">
        <v>29</v>
      </c>
      <c r="D64" s="40"/>
      <c r="E64" s="43">
        <v>0.0263970613425148</v>
      </c>
      <c r="F64" s="15">
        <v>0.0662963740858642</v>
      </c>
      <c r="G64" s="15">
        <v>0.0631545043560382</v>
      </c>
      <c r="H64" s="15">
        <v>0.0471189949950797</v>
      </c>
      <c r="I64" s="15">
        <v>0.0549051714439761</v>
      </c>
      <c r="J64" s="15">
        <v>0.0691881389452406</v>
      </c>
      <c r="K64" s="15">
        <v>0.0536642550735463</v>
      </c>
      <c r="L64" s="15">
        <v>0.0441000635450051</v>
      </c>
      <c r="M64" s="15">
        <v>0.0613483818991199</v>
      </c>
      <c r="N64" s="15">
        <v>0.0497162374352726</v>
      </c>
      <c r="O64" s="15">
        <v>0.0610302537156038</v>
      </c>
    </row>
    <row r="65" spans="3:15">
      <c r="C65" s="19" t="s">
        <v>27</v>
      </c>
      <c r="D65" s="44" t="s">
        <v>411</v>
      </c>
      <c r="E65" s="45">
        <v>0.0326443606395313</v>
      </c>
      <c r="F65" s="21">
        <v>0.0283778416846332</v>
      </c>
      <c r="G65" s="21">
        <v>0.0318228554327376</v>
      </c>
      <c r="H65" s="21">
        <v>0.04321577943529</v>
      </c>
      <c r="I65" s="21">
        <v>0.0280094865204098</v>
      </c>
      <c r="J65" s="21">
        <v>0.0350023047532976</v>
      </c>
      <c r="K65" s="21">
        <v>0.033495997621219</v>
      </c>
      <c r="L65" s="21">
        <v>0.0386935819996246</v>
      </c>
      <c r="M65" s="21">
        <v>0.0282995298046348</v>
      </c>
      <c r="N65" s="21">
        <v>0.0308186743550828</v>
      </c>
      <c r="O65" s="21">
        <v>0.0369107902716923</v>
      </c>
    </row>
    <row r="66" spans="3:15">
      <c r="C66" s="16"/>
      <c r="D66" s="46" t="s">
        <v>408</v>
      </c>
      <c r="E66" s="47">
        <v>0.0478511837234352</v>
      </c>
      <c r="F66" s="22">
        <v>0.0343591685995182</v>
      </c>
      <c r="G66" s="22">
        <v>0.0356525016558822</v>
      </c>
      <c r="H66" s="22">
        <v>0.031529340671588</v>
      </c>
      <c r="I66" s="22">
        <v>0.0252787724556888</v>
      </c>
      <c r="J66" s="22">
        <v>0.0376307320208498</v>
      </c>
      <c r="K66" s="22">
        <v>0.0363850248982752</v>
      </c>
      <c r="L66" s="22">
        <v>0.0325325392681828</v>
      </c>
      <c r="M66" s="22">
        <v>0.0416435570054442</v>
      </c>
      <c r="N66" s="22">
        <v>0.040402656613053</v>
      </c>
      <c r="O66" s="22">
        <v>0.0302104762275249</v>
      </c>
    </row>
    <row r="67" spans="3:15">
      <c r="C67" s="16"/>
      <c r="D67" s="48" t="s">
        <v>417</v>
      </c>
      <c r="E67" s="49">
        <v>0.0715707513817211</v>
      </c>
      <c r="F67" s="23">
        <v>0.0830680912573989</v>
      </c>
      <c r="G67" s="23">
        <v>0.0715641923172975</v>
      </c>
      <c r="H67" s="23">
        <v>0.0867353447067811</v>
      </c>
      <c r="I67" s="23">
        <v>0.0362197067418191</v>
      </c>
      <c r="J67" s="23">
        <v>0.0556812588809498</v>
      </c>
      <c r="K67" s="23">
        <v>0.0733996232387144</v>
      </c>
      <c r="L67" s="22">
        <v>0.0699808584599844</v>
      </c>
      <c r="M67" s="23">
        <v>0.0857416599910908</v>
      </c>
      <c r="N67" s="23">
        <v>0.0766283467779751</v>
      </c>
      <c r="O67" s="23">
        <v>0.0742218224935834</v>
      </c>
    </row>
    <row r="68" spans="3:15">
      <c r="C68" s="16"/>
      <c r="D68" s="46" t="s">
        <v>412</v>
      </c>
      <c r="E68" s="47">
        <v>0.0969027779502743</v>
      </c>
      <c r="F68" s="22">
        <v>0.0718503931754428</v>
      </c>
      <c r="G68" s="22">
        <v>0.0815739167975509</v>
      </c>
      <c r="H68" s="22">
        <v>0.0355631042546275</v>
      </c>
      <c r="I68" s="22">
        <v>0.0734232743040644</v>
      </c>
      <c r="J68" s="22">
        <v>0.0356821583171292</v>
      </c>
      <c r="K68" s="22">
        <v>0.0806902638798363</v>
      </c>
      <c r="L68" s="23">
        <v>0.0888051443352596</v>
      </c>
      <c r="M68" s="22">
        <v>0.0632999552916331</v>
      </c>
      <c r="N68" s="22">
        <v>0.0533290071315556</v>
      </c>
      <c r="O68" s="22">
        <v>0.0652688770186122</v>
      </c>
    </row>
    <row r="69" spans="3:15">
      <c r="C69" s="16"/>
      <c r="D69" s="48" t="s">
        <v>407</v>
      </c>
      <c r="E69" s="49">
        <v>0.126811781312353</v>
      </c>
      <c r="F69" s="23">
        <v>0.095479356955221</v>
      </c>
      <c r="G69" s="23">
        <v>0.102555147119845</v>
      </c>
      <c r="H69" s="23">
        <v>0.0996166867830686</v>
      </c>
      <c r="I69" s="23">
        <v>0.116873653178861</v>
      </c>
      <c r="J69" s="23">
        <v>0.0430590714135552</v>
      </c>
      <c r="K69" s="23">
        <v>0.105931870319078</v>
      </c>
      <c r="L69" s="22">
        <v>0.109888358335469</v>
      </c>
      <c r="M69" s="23">
        <v>0.071786627550985</v>
      </c>
      <c r="N69" s="23">
        <v>0.0852677004627318</v>
      </c>
      <c r="O69" s="23">
        <v>0.111886912392616</v>
      </c>
    </row>
    <row r="70" spans="3:15">
      <c r="C70" s="16"/>
      <c r="D70" s="46" t="s">
        <v>410</v>
      </c>
      <c r="E70" s="47">
        <v>0.0435895426752618</v>
      </c>
      <c r="F70" s="22">
        <v>0.0173043036572319</v>
      </c>
      <c r="G70" s="22">
        <v>0.00796950471357485</v>
      </c>
      <c r="H70" s="22">
        <v>0.00973272526121139</v>
      </c>
      <c r="I70" s="22">
        <v>0.00642610822553381</v>
      </c>
      <c r="J70" s="22">
        <v>0.00871106444138665</v>
      </c>
      <c r="K70" s="22">
        <v>0.00771391350183756</v>
      </c>
      <c r="L70" s="22">
        <v>0.00863648992830689</v>
      </c>
      <c r="M70" s="22">
        <v>0.0260249632775795</v>
      </c>
      <c r="N70" s="22">
        <v>0.00704019677961461</v>
      </c>
      <c r="O70" s="22">
        <v>0.0044822008730733</v>
      </c>
    </row>
    <row r="71" spans="3:15">
      <c r="C71" s="16"/>
      <c r="D71" s="48" t="s">
        <v>409</v>
      </c>
      <c r="E71" s="49">
        <v>0.0239608155631836</v>
      </c>
      <c r="F71" s="23">
        <v>0.0190333847242858</v>
      </c>
      <c r="G71" s="23">
        <v>0.0180610541092491</v>
      </c>
      <c r="H71" s="23">
        <v>0.0172617010915578</v>
      </c>
      <c r="I71" s="23">
        <v>0.0212309759633038</v>
      </c>
      <c r="J71" s="23">
        <v>0.012415314292252</v>
      </c>
      <c r="K71" s="23">
        <v>0.0203830155370018</v>
      </c>
      <c r="L71" s="23">
        <v>0.014771722511261</v>
      </c>
      <c r="M71" s="23">
        <v>0.0186938935913155</v>
      </c>
      <c r="N71" s="23">
        <v>0.0116945174009799</v>
      </c>
      <c r="O71" s="23">
        <v>0.0217010307399005</v>
      </c>
    </row>
    <row r="72" spans="3:15">
      <c r="C72" s="16"/>
      <c r="D72" s="46" t="s">
        <v>413</v>
      </c>
      <c r="E72" s="47">
        <v>0.000559919890573299</v>
      </c>
      <c r="F72" s="22">
        <v>0.000788945627333218</v>
      </c>
      <c r="G72" s="22">
        <v>0.000367249497534467</v>
      </c>
      <c r="H72" s="22">
        <v>0</v>
      </c>
      <c r="I72" s="22">
        <v>0</v>
      </c>
      <c r="J72" s="22">
        <v>0</v>
      </c>
      <c r="K72" s="22">
        <v>0.000492040063368627</v>
      </c>
      <c r="L72" s="23">
        <v>0.000443463164251208</v>
      </c>
      <c r="M72" s="22">
        <v>0.000707056099699085</v>
      </c>
      <c r="N72" s="22">
        <v>0.000515463917525774</v>
      </c>
      <c r="O72" s="22">
        <v>0</v>
      </c>
    </row>
    <row r="73" spans="3:15">
      <c r="C73" s="24"/>
      <c r="D73" s="50" t="s">
        <v>379</v>
      </c>
      <c r="E73" s="51">
        <v>0.443891133136333</v>
      </c>
      <c r="F73" s="27">
        <v>0.350261485681065</v>
      </c>
      <c r="G73" s="27">
        <v>0.349566421643671</v>
      </c>
      <c r="H73" s="28">
        <v>0.323654682204124</v>
      </c>
      <c r="I73" s="28">
        <v>0.307461977389681</v>
      </c>
      <c r="J73" s="28">
        <v>0.22818190411942</v>
      </c>
      <c r="K73" s="27">
        <v>0.35849174905933</v>
      </c>
      <c r="L73" s="28">
        <v>0.36375215800234</v>
      </c>
      <c r="M73" s="27">
        <v>0.336197242612382</v>
      </c>
      <c r="N73" s="27">
        <v>0.305696563438518</v>
      </c>
      <c r="O73" s="27">
        <v>0.344682110017002</v>
      </c>
    </row>
    <row r="74" hidden="1" outlineLevel="1" spans="3:15">
      <c r="C74" s="7"/>
      <c r="D74" s="40" t="s">
        <v>428</v>
      </c>
      <c r="E74" s="42">
        <v>0.000154931025014458</v>
      </c>
      <c r="F74" s="10">
        <v>0.000350837688653819</v>
      </c>
      <c r="G74" s="10">
        <v>0.00037473123975058</v>
      </c>
      <c r="H74" s="10">
        <v>0.000743854301761923</v>
      </c>
      <c r="I74" s="10">
        <v>0.000494947049451751</v>
      </c>
      <c r="J74" s="10">
        <v>0.00077872626353253</v>
      </c>
      <c r="K74" s="10">
        <v>0.000337337093071598</v>
      </c>
      <c r="L74" s="10">
        <v>0</v>
      </c>
      <c r="M74" s="10">
        <v>0.000564199086328134</v>
      </c>
      <c r="N74" s="10">
        <v>0.000533062355238657</v>
      </c>
      <c r="O74" s="10">
        <v>0.000157232704402516</v>
      </c>
    </row>
    <row r="75" hidden="1" outlineLevel="1" spans="3:15">
      <c r="C75" s="7"/>
      <c r="D75" s="40" t="s">
        <v>429</v>
      </c>
      <c r="E75" s="41">
        <v>0</v>
      </c>
      <c r="F75" s="13">
        <v>0.000275975796854662</v>
      </c>
      <c r="G75" s="13">
        <v>0.000373460947901325</v>
      </c>
      <c r="H75" s="13">
        <v>0.000802929717488437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13">
        <v>0</v>
      </c>
    </row>
    <row r="76" collapsed="1" spans="3:15">
      <c r="C76" s="7" t="s">
        <v>41</v>
      </c>
      <c r="D76" s="40"/>
      <c r="E76" s="43">
        <v>0</v>
      </c>
      <c r="F76" s="15">
        <v>0.000626813485508481</v>
      </c>
      <c r="G76" s="15">
        <v>0.000748192187651906</v>
      </c>
      <c r="H76" s="15">
        <v>0.00154678401925036</v>
      </c>
      <c r="I76" s="15">
        <v>0.000494947049451751</v>
      </c>
      <c r="J76" s="15">
        <v>0.00077872626353253</v>
      </c>
      <c r="K76" s="15">
        <v>0.000337337093071598</v>
      </c>
      <c r="L76" s="15">
        <v>0</v>
      </c>
      <c r="M76" s="15">
        <v>0.000564199086328134</v>
      </c>
      <c r="N76" s="15">
        <v>0</v>
      </c>
      <c r="O76" s="15">
        <v>0.000157232704402516</v>
      </c>
    </row>
    <row r="77" hidden="1" outlineLevel="1" spans="3:15">
      <c r="C77" s="16"/>
      <c r="D77" s="40" t="s">
        <v>443</v>
      </c>
      <c r="E77" s="42">
        <v>0</v>
      </c>
      <c r="F77" s="10">
        <v>0.000822277046531433</v>
      </c>
      <c r="G77" s="10">
        <v>0.000364110972041805</v>
      </c>
      <c r="H77" s="10">
        <v>0</v>
      </c>
      <c r="I77" s="10">
        <v>0</v>
      </c>
      <c r="J77" s="10">
        <v>0.000451263537906137</v>
      </c>
      <c r="K77" s="10">
        <v>0</v>
      </c>
      <c r="L77" s="10">
        <v>0</v>
      </c>
      <c r="M77" s="10">
        <v>0</v>
      </c>
      <c r="N77" s="10">
        <v>0</v>
      </c>
      <c r="O77" s="10">
        <v>0.00100061207653618</v>
      </c>
    </row>
    <row r="78" hidden="1" outlineLevel="1" spans="3:15">
      <c r="C78" s="16"/>
      <c r="D78" s="40" t="s">
        <v>444</v>
      </c>
      <c r="E78" s="41">
        <v>0</v>
      </c>
      <c r="F78" s="13">
        <v>0.000649736681848632</v>
      </c>
      <c r="G78" s="13">
        <v>0.000384328470706414</v>
      </c>
      <c r="H78" s="13">
        <v>0.000227686703096539</v>
      </c>
      <c r="I78" s="13">
        <v>0</v>
      </c>
      <c r="J78" s="13">
        <v>0.000268817204301075</v>
      </c>
      <c r="K78" s="13">
        <v>0.00054904831625183</v>
      </c>
      <c r="L78" s="13">
        <v>0.000809935205183585</v>
      </c>
      <c r="M78" s="13">
        <v>0</v>
      </c>
      <c r="N78" s="13">
        <v>0</v>
      </c>
      <c r="O78" s="13">
        <v>0.000145348837209303</v>
      </c>
    </row>
    <row r="79" collapsed="1" spans="3:15">
      <c r="C79" s="16" t="s">
        <v>445</v>
      </c>
      <c r="D79" s="40"/>
      <c r="E79" s="43">
        <v>0</v>
      </c>
      <c r="F79" s="15">
        <v>0.00163986219093051</v>
      </c>
      <c r="G79" s="15">
        <v>0.000748439442748219</v>
      </c>
      <c r="H79" s="15">
        <v>0.000227686703096539</v>
      </c>
      <c r="I79" s="15">
        <v>0</v>
      </c>
      <c r="J79" s="15">
        <v>0.000720080742207212</v>
      </c>
      <c r="K79" s="15">
        <v>0.00070375128654886</v>
      </c>
      <c r="L79" s="15">
        <v>0.00102694909407247</v>
      </c>
      <c r="M79" s="15">
        <v>0</v>
      </c>
      <c r="N79" s="15">
        <v>0</v>
      </c>
      <c r="O79" s="15">
        <v>0.00132226556818836</v>
      </c>
    </row>
    <row r="80" hidden="1" outlineLevel="1" spans="3:15">
      <c r="C80" s="7"/>
      <c r="D80" s="40" t="s">
        <v>426</v>
      </c>
      <c r="E80" s="41">
        <v>0.0243448029253769</v>
      </c>
      <c r="F80" s="13">
        <v>0.00409943050289459</v>
      </c>
      <c r="G80" s="13">
        <v>0.000268240343347639</v>
      </c>
      <c r="H80" s="13">
        <v>0</v>
      </c>
      <c r="I80" s="13">
        <v>0</v>
      </c>
      <c r="J80" s="13">
        <v>0.0005</v>
      </c>
      <c r="K80" s="13">
        <v>0</v>
      </c>
      <c r="L80" s="13">
        <v>0</v>
      </c>
      <c r="M80" s="13">
        <v>0.00630488016735688</v>
      </c>
      <c r="N80" s="13">
        <v>0</v>
      </c>
      <c r="O80" s="13">
        <v>0</v>
      </c>
    </row>
    <row r="81" collapsed="1" spans="3:15">
      <c r="C81" s="7" t="s">
        <v>38</v>
      </c>
      <c r="D81" s="40"/>
      <c r="E81" s="43">
        <v>0.0243448029253769</v>
      </c>
      <c r="F81" s="15">
        <v>0.00409943050289459</v>
      </c>
      <c r="G81" s="15">
        <v>0.000268240343347639</v>
      </c>
      <c r="H81" s="15">
        <v>0</v>
      </c>
      <c r="I81" s="15">
        <v>0</v>
      </c>
      <c r="J81" s="15">
        <v>0.0005</v>
      </c>
      <c r="K81" s="15">
        <v>0</v>
      </c>
      <c r="L81" s="15">
        <v>0</v>
      </c>
      <c r="M81" s="15">
        <v>0.00630488016735688</v>
      </c>
      <c r="N81" s="15">
        <v>0</v>
      </c>
      <c r="O81" s="15">
        <v>0</v>
      </c>
    </row>
    <row r="82" spans="3:15">
      <c r="C82" s="31" t="s">
        <v>379</v>
      </c>
      <c r="D82" s="52"/>
      <c r="E82" s="53">
        <v>1</v>
      </c>
      <c r="F82" s="34">
        <v>1</v>
      </c>
      <c r="G82" s="34">
        <v>1</v>
      </c>
      <c r="H82" s="34">
        <v>1</v>
      </c>
      <c r="I82" s="34">
        <v>1</v>
      </c>
      <c r="J82" s="34">
        <v>1</v>
      </c>
      <c r="K82" s="34">
        <v>1</v>
      </c>
      <c r="L82" s="34">
        <v>1</v>
      </c>
      <c r="M82" s="34">
        <v>1</v>
      </c>
      <c r="N82" s="34">
        <v>1</v>
      </c>
      <c r="O82" s="34">
        <v>1</v>
      </c>
    </row>
    <row r="83" spans="3:15">
      <c r="K83" s="5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泡泡国际IP一级分类统计-金额维度</vt:lpstr>
      <vt:lpstr>泡泡国际IP统计-金额维度 深度</vt:lpstr>
      <vt:lpstr>泡泡国际IP统计-SKU维度 宽度</vt:lpstr>
      <vt:lpstr>泡泡国际IP分级统计-金额维度 深度</vt:lpstr>
      <vt:lpstr>泡泡国际IP分级统计-SKU维度 宽度</vt:lpstr>
      <vt:lpstr>泡泡国际品类统计-金额维度 深度</vt:lpstr>
      <vt:lpstr>summary目标渠道值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No Complaints!</cp:lastModifiedBy>
  <dcterms:created xsi:type="dcterms:W3CDTF">2025-02-14T07:09:00Z</dcterms:created>
  <dcterms:modified xsi:type="dcterms:W3CDTF">2026-06-10T11:37:44Z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FA129C4E5A214D86BB84BF91F0CED367_13</vt:lpwstr>
  </property>
  <property fmtid="{D5CDD505-2E9C-101B-9397-08002B2CF9AE}" pid="3" name="KSOProductBuildVer">
    <vt:lpwstr>2052-12.1.0.26895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